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00"/>
    <workbookView xWindow="9210" yWindow="5730" windowWidth="9210" windowHeight="6570" firstSheet="1" activeTab="1"/>
  </bookViews>
  <sheets>
    <sheet name="Overall" sheetId="8" r:id="rId1"/>
    <sheet name="FS" sheetId="3" r:id="rId2"/>
    <sheet name="Sharpe, Sortino" sheetId="9" r:id="rId3"/>
    <sheet name="Projection" sheetId="7" r:id="rId4"/>
    <sheet name="SWOT" sheetId="5" r:id="rId5"/>
  </sheets>
  <externalReferences>
    <externalReference r:id="rId6"/>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core2quad</author>
  </authors>
  <commentList>
    <comment ref="D21" authorId="0">
      <text>
        <r>
          <rPr>
            <b/>
            <sz val="9"/>
            <rFont val="Times New Roman"/>
            <charset val="0"/>
          </rPr>
          <t>core2quad:</t>
        </r>
        <r>
          <rPr>
            <sz val="9"/>
            <rFont val="Times New Roman"/>
            <charset val="0"/>
          </rPr>
          <t xml:space="preserve">
Compute &amp; Networking segment includes our :- 
-- Data Center accelerated computing platform; 
-- Networking; 
-- Automotive artificial intelligence, or AI, Cockpit,
autonomous driving development agreements, and autonomous vehicle solutions; 
-- Electric vehicle computing platforms; 
-- Jetson for robotics and other embedded platforms; 
-- NVIDIA AI Enterprise and other software; and 
-- DGX Cloud
-- Tegra Processor</t>
        </r>
      </text>
    </comment>
    <comment ref="D22" authorId="0">
      <text>
        <r>
          <rPr>
            <b/>
            <sz val="9"/>
            <rFont val="Times New Roman"/>
            <charset val="0"/>
          </rPr>
          <t>core2quad:</t>
        </r>
        <r>
          <rPr>
            <sz val="9"/>
            <rFont val="Times New Roman"/>
            <charset val="0"/>
          </rPr>
          <t xml:space="preserve">
Graphics segment includes :- 
-- GeForce GPUs for gaming and PCs, the GeForce NOW game streaming service and related infrastructure, and solutions for
gaming platforms; 
-- Quadro/NVIDIA RTX GPUs for enterprise workstation graphics; 
-- virtual GPU software for cloud-based visual and virtual computing; 
-- automotive platforms for infotainment systems; and
-- Omniverse Enterprise software for building and operating 3D internet applications</t>
        </r>
      </text>
    </comment>
    <comment ref="D23" authorId="0">
      <text>
        <r>
          <rPr>
            <b/>
            <sz val="9"/>
            <rFont val="Times New Roman"/>
            <charset val="0"/>
          </rPr>
          <t>core2quad:</t>
        </r>
        <r>
          <rPr>
            <sz val="9"/>
            <rFont val="Times New Roman"/>
            <charset val="0"/>
          </rPr>
          <t xml:space="preserve">
-- Stock-based compensation expense
-- Unallocates cost of revenue and operation expenses
-- IP-related and legal settlement costs
-- Restucturing costs and other
-- Acquisition termination cost
-- Other</t>
        </r>
      </text>
    </comment>
    <comment ref="D49" authorId="0">
      <text>
        <r>
          <rPr>
            <b/>
            <sz val="9"/>
            <rFont val="Times New Roman"/>
            <charset val="0"/>
          </rPr>
          <t>core2quad:</t>
        </r>
        <r>
          <rPr>
            <sz val="9"/>
            <rFont val="Times New Roman"/>
            <charset val="0"/>
          </rPr>
          <t xml:space="preserve">
Compute &amp; Networking segment includes our :- 
-- Data Center accelerated computing platform; 
-- Networking; 
-- Automotive artificial intelligence, or AI, Cockpit,
autonomous driving development agreements, and autonomous vehicle solutions; 
-- Electric vehicle computing platforms; 
-- Jetson for robotics and other embedded platforms; 
-- NVIDIA AI Enterprise and other software; and 
-- DGX Cloud</t>
        </r>
      </text>
    </comment>
    <comment ref="D50" authorId="0">
      <text>
        <r>
          <rPr>
            <b/>
            <sz val="9"/>
            <rFont val="Times New Roman"/>
            <charset val="0"/>
          </rPr>
          <t>core2quad:</t>
        </r>
        <r>
          <rPr>
            <sz val="9"/>
            <rFont val="Times New Roman"/>
            <charset val="0"/>
          </rPr>
          <t xml:space="preserve">
Graphics segment includes :- 
-- GeForce GPUs for gaming and PCs, the GeForce NOW game streaming service and related infrastructure, and solutions for
gaming platforms; 
-- Quadro/NVIDIA RTX GPUs for enterprise workstation graphics; 
-- virtual GPU software for cloud-based visual and virtual computing; 
-- automotive platforms for infotainment systems; and
-- Omniverse Enterprise software for building and operating 3D internet applications</t>
        </r>
      </text>
    </comment>
    <comment ref="D51" authorId="0">
      <text>
        <r>
          <rPr>
            <b/>
            <sz val="9"/>
            <rFont val="Times New Roman"/>
            <charset val="0"/>
          </rPr>
          <t>core2quad:</t>
        </r>
        <r>
          <rPr>
            <sz val="9"/>
            <rFont val="Times New Roman"/>
            <charset val="0"/>
          </rPr>
          <t xml:space="preserve">
-- Stock-based compensation expense
-- Unallocates cost of revenue and operation expenses
-- IP-related and legal settlement costs
-- Restucturing costs and other
-- Acquisition termination cost
-- Other</t>
        </r>
      </text>
    </comment>
  </commentList>
</comments>
</file>

<file path=xl/comments2.xml><?xml version="1.0" encoding="utf-8"?>
<comments xmlns="http://schemas.openxmlformats.org/spreadsheetml/2006/main">
  <authors>
    <author>core2quad</author>
  </authors>
  <commentList>
    <comment ref="G10" authorId="0">
      <text>
        <r>
          <rPr>
            <b/>
            <sz val="9"/>
            <rFont val="Times New Roman"/>
            <charset val="0"/>
          </rPr>
          <t>core2quad:</t>
        </r>
        <r>
          <rPr>
            <sz val="9"/>
            <rFont val="Times New Roman"/>
            <charset val="0"/>
          </rPr>
          <t xml:space="preserve">
AI-training-as-a-service platform which includes cloud-based infrastructure and software for AI,
customizable pretrained AI models, and access to NVIDIA experts. We have partnered with leading cloud service providers to host this service in their data
centers</t>
        </r>
      </text>
    </comment>
    <comment ref="E21" authorId="0">
      <text>
        <r>
          <rPr>
            <b/>
            <sz val="9"/>
            <rFont val="Times New Roman"/>
            <charset val="0"/>
          </rPr>
          <t>core2quad:</t>
        </r>
        <r>
          <rPr>
            <sz val="9"/>
            <rFont val="Times New Roman"/>
            <charset val="0"/>
          </rPr>
          <t xml:space="preserve">
Development platform and operating system for building virtual world simulation applications, available as a software
subscription for enterprise use and free for individual use. Industrial enterprises are adopting Omniverse’s 3D and simulation technologies to digitalize their
complex physical assets, processes, and environments – building digital twins of factories, real time 3D product configurators, testing and validating autonomous
robots and vehicles, powered by NVIDIA accelerated computing infrastructure on-premises and in the cloud</t>
        </r>
      </text>
    </comment>
    <comment ref="E24" authorId="0">
      <text>
        <r>
          <rPr>
            <b/>
            <sz val="9"/>
            <rFont val="Times New Roman"/>
            <charset val="0"/>
          </rPr>
          <t>core2quad:</t>
        </r>
        <r>
          <rPr>
            <sz val="9"/>
            <rFont val="Times New Roman"/>
            <charset val="0"/>
          </rPr>
          <t xml:space="preserve">
NVIDIA DRIVE Hyperion™ 7.1 is a reference architecture for Level 2+ autonomy solution consisting of a complete sensor suite and AI computing platform, along with the full software stack for autonomous driving, driver monitoring, and visualization. The DRIVE Hyperion Developer Kit can be integrated into a test vehicle, enabling AV developers to develop, evaluate, and validate AV technology. Software is updated to DRIVE Hyperion using the NVIDIA DRIVE OTA over-the-air update infrastructure and services. </t>
        </r>
      </text>
    </comment>
    <comment ref="F49" authorId="0">
      <text>
        <r>
          <rPr>
            <b/>
            <sz val="9"/>
            <rFont val="Times New Roman"/>
            <charset val="0"/>
          </rPr>
          <t>core2quad:</t>
        </r>
        <r>
          <rPr>
            <sz val="9"/>
            <rFont val="Times New Roman"/>
            <charset val="0"/>
          </rPr>
          <t xml:space="preserve">
AI-training-as-a-service platform which includes cloud-based infrastructure and software for AI,
customizable pretrained AI models, and access to NVIDIA experts. We have partnered with leading cloud service providers to host this service in their data
centers
</t>
        </r>
      </text>
    </comment>
    <comment ref="E50" authorId="0">
      <text>
        <r>
          <rPr>
            <b/>
            <sz val="9"/>
            <rFont val="Times New Roman"/>
            <charset val="0"/>
          </rPr>
          <t>core2quad:</t>
        </r>
        <r>
          <rPr>
            <sz val="9"/>
            <rFont val="Times New Roman"/>
            <charset val="0"/>
          </rPr>
          <t xml:space="preserve">
a complete solution for building enterprise-ready Large Language Models, or LLMs, using open source and proprietary LLMs created by NVIDIA and third parties</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<sst xmlns="http://schemas.openxmlformats.org/spreadsheetml/2006/main" count="401" uniqueCount="275">
  <si>
    <t>SUMMARY</t>
  </si>
  <si>
    <t>Share price</t>
  </si>
  <si>
    <t>Profit Margins</t>
  </si>
  <si>
    <t>Valuations Multiples</t>
  </si>
  <si>
    <t>Solvency</t>
  </si>
  <si>
    <t>Efficiency</t>
  </si>
  <si>
    <t>Risk</t>
  </si>
  <si>
    <t>CAGR</t>
  </si>
  <si>
    <t>GPM</t>
  </si>
  <si>
    <t>OM</t>
  </si>
  <si>
    <t>NPM</t>
  </si>
  <si>
    <t>PE</t>
  </si>
  <si>
    <t>EPS</t>
  </si>
  <si>
    <t>Dividend Yield</t>
  </si>
  <si>
    <t>Debt Ratio</t>
  </si>
  <si>
    <t>Debt - Equity</t>
  </si>
  <si>
    <t>Debt - Revenue</t>
  </si>
  <si>
    <t>IT</t>
  </si>
  <si>
    <t>RT</t>
  </si>
  <si>
    <t>PT</t>
  </si>
  <si>
    <t>Sharpe Ratio</t>
  </si>
  <si>
    <t>Sortino Ratio</t>
  </si>
  <si>
    <t>Base year</t>
  </si>
  <si>
    <t>Y/E</t>
  </si>
  <si>
    <t>Updated As At</t>
  </si>
  <si>
    <t>MC</t>
  </si>
  <si>
    <t>Share price at Y/E</t>
  </si>
  <si>
    <t>Current</t>
  </si>
  <si>
    <t>3 years</t>
  </si>
  <si>
    <t>5 years</t>
  </si>
  <si>
    <t>31/01</t>
  </si>
  <si>
    <t>&lt; Figures are in millions &gt;</t>
  </si>
  <si>
    <t>Y/E 31/01</t>
  </si>
  <si>
    <t>Annualized</t>
  </si>
  <si>
    <t>Average</t>
  </si>
  <si>
    <t>Median</t>
  </si>
  <si>
    <t>Std Dev</t>
  </si>
  <si>
    <t>Revenue By Geography</t>
  </si>
  <si>
    <t>United States</t>
  </si>
  <si>
    <t>Taiwan</t>
  </si>
  <si>
    <t>China (inc. HK)</t>
  </si>
  <si>
    <t>Other countries</t>
  </si>
  <si>
    <t>Total Revenues</t>
  </si>
  <si>
    <t>Revenue By Specific Segments</t>
  </si>
  <si>
    <t>Data Center</t>
  </si>
  <si>
    <t>Gaming</t>
  </si>
  <si>
    <t>Professional Visualization</t>
  </si>
  <si>
    <t>Automotive</t>
  </si>
  <si>
    <t>OEM &amp; Other</t>
  </si>
  <si>
    <t>Revenue by Segments</t>
  </si>
  <si>
    <t>Compute &amp; Networking</t>
  </si>
  <si>
    <t>Graphics</t>
  </si>
  <si>
    <t>All Other</t>
  </si>
  <si>
    <t>Operating Income/(loss) Breakdown</t>
  </si>
  <si>
    <t>Total Operating Income</t>
  </si>
  <si>
    <t>Composition By Geography</t>
  </si>
  <si>
    <t>China (including HK)</t>
  </si>
  <si>
    <t>Composition By Specific Segments</t>
  </si>
  <si>
    <t>Composition By Segments</t>
  </si>
  <si>
    <t>Revenue Growth By Specific Segments (%)</t>
  </si>
  <si>
    <t>Revenue Growth by Segments (%)</t>
  </si>
  <si>
    <t>TOTAL REVENUE GROWTH (%)</t>
  </si>
  <si>
    <t>Operating Income Growth (%)</t>
  </si>
  <si>
    <t>OPERATING INCOME GROWTH (%)</t>
  </si>
  <si>
    <t>P&amp;L</t>
  </si>
  <si>
    <t>Revenue</t>
  </si>
  <si>
    <t>Cost of Revenue</t>
  </si>
  <si>
    <t>Gross Profit</t>
  </si>
  <si>
    <t>GP margin (%)</t>
  </si>
  <si>
    <t>Research &amp; Development</t>
  </si>
  <si>
    <t>Sales, general &amp; admin</t>
  </si>
  <si>
    <t>Restructuring &amp; other charges</t>
  </si>
  <si>
    <t>Acquisition termination cost</t>
  </si>
  <si>
    <t>Total Cost &amp; Expenses</t>
  </si>
  <si>
    <t>Operating Income</t>
  </si>
  <si>
    <t>Operating margin (%)</t>
  </si>
  <si>
    <t>Other Income / (expense), Net</t>
  </si>
  <si>
    <t>Income before taxation</t>
  </si>
  <si>
    <t>Income tax expense / (benefit)</t>
  </si>
  <si>
    <t>Net Income</t>
  </si>
  <si>
    <t>Net income margin (%)</t>
  </si>
  <si>
    <t>Valuation Multiples / Shareholder ratios</t>
  </si>
  <si>
    <t>No. of Shares (Pre-Split)</t>
  </si>
  <si>
    <t>No. of Shares (Splited)</t>
  </si>
  <si>
    <t>Share Price</t>
  </si>
  <si>
    <t>P/E</t>
  </si>
  <si>
    <t>Sales per share</t>
  </si>
  <si>
    <t>Price / Sales</t>
  </si>
  <si>
    <t>Market Cap</t>
  </si>
  <si>
    <t>Enterprise Value (EV)                          MC+Debt-Cash</t>
  </si>
  <si>
    <t>EV / EBITDA</t>
  </si>
  <si>
    <t>EV / Revenue</t>
  </si>
  <si>
    <t>Dividend / Share</t>
  </si>
  <si>
    <t>Dividend yield</t>
  </si>
  <si>
    <t>Balance Sheet</t>
  </si>
  <si>
    <t>Current Assets</t>
  </si>
  <si>
    <t>Cash &amp; Cash Equivalents</t>
  </si>
  <si>
    <t>Marketable Securities</t>
  </si>
  <si>
    <t>Accounts Receivables</t>
  </si>
  <si>
    <t>Inventories</t>
  </si>
  <si>
    <t>Prepayments &amp; other current assets</t>
  </si>
  <si>
    <t>Total Current Assets</t>
  </si>
  <si>
    <t>Non-Current Assets</t>
  </si>
  <si>
    <t>Property &amp; Equipment</t>
  </si>
  <si>
    <t>Operating Lease Assets</t>
  </si>
  <si>
    <t>Goodwill</t>
  </si>
  <si>
    <t>Intangible Assets, net</t>
  </si>
  <si>
    <t>Deferred Income Taxes</t>
  </si>
  <si>
    <t>Other Non-Current Assets</t>
  </si>
  <si>
    <t>Total Non-Current Assets</t>
  </si>
  <si>
    <t>Total Assets</t>
  </si>
  <si>
    <t>Current Liabilities</t>
  </si>
  <si>
    <t>Accounts Payable</t>
  </si>
  <si>
    <t>Accrued and other current liabilities</t>
  </si>
  <si>
    <t>Short-term debt</t>
  </si>
  <si>
    <t>Total Current Liabilities</t>
  </si>
  <si>
    <t>Non-Current Liabilities</t>
  </si>
  <si>
    <t>Long-Term Debt</t>
  </si>
  <si>
    <t>Operating Lease Liabilities</t>
  </si>
  <si>
    <t>Other long-term liabilities</t>
  </si>
  <si>
    <t>Total Non-Current Liabilities</t>
  </si>
  <si>
    <t>Total Liabilities</t>
  </si>
  <si>
    <t>Equity</t>
  </si>
  <si>
    <t>Share Capital</t>
  </si>
  <si>
    <t>Additional paid-in capital (share premium)</t>
  </si>
  <si>
    <t>Treasury stock</t>
  </si>
  <si>
    <t>Accumulated other comprehensive income / (loss)</t>
  </si>
  <si>
    <t>Retained Earnings</t>
  </si>
  <si>
    <t>Total Shareholder Equity</t>
  </si>
  <si>
    <t>Total Liabilities &amp; Equity</t>
  </si>
  <si>
    <t>Debt Ratio (Total Liabilities / Total Assets)</t>
  </si>
  <si>
    <t>Debt to Equity (Total Liabilities / Total Equity) - Leverage</t>
  </si>
  <si>
    <t>Debt / Revenue</t>
  </si>
  <si>
    <t>Inventory Turnover</t>
  </si>
  <si>
    <t>Receivables Turnover</t>
  </si>
  <si>
    <t>Payable Turnover</t>
  </si>
  <si>
    <t>Cash Flow</t>
  </si>
  <si>
    <t>Operating Activities</t>
  </si>
  <si>
    <t>Stock-based compensation expense</t>
  </si>
  <si>
    <t>Depreciation &amp; Amortization</t>
  </si>
  <si>
    <t>Gain / (Loss) on debt and equity securities</t>
  </si>
  <si>
    <t>Other</t>
  </si>
  <si>
    <t>Changes in Assets &amp; Liabilities</t>
  </si>
  <si>
    <t>Cash Flow from Operating Activities</t>
  </si>
  <si>
    <t>Investing Activities</t>
  </si>
  <si>
    <t>Maturities &amp; Sales of Marketable Securities</t>
  </si>
  <si>
    <t>Purchases of marketable securities</t>
  </si>
  <si>
    <t>Purchases of PPE (CapEx)</t>
  </si>
  <si>
    <t>Acquisitions, net of cash acquired</t>
  </si>
  <si>
    <t>Other investing activities</t>
  </si>
  <si>
    <t>Cash Flow from Investing Activities</t>
  </si>
  <si>
    <t>Financing Activities</t>
  </si>
  <si>
    <t>Proceeds of debt issuance</t>
  </si>
  <si>
    <t>Repurchases of stock (buybacks)</t>
  </si>
  <si>
    <t>Debt repayment</t>
  </si>
  <si>
    <t>Dividends</t>
  </si>
  <si>
    <t>Proceeds related to employee stock plans</t>
  </si>
  <si>
    <t>Payments related to tax on restricted stock units</t>
  </si>
  <si>
    <t>Principal payments on PPE &amp; intangible assets</t>
  </si>
  <si>
    <t>Cash Flow from Financing Activities</t>
  </si>
  <si>
    <t>Effect of Exchange Rate Changes</t>
  </si>
  <si>
    <t>Net Increase / (Decrease) in cash and cash equivalents</t>
  </si>
  <si>
    <t>Cash &amp; cash equivalents at the beginning of the period</t>
  </si>
  <si>
    <t>Cash &amp; cash equivalents at the end of the period</t>
  </si>
  <si>
    <t>Cash paid for income taxes, net</t>
  </si>
  <si>
    <t>Cash paid for interest</t>
  </si>
  <si>
    <t>Free Cash Flow (FCF)</t>
  </si>
  <si>
    <t>FCF / share</t>
  </si>
  <si>
    <t>NVDA Monthly Price Changes (5 years)</t>
  </si>
  <si>
    <t>United States 10-Year Bond Yield</t>
  </si>
  <si>
    <t>https://www.investing.com/equities/nvidia-corp-historical-data</t>
  </si>
  <si>
    <t>https://www.investing.com/rates-bonds/u.s.-10-year-bond-yield-historical-data</t>
  </si>
  <si>
    <t>Feb'20 - Jan'24</t>
  </si>
  <si>
    <t>Risk free rate average</t>
  </si>
  <si>
    <t>TEST (Manual calculation of Monthly Std Dev of Excess Returns - 5 Years)</t>
  </si>
  <si>
    <t>[1]</t>
  </si>
  <si>
    <t>[2]</t>
  </si>
  <si>
    <t>[1] - [2]</t>
  </si>
  <si>
    <t>Sharpe</t>
  </si>
  <si>
    <t>Sortino</t>
  </si>
  <si>
    <t>Date</t>
  </si>
  <si>
    <t>Price</t>
  </si>
  <si>
    <t>Change %</t>
  </si>
  <si>
    <t>Change</t>
  </si>
  <si>
    <t>Monthly Risk free rate</t>
  </si>
  <si>
    <t>Monthly Excess returns</t>
  </si>
  <si>
    <t>Monthly Excess negative returns</t>
  </si>
  <si>
    <t>Average Monthly Excess Returns</t>
  </si>
  <si>
    <t>Difference Squared</t>
  </si>
  <si>
    <r>
      <rPr>
        <sz val="11"/>
        <color theme="1"/>
        <rFont val="Calibri"/>
        <charset val="134"/>
        <scheme val="minor"/>
      </rPr>
      <t>Monthly Std Dev of excess returns (</t>
    </r>
    <r>
      <rPr>
        <b/>
        <sz val="11"/>
        <color theme="1"/>
        <rFont val="Calibri"/>
        <charset val="134"/>
        <scheme val="minor"/>
      </rPr>
      <t>σ</t>
    </r>
    <r>
      <rPr>
        <sz val="11"/>
        <color theme="1"/>
        <rFont val="Calibri"/>
        <charset val="134"/>
        <scheme val="minor"/>
      </rPr>
      <t>)</t>
    </r>
  </si>
  <si>
    <t>Average Monthly Excess Negative Returns</t>
  </si>
  <si>
    <t>1 Year</t>
  </si>
  <si>
    <t>3 Years</t>
  </si>
  <si>
    <t>5 Years</t>
  </si>
  <si>
    <r>
      <rPr>
        <sz val="11"/>
        <color theme="1"/>
        <rFont val="Calibri"/>
        <charset val="134"/>
        <scheme val="minor"/>
      </rPr>
      <t>Monthly Portfolio return (</t>
    </r>
    <r>
      <rPr>
        <b/>
        <sz val="11"/>
        <color theme="1"/>
        <rFont val="Calibri"/>
        <charset val="134"/>
        <scheme val="minor"/>
      </rPr>
      <t>Rp</t>
    </r>
    <r>
      <rPr>
        <sz val="11"/>
        <color theme="1"/>
        <rFont val="Calibri"/>
        <charset val="134"/>
        <scheme val="minor"/>
      </rPr>
      <t>)</t>
    </r>
  </si>
  <si>
    <r>
      <rPr>
        <sz val="11"/>
        <color theme="1"/>
        <rFont val="Calibri"/>
        <charset val="134"/>
        <scheme val="minor"/>
      </rPr>
      <t>Monthly Risk-free return - US 10Yr Yield (</t>
    </r>
    <r>
      <rPr>
        <b/>
        <sz val="11"/>
        <color theme="1"/>
        <rFont val="Calibri"/>
        <charset val="134"/>
        <scheme val="minor"/>
      </rPr>
      <t>Rf</t>
    </r>
    <r>
      <rPr>
        <sz val="11"/>
        <color theme="1"/>
        <rFont val="Calibri"/>
        <charset val="134"/>
        <scheme val="minor"/>
      </rPr>
      <t>)</t>
    </r>
  </si>
  <si>
    <r>
      <rPr>
        <sz val="11"/>
        <color theme="1"/>
        <rFont val="Calibri"/>
        <charset val="134"/>
        <scheme val="minor"/>
      </rPr>
      <t>Excess return (</t>
    </r>
    <r>
      <rPr>
        <b/>
        <sz val="11"/>
        <color theme="1"/>
        <rFont val="Calibri"/>
        <charset val="134"/>
        <scheme val="minor"/>
      </rPr>
      <t>Rp - Rf</t>
    </r>
    <r>
      <rPr>
        <sz val="11"/>
        <color theme="1"/>
        <rFont val="Calibri"/>
        <charset val="134"/>
        <scheme val="minor"/>
      </rPr>
      <t>)</t>
    </r>
  </si>
  <si>
    <r>
      <rPr>
        <sz val="11"/>
        <color theme="1"/>
        <rFont val="Calibri"/>
        <charset val="134"/>
        <scheme val="minor"/>
      </rPr>
      <t>Monthly Sharpe Ratio ( [</t>
    </r>
    <r>
      <rPr>
        <b/>
        <sz val="11"/>
        <color theme="1"/>
        <rFont val="Calibri"/>
        <charset val="134"/>
        <scheme val="minor"/>
      </rPr>
      <t>Rp - Rf</t>
    </r>
    <r>
      <rPr>
        <sz val="11"/>
        <color theme="1"/>
        <rFont val="Calibri"/>
        <charset val="134"/>
        <scheme val="minor"/>
      </rPr>
      <t xml:space="preserve">] / </t>
    </r>
    <r>
      <rPr>
        <b/>
        <sz val="11"/>
        <color theme="1"/>
        <rFont val="Calibri"/>
        <charset val="134"/>
        <scheme val="minor"/>
      </rPr>
      <t xml:space="preserve">σ </t>
    </r>
    <r>
      <rPr>
        <sz val="11"/>
        <color theme="1"/>
        <rFont val="Calibri"/>
        <charset val="134"/>
        <scheme val="minor"/>
      </rPr>
      <t>)</t>
    </r>
  </si>
  <si>
    <r>
      <rPr>
        <sz val="11"/>
        <color theme="1"/>
        <rFont val="Calibri"/>
        <charset val="134"/>
        <scheme val="minor"/>
      </rPr>
      <t>Annualized Std Dev of excess returns (</t>
    </r>
    <r>
      <rPr>
        <b/>
        <sz val="11"/>
        <color theme="1"/>
        <rFont val="Calibri"/>
        <charset val="134"/>
        <scheme val="minor"/>
      </rPr>
      <t>σ</t>
    </r>
    <r>
      <rPr>
        <sz val="11"/>
        <color theme="1"/>
        <rFont val="Calibri"/>
        <charset val="134"/>
        <scheme val="minor"/>
      </rPr>
      <t>)</t>
    </r>
  </si>
  <si>
    <r>
      <rPr>
        <sz val="11"/>
        <color theme="1"/>
        <rFont val="Calibri"/>
        <charset val="134"/>
        <scheme val="minor"/>
      </rPr>
      <t>Annualized Portfolio return (</t>
    </r>
    <r>
      <rPr>
        <b/>
        <sz val="11"/>
        <color theme="1"/>
        <rFont val="Calibri"/>
        <charset val="134"/>
        <scheme val="minor"/>
      </rPr>
      <t>Rp</t>
    </r>
    <r>
      <rPr>
        <sz val="11"/>
        <color theme="1"/>
        <rFont val="Calibri"/>
        <charset val="134"/>
        <scheme val="minor"/>
      </rPr>
      <t>)</t>
    </r>
  </si>
  <si>
    <r>
      <rPr>
        <sz val="11"/>
        <color theme="1"/>
        <rFont val="Calibri"/>
        <charset val="134"/>
        <scheme val="minor"/>
      </rPr>
      <t>Annualized Risk-free return - US 10Yr Yield (</t>
    </r>
    <r>
      <rPr>
        <b/>
        <sz val="11"/>
        <color theme="1"/>
        <rFont val="Calibri"/>
        <charset val="134"/>
        <scheme val="minor"/>
      </rPr>
      <t>Rf</t>
    </r>
    <r>
      <rPr>
        <sz val="11"/>
        <color theme="1"/>
        <rFont val="Calibri"/>
        <charset val="134"/>
        <scheme val="minor"/>
      </rPr>
      <t>)</t>
    </r>
  </si>
  <si>
    <r>
      <rPr>
        <sz val="11"/>
        <color theme="1"/>
        <rFont val="Calibri"/>
        <charset val="134"/>
        <scheme val="minor"/>
      </rPr>
      <t>Annualized Sharpe Ratio ( [</t>
    </r>
    <r>
      <rPr>
        <b/>
        <sz val="11"/>
        <color theme="1"/>
        <rFont val="Calibri"/>
        <charset val="134"/>
        <scheme val="minor"/>
      </rPr>
      <t>Rp - Rf</t>
    </r>
    <r>
      <rPr>
        <sz val="11"/>
        <color theme="1"/>
        <rFont val="Calibri"/>
        <charset val="134"/>
        <scheme val="minor"/>
      </rPr>
      <t xml:space="preserve">] / </t>
    </r>
    <r>
      <rPr>
        <b/>
        <sz val="11"/>
        <color theme="1"/>
        <rFont val="Calibri"/>
        <charset val="134"/>
        <scheme val="minor"/>
      </rPr>
      <t xml:space="preserve">σ </t>
    </r>
    <r>
      <rPr>
        <sz val="11"/>
        <color theme="1"/>
        <rFont val="Calibri"/>
        <charset val="134"/>
        <scheme val="minor"/>
      </rPr>
      <t>)</t>
    </r>
  </si>
  <si>
    <r>
      <rPr>
        <sz val="11"/>
        <color theme="1"/>
        <rFont val="Calibri"/>
        <charset val="134"/>
        <scheme val="minor"/>
      </rPr>
      <t>Monthly Std Dev of excess negative returns (</t>
    </r>
    <r>
      <rPr>
        <b/>
        <sz val="11"/>
        <color theme="1"/>
        <rFont val="Calibri"/>
        <charset val="134"/>
        <scheme val="minor"/>
      </rPr>
      <t>σ</t>
    </r>
    <r>
      <rPr>
        <b/>
        <vertAlign val="subscript"/>
        <sz val="11"/>
        <color theme="1"/>
        <rFont val="Calibri"/>
        <charset val="134"/>
        <scheme val="minor"/>
      </rPr>
      <t>d</t>
    </r>
    <r>
      <rPr>
        <sz val="11"/>
        <color theme="1"/>
        <rFont val="Calibri"/>
        <charset val="134"/>
        <scheme val="minor"/>
      </rPr>
      <t>)</t>
    </r>
  </si>
  <si>
    <r>
      <rPr>
        <sz val="11"/>
        <color theme="1"/>
        <rFont val="Calibri"/>
        <charset val="134"/>
        <scheme val="minor"/>
      </rPr>
      <t>Monthly Sortino Ratio ( [</t>
    </r>
    <r>
      <rPr>
        <b/>
        <sz val="11"/>
        <color theme="1"/>
        <rFont val="Calibri"/>
        <charset val="134"/>
        <scheme val="minor"/>
      </rPr>
      <t>Rp - Rf</t>
    </r>
    <r>
      <rPr>
        <sz val="11"/>
        <color theme="1"/>
        <rFont val="Calibri"/>
        <charset val="134"/>
        <scheme val="minor"/>
      </rPr>
      <t xml:space="preserve">] / </t>
    </r>
    <r>
      <rPr>
        <b/>
        <sz val="11"/>
        <color theme="1"/>
        <rFont val="Calibri"/>
        <charset val="134"/>
        <scheme val="minor"/>
      </rPr>
      <t xml:space="preserve">σ </t>
    </r>
    <r>
      <rPr>
        <sz val="11"/>
        <color theme="1"/>
        <rFont val="Calibri"/>
        <charset val="134"/>
        <scheme val="minor"/>
      </rPr>
      <t>)</t>
    </r>
  </si>
  <si>
    <r>
      <rPr>
        <sz val="11"/>
        <color theme="1"/>
        <rFont val="Calibri"/>
        <charset val="134"/>
        <scheme val="minor"/>
      </rPr>
      <t>Annualized Std Dev of excess negative returns (</t>
    </r>
    <r>
      <rPr>
        <b/>
        <sz val="11"/>
        <color theme="1"/>
        <rFont val="Calibri"/>
        <charset val="134"/>
        <scheme val="minor"/>
      </rPr>
      <t>σ</t>
    </r>
    <r>
      <rPr>
        <sz val="11"/>
        <color theme="1"/>
        <rFont val="Calibri"/>
        <charset val="134"/>
        <scheme val="minor"/>
      </rPr>
      <t>)</t>
    </r>
  </si>
  <si>
    <r>
      <rPr>
        <sz val="11"/>
        <color theme="1"/>
        <rFont val="Calibri"/>
        <charset val="134"/>
        <scheme val="minor"/>
      </rPr>
      <t>Annualized Sortino Ratio ( [</t>
    </r>
    <r>
      <rPr>
        <b/>
        <sz val="11"/>
        <color theme="1"/>
        <rFont val="Calibri"/>
        <charset val="134"/>
        <scheme val="minor"/>
      </rPr>
      <t>Rp - Rf</t>
    </r>
    <r>
      <rPr>
        <sz val="11"/>
        <color theme="1"/>
        <rFont val="Calibri"/>
        <charset val="134"/>
        <scheme val="minor"/>
      </rPr>
      <t xml:space="preserve">] / </t>
    </r>
    <r>
      <rPr>
        <b/>
        <sz val="11"/>
        <color theme="1"/>
        <rFont val="Calibri"/>
        <charset val="134"/>
        <scheme val="minor"/>
      </rPr>
      <t>σ</t>
    </r>
    <r>
      <rPr>
        <b/>
        <vertAlign val="subscript"/>
        <sz val="11"/>
        <color theme="1"/>
        <rFont val="Calibri"/>
        <charset val="134"/>
        <scheme val="minor"/>
      </rPr>
      <t>d</t>
    </r>
    <r>
      <rPr>
        <b/>
        <sz val="11"/>
        <color theme="1"/>
        <rFont val="Calibri"/>
        <charset val="134"/>
        <scheme val="minor"/>
      </rPr>
      <t xml:space="preserve"> </t>
    </r>
    <r>
      <rPr>
        <sz val="11"/>
        <color theme="1"/>
        <rFont val="Calibri"/>
        <charset val="134"/>
        <scheme val="minor"/>
      </rPr>
      <t>)</t>
    </r>
  </si>
  <si>
    <t xml:space="preserve">Average Growth Rate  = </t>
  </si>
  <si>
    <t>%</t>
  </si>
  <si>
    <t>No. of Shares</t>
  </si>
  <si>
    <t>Notes</t>
  </si>
  <si>
    <t>Strengths</t>
  </si>
  <si>
    <t>- Handles compute-intensive workloads (AI, data analytics, graphics &amp; scientific computing)</t>
  </si>
  <si>
    <t>- compute offerings (supercomputing platforms &amp; servers)</t>
  </si>
  <si>
    <t>--  GPUs, DPUs</t>
  </si>
  <si>
    <t>--  NVIDIA AI Enterprise software</t>
  </si>
  <si>
    <t>Comprehensive suite of enterprise-grade AI software</t>
  </si>
  <si>
    <t>--  NVIDIA vGPU</t>
  </si>
  <si>
    <t>--  NVIDIA DGX cloud service</t>
  </si>
  <si>
    <t>- network offerings</t>
  </si>
  <si>
    <t>--  end to end platforms for InfiniBand &amp; ethernet</t>
  </si>
  <si>
    <t>- RTX &amp; GTX GPUs</t>
  </si>
  <si>
    <t>- NVIDIA DLSS (Deep Learning Super Sampling)</t>
  </si>
  <si>
    <t>- GeForce NOW cloud gaming</t>
  </si>
  <si>
    <t>- NVIDIA Tegra SoCs</t>
  </si>
  <si>
    <t>- SoCs (system-on-a-chip) &amp; development services for game consoles</t>
  </si>
  <si>
    <t>- NVIDIA Omniverse</t>
  </si>
  <si>
    <t>- DRIVE Hyperion</t>
  </si>
  <si>
    <t>Manufacturing</t>
  </si>
  <si>
    <t>- Fabless and contracting manufacturing strategy</t>
  </si>
  <si>
    <t>Partner with key suppliers on all phases of manufacturing process (wafer fabrication, assembly, testing &amp; packaging)</t>
  </si>
  <si>
    <t>- Focus on product design, quality control, reliability, marketing &amp; customer support</t>
  </si>
  <si>
    <t>- May place inventory orders for product components to secure future supply (in growth periods)</t>
  </si>
  <si>
    <t xml:space="preserve">- Supply chain is concentrated in Asia-Pacific region </t>
  </si>
  <si>
    <t>Foundries to produce semiconductor wafers</t>
  </si>
  <si>
    <t>--  Taiwan Semiconductor Manufacturing Co Ltd (TSMC)</t>
  </si>
  <si>
    <t>Utilize CoWoS technology for semiconductor packaging</t>
  </si>
  <si>
    <t>--  Samsung Electronics Co. Ltd</t>
  </si>
  <si>
    <t>Purchase of Memory</t>
  </si>
  <si>
    <t>--  Micron Technology Inc</t>
  </si>
  <si>
    <t>--  SK Hynix Inc</t>
  </si>
  <si>
    <t>South korea</t>
  </si>
  <si>
    <t>Assembly , Testing and packaging of final products</t>
  </si>
  <si>
    <t>--  Hon Hai Precision Industry Co Ltd</t>
  </si>
  <si>
    <t>--  Wistron Corporation</t>
  </si>
  <si>
    <t>--  Fabrinet</t>
  </si>
  <si>
    <t>Weaknesses</t>
  </si>
  <si>
    <t>Opportunities</t>
  </si>
  <si>
    <t>Artificial Intelligence</t>
  </si>
  <si>
    <t>- NVIDIA DGX cloud service</t>
  </si>
  <si>
    <t>- NVIDIA NeMo</t>
  </si>
  <si>
    <t>Threats</t>
  </si>
  <si>
    <t>Suppliers/Licensors of hardware/software for GPUs, Custom Chips and other accelerated computing solutions (including AI)</t>
  </si>
  <si>
    <t>--  Advanced Micro Devices Inc (AMD)</t>
  </si>
  <si>
    <t>--  Huawei Technologies Co Ltd</t>
  </si>
  <si>
    <t>--  Intel Corporation</t>
  </si>
  <si>
    <t>Large Cloud Services</t>
  </si>
  <si>
    <t>--  Amazon Inc</t>
  </si>
  <si>
    <t>--  Alphabet Inc (Google)</t>
  </si>
  <si>
    <t>--  Microsoft</t>
  </si>
  <si>
    <t>--  Alibaba Group</t>
  </si>
  <si>
    <t>--  Baidu Inc</t>
  </si>
  <si>
    <t>--  Huawei</t>
  </si>
  <si>
    <t>Suppliers of hardware/software for SoC products (used in servers, automobiles, autonomous machines, and gaming devices)</t>
  </si>
  <si>
    <t>--  Ambarella Inc</t>
  </si>
  <si>
    <t>--  AMD</t>
  </si>
  <si>
    <t>--  Broadcom Inc</t>
  </si>
  <si>
    <t>--  Qualcomm Incorporated</t>
  </si>
  <si>
    <t>--  Renesas Electronics Corporation</t>
  </si>
  <si>
    <t>--  Samsung</t>
  </si>
  <si>
    <t>Networking products (switches, network adapters, DPUs, cable solutions - incl. optical modules)</t>
  </si>
  <si>
    <t>--  Arista Networks</t>
  </si>
  <si>
    <t>--  Cisco Systems</t>
  </si>
  <si>
    <t>--  Hewlett Packard Enterprise</t>
  </si>
  <si>
    <t>--  Lumentum Holdings</t>
  </si>
  <si>
    <t>--  Marvell Technology Group</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</si>
</sst>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_ * #,##0.00_ ;_ * \-#,##0.00_ ;_ * &quot;-&quot;??_ ;_ @_ "/>
    <numFmt numFmtId="177" formatCode="_ * #,##0_ ;_ * \-#,##0_ ;_ * &quot;-&quot;_ ;_ @_ "/>
  </numFmts>
  <fonts count="30">
    <font>
      <sz val="11"/>
      <color theme="1"/>
      <name val="Calibri"/>
      <charset val="134"/>
      <scheme val="minor"/>
    </font>
    <font>
      <b/>
      <sz val="12"/>
      <color theme="1"/>
      <name val="Calibri"/>
      <charset val="134"/>
      <scheme val="minor"/>
    </font>
    <font>
      <b/>
      <i/>
      <sz val="11"/>
      <color theme="1"/>
      <name val="Calibri"/>
      <charset val="134"/>
      <scheme val="minor"/>
    </font>
    <font>
      <b/>
      <u/>
      <sz val="12"/>
      <color theme="1"/>
      <name val="Calibri"/>
      <charset val="134"/>
      <scheme val="minor"/>
    </font>
    <font>
      <b/>
      <i/>
      <sz val="12"/>
      <color theme="1"/>
      <name val="Calibri"/>
      <charset val="134"/>
      <scheme val="minor"/>
    </font>
    <font>
      <i/>
      <sz val="11"/>
      <color theme="1"/>
      <name val="Calibri"/>
      <charset val="134"/>
      <scheme val="minor"/>
    </font>
    <font>
      <b/>
      <sz val="11"/>
      <color theme="1"/>
      <name val="Calibri"/>
      <charset val="134"/>
      <scheme val="minor"/>
    </font>
    <font>
      <b/>
      <i/>
      <u/>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ertAlign val="subscript"/>
      <sz val="11"/>
      <color theme="1"/>
      <name val="Calibri"/>
      <charset val="134"/>
      <scheme val="minor"/>
    </font>
    <font>
      <b/>
      <sz val="9"/>
      <name val="Times New Roman"/>
      <charset val="0"/>
    </font>
    <font>
      <sz val="9"/>
      <name val="Times New Roman"/>
      <charset val="0"/>
    </font>
  </fonts>
  <fills count="36">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5"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double">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5" borderId="5"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6" applyNumberFormat="0" applyFill="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5" fillId="0" borderId="0" applyNumberFormat="0" applyFill="0" applyBorder="0" applyAlignment="0" applyProtection="0">
      <alignment vertical="center"/>
    </xf>
    <xf numFmtId="0" fontId="16" fillId="6" borderId="8" applyNumberFormat="0" applyAlignment="0" applyProtection="0">
      <alignment vertical="center"/>
    </xf>
    <xf numFmtId="0" fontId="17" fillId="7" borderId="9" applyNumberFormat="0" applyAlignment="0" applyProtection="0">
      <alignment vertical="center"/>
    </xf>
    <xf numFmtId="0" fontId="18" fillId="7" borderId="8" applyNumberFormat="0" applyAlignment="0" applyProtection="0">
      <alignment vertical="center"/>
    </xf>
    <xf numFmtId="0" fontId="19" fillId="8" borderId="10" applyNumberFormat="0" applyAlignment="0" applyProtection="0">
      <alignment vertical="center"/>
    </xf>
    <xf numFmtId="0" fontId="20" fillId="0" borderId="11" applyNumberFormat="0" applyFill="0" applyAlignment="0" applyProtection="0">
      <alignment vertical="center"/>
    </xf>
    <xf numFmtId="0" fontId="21" fillId="0" borderId="12" applyNumberFormat="0" applyFill="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cellStyleXfs>
  <cellXfs count="101">
    <xf numFmtId="0" fontId="0" fillId="0" borderId="0" xfId="0">
      <alignment vertical="center"/>
    </xf>
    <xf numFmtId="0" fontId="1" fillId="0" borderId="0" xfId="0" applyFont="1">
      <alignment vertical="center"/>
    </xf>
    <xf numFmtId="0" fontId="0" fillId="0" borderId="0" xfId="0" applyAlignment="1">
      <alignment vertical="center"/>
    </xf>
    <xf numFmtId="9" fontId="0" fillId="0" borderId="0" xfId="0" applyNumberFormat="1">
      <alignment vertical="center"/>
    </xf>
    <xf numFmtId="0" fontId="0" fillId="0" borderId="0" xfId="0" applyAlignment="1">
      <alignment horizontal="center" vertical="center"/>
    </xf>
    <xf numFmtId="0" fontId="0" fillId="0" borderId="0" xfId="0" applyFill="1">
      <alignment vertical="center"/>
    </xf>
    <xf numFmtId="41" fontId="0" fillId="0" borderId="0" xfId="0" applyNumberFormat="1" applyFill="1">
      <alignment vertical="center"/>
    </xf>
    <xf numFmtId="41" fontId="0" fillId="0" borderId="1" xfId="0" applyNumberFormat="1" applyFill="1" applyBorder="1">
      <alignment vertical="center"/>
    </xf>
    <xf numFmtId="41" fontId="2" fillId="0" borderId="0" xfId="0" applyNumberFormat="1" applyFont="1" applyFill="1">
      <alignment vertical="center"/>
    </xf>
    <xf numFmtId="0" fontId="0" fillId="0" borderId="0" xfId="0" applyFill="1" applyAlignment="1">
      <alignment horizontal="center" vertical="center"/>
    </xf>
    <xf numFmtId="0" fontId="3" fillId="0" borderId="0" xfId="0" applyFont="1">
      <alignment vertical="center"/>
    </xf>
    <xf numFmtId="41" fontId="0" fillId="0" borderId="2" xfId="0" applyNumberFormat="1" applyFill="1" applyBorder="1">
      <alignment vertical="center"/>
    </xf>
    <xf numFmtId="0" fontId="2" fillId="0" borderId="0" xfId="0" applyFont="1">
      <alignment vertical="center"/>
    </xf>
    <xf numFmtId="0" fontId="4" fillId="2" borderId="0" xfId="0" applyFont="1" applyFill="1">
      <alignment vertical="center"/>
    </xf>
    <xf numFmtId="0" fontId="2" fillId="2" borderId="0" xfId="0" applyFont="1" applyFill="1">
      <alignment vertical="center"/>
    </xf>
    <xf numFmtId="0" fontId="2" fillId="0" borderId="0" xfId="0" applyFont="1" applyFill="1">
      <alignment vertical="center"/>
    </xf>
    <xf numFmtId="43" fontId="2" fillId="0" borderId="0" xfId="0" applyNumberFormat="1" applyFont="1" applyFill="1">
      <alignment vertical="center"/>
    </xf>
    <xf numFmtId="0" fontId="0" fillId="2" borderId="0" xfId="0" applyFill="1">
      <alignment vertical="center"/>
    </xf>
    <xf numFmtId="0" fontId="3" fillId="2" borderId="0" xfId="0" applyFont="1" applyFill="1">
      <alignment vertical="center"/>
    </xf>
    <xf numFmtId="0" fontId="5" fillId="0" borderId="0" xfId="0" applyFont="1">
      <alignment vertical="center"/>
    </xf>
    <xf numFmtId="0" fontId="5" fillId="2" borderId="0" xfId="0" applyFont="1" applyFill="1">
      <alignment vertical="center"/>
    </xf>
    <xf numFmtId="0" fontId="5" fillId="0" borderId="0" xfId="0" applyFont="1" applyFill="1">
      <alignment vertical="center"/>
    </xf>
    <xf numFmtId="41" fontId="5" fillId="0" borderId="0" xfId="0" applyNumberFormat="1" applyFont="1" applyFill="1">
      <alignment vertical="center"/>
    </xf>
    <xf numFmtId="43" fontId="0" fillId="0" borderId="0" xfId="0" applyNumberFormat="1">
      <alignment vertical="center"/>
    </xf>
    <xf numFmtId="43" fontId="5" fillId="2" borderId="0" xfId="0" applyNumberFormat="1" applyFont="1" applyFill="1">
      <alignment vertical="center"/>
    </xf>
    <xf numFmtId="43" fontId="0" fillId="2" borderId="0" xfId="0" applyNumberFormat="1" applyFill="1">
      <alignment vertical="center"/>
    </xf>
    <xf numFmtId="43" fontId="0" fillId="0" borderId="0" xfId="0" applyNumberFormat="1" applyFill="1">
      <alignment vertical="center"/>
    </xf>
    <xf numFmtId="43" fontId="5" fillId="0" borderId="0" xfId="0" applyNumberFormat="1" applyFont="1">
      <alignment vertical="center"/>
    </xf>
    <xf numFmtId="43" fontId="5" fillId="0" borderId="0" xfId="0" applyNumberFormat="1" applyFont="1" applyFill="1">
      <alignment vertical="center"/>
    </xf>
    <xf numFmtId="41" fontId="6" fillId="0" borderId="0" xfId="0" applyNumberFormat="1" applyFont="1">
      <alignment vertical="center"/>
    </xf>
    <xf numFmtId="41" fontId="2" fillId="2" borderId="0" xfId="0" applyNumberFormat="1" applyFont="1" applyFill="1">
      <alignment vertical="center"/>
    </xf>
    <xf numFmtId="41" fontId="6" fillId="2" borderId="0" xfId="0" applyNumberFormat="1" applyFont="1" applyFill="1">
      <alignment vertical="center"/>
    </xf>
    <xf numFmtId="41" fontId="6" fillId="0" borderId="0" xfId="0" applyNumberFormat="1" applyFont="1" applyFill="1">
      <alignment vertical="center"/>
    </xf>
    <xf numFmtId="0" fontId="0" fillId="0" borderId="1" xfId="0" applyFill="1" applyBorder="1">
      <alignment vertical="center"/>
    </xf>
    <xf numFmtId="0" fontId="0" fillId="0" borderId="1" xfId="0" applyFill="1" applyBorder="1" applyAlignment="1">
      <alignment horizontal="center" vertical="center"/>
    </xf>
    <xf numFmtId="41" fontId="0" fillId="0" borderId="3" xfId="0" applyNumberFormat="1" applyFill="1" applyBorder="1">
      <alignment vertical="center"/>
    </xf>
    <xf numFmtId="43" fontId="2" fillId="0" borderId="1" xfId="0" applyNumberFormat="1" applyFont="1" applyFill="1" applyBorder="1">
      <alignment vertical="center"/>
    </xf>
    <xf numFmtId="41" fontId="5" fillId="0" borderId="1" xfId="0" applyNumberFormat="1" applyFont="1" applyFill="1" applyBorder="1">
      <alignment vertical="center"/>
    </xf>
    <xf numFmtId="43" fontId="0" fillId="0" borderId="1" xfId="0" applyNumberFormat="1" applyFill="1" applyBorder="1">
      <alignment vertical="center"/>
    </xf>
    <xf numFmtId="43" fontId="5" fillId="0" borderId="1" xfId="0" applyNumberFormat="1" applyFont="1" applyFill="1" applyBorder="1">
      <alignment vertical="center"/>
    </xf>
    <xf numFmtId="41" fontId="6" fillId="0" borderId="1" xfId="0" applyNumberFormat="1" applyFont="1" applyFill="1" applyBorder="1">
      <alignment vertical="center"/>
    </xf>
    <xf numFmtId="0" fontId="0" fillId="0" borderId="0" xfId="0" applyAlignment="1">
      <alignment horizontal="right" vertical="center"/>
    </xf>
    <xf numFmtId="39" fontId="6" fillId="3" borderId="0" xfId="0" applyNumberFormat="1" applyFont="1" applyFill="1">
      <alignment vertical="center"/>
    </xf>
    <xf numFmtId="39" fontId="2" fillId="3" borderId="0" xfId="0" applyNumberFormat="1" applyFont="1" applyFill="1">
      <alignment vertical="center"/>
    </xf>
    <xf numFmtId="41" fontId="5" fillId="0" borderId="0" xfId="0" applyNumberFormat="1" applyFont="1" applyFill="1" applyBorder="1">
      <alignment vertical="center"/>
    </xf>
    <xf numFmtId="43" fontId="5" fillId="0" borderId="0" xfId="0" applyNumberFormat="1" applyFont="1" applyFill="1" applyBorder="1">
      <alignment vertical="center"/>
    </xf>
    <xf numFmtId="41" fontId="6" fillId="3" borderId="0" xfId="0" applyNumberFormat="1" applyFont="1" applyFill="1">
      <alignment vertical="center"/>
    </xf>
    <xf numFmtId="0" fontId="6" fillId="0" borderId="0" xfId="0" applyFont="1" applyAlignment="1">
      <alignment horizontal="right" vertical="center"/>
    </xf>
    <xf numFmtId="0" fontId="6" fillId="0" borderId="0" xfId="0" applyFont="1">
      <alignment vertical="center"/>
    </xf>
    <xf numFmtId="0" fontId="6" fillId="0" borderId="0" xfId="0" applyFont="1" applyAlignment="1">
      <alignment horizontal="center" vertical="center"/>
    </xf>
    <xf numFmtId="0" fontId="0" fillId="0" borderId="0" xfId="0" applyAlignment="1">
      <alignment vertical="center" wrapText="1"/>
    </xf>
    <xf numFmtId="15" fontId="0" fillId="3" borderId="0" xfId="0" applyNumberFormat="1" applyFill="1" applyAlignment="1">
      <alignment vertical="center" wrapText="1"/>
    </xf>
    <xf numFmtId="0" fontId="0" fillId="3" borderId="0" xfId="0" applyFill="1" applyAlignment="1">
      <alignment vertical="center" wrapText="1" readingOrder="1"/>
    </xf>
    <xf numFmtId="10" fontId="0" fillId="3" borderId="0" xfId="0" applyNumberFormat="1" applyFill="1" applyAlignment="1">
      <alignment vertical="center" wrapText="1" readingOrder="1"/>
    </xf>
    <xf numFmtId="10" fontId="0" fillId="0" borderId="0" xfId="0" applyNumberFormat="1">
      <alignment vertical="center"/>
    </xf>
    <xf numFmtId="10" fontId="0" fillId="3" borderId="0" xfId="0" applyNumberFormat="1" applyFill="1">
      <alignment vertical="center"/>
    </xf>
    <xf numFmtId="0" fontId="0" fillId="0" borderId="0" xfId="0" applyFont="1" applyAlignment="1">
      <alignment vertical="center" wrapText="1"/>
    </xf>
    <xf numFmtId="0" fontId="7" fillId="0" borderId="0" xfId="0" applyFont="1">
      <alignment vertical="center"/>
    </xf>
    <xf numFmtId="0" fontId="0" fillId="0" borderId="0" xfId="0" applyFont="1" applyAlignment="1">
      <alignment vertical="center"/>
    </xf>
    <xf numFmtId="0" fontId="0" fillId="0" borderId="0" xfId="0" applyFont="1">
      <alignment vertical="center"/>
    </xf>
    <xf numFmtId="10" fontId="0" fillId="0" borderId="0" xfId="0" applyNumberFormat="1" applyFill="1">
      <alignment vertical="center"/>
    </xf>
    <xf numFmtId="43" fontId="2" fillId="0" borderId="0" xfId="0" applyNumberFormat="1" applyFont="1">
      <alignment vertical="center"/>
    </xf>
    <xf numFmtId="0" fontId="0" fillId="0" borderId="4" xfId="0" applyBorder="1">
      <alignment vertical="center"/>
    </xf>
    <xf numFmtId="15" fontId="0" fillId="0" borderId="0" xfId="0" applyNumberFormat="1" applyAlignment="1">
      <alignment vertical="center" wrapText="1"/>
    </xf>
    <xf numFmtId="0" fontId="0" fillId="0" borderId="0" xfId="0" applyAlignment="1">
      <alignment vertical="center" wrapText="1" readingOrder="1"/>
    </xf>
    <xf numFmtId="10" fontId="0" fillId="0" borderId="0" xfId="0" applyNumberFormat="1" applyAlignment="1">
      <alignment vertical="center" wrapText="1" readingOrder="1"/>
    </xf>
    <xf numFmtId="10" fontId="0" fillId="0" borderId="2" xfId="0" applyNumberFormat="1" applyBorder="1">
      <alignment vertical="center"/>
    </xf>
    <xf numFmtId="39" fontId="6" fillId="0" borderId="0" xfId="0" applyNumberFormat="1" applyFont="1">
      <alignment vertical="center"/>
    </xf>
    <xf numFmtId="39" fontId="0" fillId="0" borderId="0" xfId="0" applyNumberFormat="1">
      <alignment vertical="center"/>
    </xf>
    <xf numFmtId="43" fontId="0" fillId="0" borderId="0" xfId="0" applyNumberFormat="1" applyFont="1">
      <alignment vertical="center"/>
    </xf>
    <xf numFmtId="41" fontId="0" fillId="0" borderId="0" xfId="0" applyNumberFormat="1">
      <alignment vertical="center"/>
    </xf>
    <xf numFmtId="41" fontId="0" fillId="0" borderId="0" xfId="0" applyNumberFormat="1" applyFill="1" applyAlignment="1">
      <alignment vertical="center"/>
    </xf>
    <xf numFmtId="43" fontId="5" fillId="0" borderId="2" xfId="0" applyNumberFormat="1" applyFont="1" applyFill="1" applyBorder="1">
      <alignment vertical="center"/>
    </xf>
    <xf numFmtId="43" fontId="0" fillId="0" borderId="0" xfId="0" applyNumberFormat="1" applyFont="1" applyFill="1">
      <alignment vertical="center"/>
    </xf>
    <xf numFmtId="39" fontId="0" fillId="0" borderId="0" xfId="0" applyNumberFormat="1" applyFill="1">
      <alignment vertical="center"/>
    </xf>
    <xf numFmtId="41" fontId="0" fillId="0" borderId="0" xfId="0" applyNumberFormat="1" applyFill="1" applyAlignment="1">
      <alignment horizontal="center" vertical="center"/>
    </xf>
    <xf numFmtId="43" fontId="0" fillId="0" borderId="0" xfId="0" applyNumberFormat="1" applyFill="1" applyAlignment="1">
      <alignment horizontal="center" vertical="center"/>
    </xf>
    <xf numFmtId="39" fontId="0" fillId="0" borderId="0" xfId="0" applyNumberFormat="1" applyFont="1" applyFill="1" applyBorder="1">
      <alignment vertical="center"/>
    </xf>
    <xf numFmtId="43" fontId="0" fillId="0" borderId="0" xfId="0" applyNumberFormat="1" applyFill="1" applyBorder="1">
      <alignment vertical="center"/>
    </xf>
    <xf numFmtId="41" fontId="0" fillId="0" borderId="0" xfId="0" applyNumberFormat="1" applyFill="1" applyBorder="1">
      <alignment vertical="center"/>
    </xf>
    <xf numFmtId="41" fontId="0" fillId="0" borderId="0" xfId="0" applyNumberFormat="1" applyFill="1" applyBorder="1" applyAlignment="1">
      <alignment horizontal="center" vertical="center"/>
    </xf>
    <xf numFmtId="39" fontId="6" fillId="2" borderId="0" xfId="0" applyNumberFormat="1" applyFont="1" applyFill="1">
      <alignment vertical="center"/>
    </xf>
    <xf numFmtId="39" fontId="6" fillId="0" borderId="0" xfId="0" applyNumberFormat="1" applyFont="1" applyFill="1">
      <alignment vertical="center"/>
    </xf>
    <xf numFmtId="0" fontId="6" fillId="2" borderId="0" xfId="0" applyFont="1" applyFill="1">
      <alignment vertical="center"/>
    </xf>
    <xf numFmtId="0" fontId="6" fillId="0" borderId="0" xfId="0" applyFont="1" applyFill="1">
      <alignment vertical="center"/>
    </xf>
    <xf numFmtId="43" fontId="0" fillId="2" borderId="0" xfId="0" applyNumberFormat="1" applyFont="1" applyFill="1">
      <alignment vertical="center"/>
    </xf>
    <xf numFmtId="41" fontId="5" fillId="2" borderId="0" xfId="0" applyNumberFormat="1" applyFont="1" applyFill="1">
      <alignment vertical="center"/>
    </xf>
    <xf numFmtId="41" fontId="0" fillId="2" borderId="0" xfId="0" applyNumberFormat="1" applyFill="1">
      <alignment vertical="center"/>
    </xf>
    <xf numFmtId="37" fontId="2" fillId="2" borderId="0" xfId="0" applyNumberFormat="1" applyFont="1" applyFill="1">
      <alignment vertical="center"/>
    </xf>
    <xf numFmtId="37" fontId="6" fillId="2" borderId="0" xfId="0" applyNumberFormat="1" applyFont="1" applyFill="1">
      <alignment vertical="center"/>
    </xf>
    <xf numFmtId="43" fontId="6" fillId="0" borderId="0" xfId="0" applyNumberFormat="1" applyFont="1" applyFill="1">
      <alignment vertical="center"/>
    </xf>
    <xf numFmtId="41" fontId="0" fillId="0" borderId="0" xfId="0" applyNumberFormat="1" applyFont="1" applyFill="1">
      <alignment vertical="center"/>
    </xf>
    <xf numFmtId="41" fontId="0" fillId="4" borderId="0" xfId="0" applyNumberFormat="1" applyFill="1">
      <alignment vertical="center"/>
    </xf>
    <xf numFmtId="39" fontId="0" fillId="0" borderId="0" xfId="0" applyNumberFormat="1" applyFont="1" applyFill="1">
      <alignment vertical="center"/>
    </xf>
    <xf numFmtId="37" fontId="0" fillId="0" borderId="0" xfId="0" applyNumberFormat="1" applyFont="1" applyFill="1">
      <alignment vertical="center"/>
    </xf>
    <xf numFmtId="0" fontId="0" fillId="0" borderId="0" xfId="0" applyAlignment="1">
      <alignment horizontal="center" vertical="center" wrapText="1"/>
    </xf>
    <xf numFmtId="0" fontId="0" fillId="3" borderId="0" xfId="0" applyFill="1" applyAlignment="1">
      <alignment vertical="center"/>
    </xf>
    <xf numFmtId="43" fontId="0" fillId="0" borderId="0" xfId="0" applyNumberFormat="1" applyFill="1" applyAlignment="1">
      <alignment vertical="center"/>
    </xf>
    <xf numFmtId="43" fontId="0" fillId="0" borderId="0" xfId="0" applyNumberFormat="1" applyAlignment="1">
      <alignment horizontal="center" vertical="center"/>
    </xf>
    <xf numFmtId="41" fontId="0" fillId="0" borderId="0" xfId="0" applyNumberFormat="1" applyAlignment="1">
      <alignment horizontal="center" vertical="center"/>
    </xf>
    <xf numFmtId="43" fontId="0" fillId="0" borderId="0" xfId="0" applyNumberFormat="1" applyAlignment="1">
      <alignment horizontal="center" vertical="center" wrapText="1"/>
    </xf>
    <xf numFmtId="0" fontId="6" fillId="0" borderId="0" xfId="0" applyFont="1" quotePrefix="1">
      <alignment vertical="center"/>
    </xf>
    <xf numFmtId="0" fontId="0" fillId="0" borderId="0" xfId="0"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eetMetadata" Target="metadata.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isk%20Free%20Rate)%20US%2010-Year%20Bond%20Yield.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s>
    <sheetDataSet>
      <sheetData sheetId="0">
        <row r="6">
          <cell r="E6">
            <v>0.0246945</v>
          </cell>
        </row>
      </sheetData>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AZ11"/>
  <sheetViews>
    <sheetView tabSelected="1" workbookViewId="0">
      <selection activeCell="O15" sqref="O15"/>
    </sheetView>
    <sheetView workbookViewId="1">
      <selection activeCell="A1" sqref="A1"/>
    </sheetView>
  </sheetViews>
  <sheetFormatPr defaultColWidth="9.14285714285714" defaultRowHeight="15"/>
  <cols>
    <col min="3" max="3" width="4.42857142857143" customWidth="1"/>
    <col min="6" max="6" width="10.5714285714286"/>
    <col min="15" max="16" width="9.14285714285714" customWidth="1"/>
  </cols>
  <sheetData>
    <row r="2" spans="2:2">
      <c r="B2" s="48" t="s">
        <v>0</v>
      </c>
    </row>
    <row r="3" spans="2:49">
      <c r="B3" s="2"/>
      <c r="E3" s="2"/>
      <c r="F3" s="2"/>
      <c r="G3" s="2"/>
      <c r="H3" s="2" t="s">
        <v>1</v>
      </c>
      <c r="J3" s="2"/>
      <c r="K3" s="2" t="s">
        <v>2</v>
      </c>
      <c r="L3" s="2"/>
      <c r="M3" s="2"/>
      <c r="N3" s="2"/>
      <c r="O3" s="2"/>
      <c r="P3" s="2"/>
      <c r="Q3" s="2"/>
      <c r="R3" s="2"/>
      <c r="S3" s="2"/>
      <c r="T3" s="2" t="s">
        <v>3</v>
      </c>
      <c r="U3" s="2"/>
      <c r="V3" s="2"/>
      <c r="W3" s="2"/>
      <c r="X3" s="2"/>
      <c r="Y3" s="2"/>
      <c r="Z3" s="2"/>
      <c r="AA3" s="2"/>
      <c r="AB3" s="2"/>
      <c r="AC3" s="2" t="s">
        <v>4</v>
      </c>
      <c r="AD3" s="2"/>
      <c r="AE3" s="2"/>
      <c r="AF3" s="2"/>
      <c r="AG3" s="2"/>
      <c r="AH3" s="2"/>
      <c r="AI3" s="2"/>
      <c r="AJ3" s="2"/>
      <c r="AK3" s="2"/>
      <c r="AL3" s="2" t="s">
        <v>5</v>
      </c>
      <c r="AM3" s="2"/>
      <c r="AN3" s="2"/>
      <c r="AO3" s="2"/>
      <c r="AP3" s="2"/>
      <c r="AQ3" s="2"/>
      <c r="AR3" s="2"/>
      <c r="AS3" s="2"/>
      <c r="AT3" s="2"/>
      <c r="AU3" s="2" t="s">
        <v>6</v>
      </c>
      <c r="AV3" s="2"/>
      <c r="AW3" s="2"/>
    </row>
    <row r="4" spans="2:50">
      <c r="B4" s="2"/>
      <c r="E4" s="2"/>
      <c r="F4" s="2"/>
      <c r="G4" s="2"/>
      <c r="H4" s="2" t="s">
        <v>7</v>
      </c>
      <c r="J4" s="50"/>
      <c r="K4" s="50" t="s">
        <v>8</v>
      </c>
      <c r="L4" s="2"/>
      <c r="M4" s="2"/>
      <c r="N4" s="50" t="s">
        <v>9</v>
      </c>
      <c r="O4" s="2"/>
      <c r="P4" s="2"/>
      <c r="Q4" s="50" t="s">
        <v>10</v>
      </c>
      <c r="R4" s="2"/>
      <c r="S4" s="2"/>
      <c r="T4" s="50" t="s">
        <v>11</v>
      </c>
      <c r="U4" s="2"/>
      <c r="V4" s="2"/>
      <c r="W4" s="50" t="s">
        <v>12</v>
      </c>
      <c r="X4" s="2"/>
      <c r="Y4" s="2"/>
      <c r="Z4" s="2" t="s">
        <v>13</v>
      </c>
      <c r="AA4" s="2"/>
      <c r="AB4" s="2"/>
      <c r="AC4" s="2" t="s">
        <v>14</v>
      </c>
      <c r="AD4" s="2"/>
      <c r="AE4" s="2"/>
      <c r="AF4" s="2" t="s">
        <v>15</v>
      </c>
      <c r="AG4" s="2"/>
      <c r="AH4" s="2"/>
      <c r="AI4" s="2" t="s">
        <v>16</v>
      </c>
      <c r="AJ4" s="2"/>
      <c r="AK4" s="2"/>
      <c r="AL4" s="2" t="s">
        <v>17</v>
      </c>
      <c r="AM4" s="2"/>
      <c r="AN4" s="2"/>
      <c r="AO4" s="2" t="s">
        <v>18</v>
      </c>
      <c r="AP4" s="2"/>
      <c r="AQ4" s="2"/>
      <c r="AR4" s="2" t="s">
        <v>19</v>
      </c>
      <c r="AS4" s="2"/>
      <c r="AT4" s="2"/>
      <c r="AU4" s="2" t="s">
        <v>20</v>
      </c>
      <c r="AV4" s="2"/>
      <c r="AW4" s="2"/>
      <c r="AX4" t="s">
        <v>21</v>
      </c>
    </row>
    <row r="5" ht="45" spans="2:52">
      <c r="B5" s="95" t="s">
        <v>22</v>
      </c>
      <c r="D5" s="95" t="s">
        <v>23</v>
      </c>
      <c r="E5" s="95" t="s">
        <v>24</v>
      </c>
      <c r="F5" s="95" t="s">
        <v>25</v>
      </c>
      <c r="G5" s="95" t="s">
        <v>26</v>
      </c>
      <c r="H5" s="95" t="s">
        <v>27</v>
      </c>
      <c r="I5" s="95" t="s">
        <v>28</v>
      </c>
      <c r="J5" s="95" t="s">
        <v>29</v>
      </c>
      <c r="K5" s="95" t="s">
        <v>27</v>
      </c>
      <c r="L5" s="95" t="s">
        <v>28</v>
      </c>
      <c r="M5" s="95" t="s">
        <v>29</v>
      </c>
      <c r="N5" s="95" t="s">
        <v>27</v>
      </c>
      <c r="O5" s="95" t="s">
        <v>28</v>
      </c>
      <c r="P5" s="95" t="s">
        <v>29</v>
      </c>
      <c r="Q5" s="95" t="s">
        <v>27</v>
      </c>
      <c r="R5" s="95" t="s">
        <v>28</v>
      </c>
      <c r="S5" s="95" t="s">
        <v>29</v>
      </c>
      <c r="T5" s="95" t="s">
        <v>27</v>
      </c>
      <c r="U5" s="95" t="s">
        <v>28</v>
      </c>
      <c r="V5" s="95" t="s">
        <v>29</v>
      </c>
      <c r="W5" s="95" t="s">
        <v>27</v>
      </c>
      <c r="X5" s="95" t="s">
        <v>28</v>
      </c>
      <c r="Y5" s="95" t="s">
        <v>29</v>
      </c>
      <c r="Z5" s="95" t="s">
        <v>27</v>
      </c>
      <c r="AA5" s="95" t="s">
        <v>28</v>
      </c>
      <c r="AB5" s="95" t="s">
        <v>29</v>
      </c>
      <c r="AC5" s="95" t="s">
        <v>27</v>
      </c>
      <c r="AD5" s="95" t="s">
        <v>28</v>
      </c>
      <c r="AE5" s="95" t="s">
        <v>29</v>
      </c>
      <c r="AF5" s="95" t="s">
        <v>27</v>
      </c>
      <c r="AG5" s="95" t="s">
        <v>28</v>
      </c>
      <c r="AH5" s="95" t="s">
        <v>29</v>
      </c>
      <c r="AI5" s="95" t="s">
        <v>27</v>
      </c>
      <c r="AJ5" s="95" t="s">
        <v>28</v>
      </c>
      <c r="AK5" s="95" t="s">
        <v>29</v>
      </c>
      <c r="AL5" s="95" t="s">
        <v>27</v>
      </c>
      <c r="AM5" s="95" t="s">
        <v>28</v>
      </c>
      <c r="AN5" s="95" t="s">
        <v>29</v>
      </c>
      <c r="AO5" s="95" t="s">
        <v>27</v>
      </c>
      <c r="AP5" s="95" t="s">
        <v>28</v>
      </c>
      <c r="AQ5" s="95" t="s">
        <v>29</v>
      </c>
      <c r="AR5" s="95" t="s">
        <v>27</v>
      </c>
      <c r="AS5" s="95" t="s">
        <v>28</v>
      </c>
      <c r="AT5" s="95" t="s">
        <v>29</v>
      </c>
      <c r="AU5" s="100" t="s">
        <v>27</v>
      </c>
      <c r="AV5" s="100" t="s">
        <v>28</v>
      </c>
      <c r="AW5" s="100" t="s">
        <v>29</v>
      </c>
      <c r="AX5" s="100" t="s">
        <v>27</v>
      </c>
      <c r="AY5" s="100" t="s">
        <v>28</v>
      </c>
      <c r="AZ5" s="100" t="s">
        <v>29</v>
      </c>
    </row>
    <row r="6" spans="2:52">
      <c r="B6" s="2">
        <v>2024</v>
      </c>
      <c r="D6" s="41" t="s">
        <v>30</v>
      </c>
      <c r="E6" s="96">
        <v>2024</v>
      </c>
      <c r="F6" s="75">
        <f ca="1">OFFSET(FS!P111,0,E$6-B$6)</f>
        <v>1516099.2</v>
      </c>
      <c r="G6" s="76">
        <f ca="1">OFFSET(FS!P105,0,E$6-B$6)</f>
        <v>61.53</v>
      </c>
      <c r="H6" s="97">
        <f ca="1">((OFFSET(FS!P105,0,E$6-B$6)/OFFSET(FS!P105,0,-1+E$6-B$6))^(1/1)-1)*100</f>
        <v>214.89252814739</v>
      </c>
      <c r="I6" s="97">
        <f ca="1">((OFFSET(FS!P105,0,E$6-B$6)/OFFSET(FS!P105,0,-2+E$6-B$6))^(1/3)-1)*100</f>
        <v>35.9458778100323</v>
      </c>
      <c r="J6" s="97">
        <f ca="1">((OFFSET(FS!P105,0,E$6-B$6)/OFFSET(FS!P105,0,-4+E$6-B$6))^(1/5)-1)*100</f>
        <v>59.7717112761554</v>
      </c>
      <c r="K6" s="98">
        <f ca="1">OFFSET(FS!P80,0,0+E$6-B$6)</f>
        <v>72.717573290437</v>
      </c>
      <c r="L6" s="98">
        <f ca="1">AVERAGE(OFFSET(FS!P80,0,-2+E$6-B$6):OFFSET(FS!P80,0,E$6-B$6))</f>
        <v>64.8585003327805</v>
      </c>
      <c r="M6" s="98">
        <f ca="1">AVERAGE(OFFSET(FS!P80,0,-4+E$6-B$6):OFFSET(FS!P80,0,E$6-B$6))</f>
        <v>63.7819407856036</v>
      </c>
      <c r="N6" s="98">
        <f ca="1">OFFSET(FS!P89,0,0+E$6-B$6)</f>
        <v>54.1216637667838</v>
      </c>
      <c r="O6" s="98">
        <f ca="1">AVERAGE(OFFSET(FS!P89,0,-2+E$6-B$6):OFFSET(FS!P89,0,E$6-B$6))</f>
        <v>35.6963028805338</v>
      </c>
      <c r="P6" s="98">
        <f ca="1">AVERAGE(OFFSET(FS!P89,0,-4+E$6-B$6):OFFSET(FS!P89,0,E$6-B$6))</f>
        <v>32.0668729365172</v>
      </c>
      <c r="Q6" s="98">
        <f ca="1">OFFSET(FS!P98,0,0+E$6-B$6)</f>
        <v>48.8493483470667</v>
      </c>
      <c r="R6" s="98">
        <f ca="1">AVERAGE(OFFSET(FS!P98,0,-2+E$6-B$6):OFFSET(FS!P98,0,E$6-B$6))</f>
        <v>33.758883346081</v>
      </c>
      <c r="S6" s="98">
        <f ca="1">AVERAGE(OFFSET(FS!P98,0,-4+E$6-B$6):OFFSET(FS!P98,0,E$6-B$6))</f>
        <v>30.5729492892333</v>
      </c>
      <c r="T6" s="99">
        <f ca="1">OFFSET(FS!P107,0,0+E$6-B$6)</f>
        <v>50.9441935483871</v>
      </c>
      <c r="U6" s="99">
        <f ca="1">AVERAGE(OFFSET(FS!P107,0,-2+E$6-B$6):OFFSET(FS!P107,0,E$6-B$6))</f>
        <v>74.7306578866634</v>
      </c>
      <c r="V6" s="99">
        <f ca="1">AVERAGE(OFFSET(FS!P107,0,-4+E$6-B$6):OFFSET(FS!P107,0,E$6-B$6))</f>
        <v>70.062823833326</v>
      </c>
      <c r="W6" s="98">
        <f ca="1">OFFSET(FS!P106,0,0+E$6-B$6)</f>
        <v>1.20779220779221</v>
      </c>
      <c r="X6" s="98">
        <f ca="1">AVERAGE(OFFSET(FS!P106,0,-2+E$6-B$6):OFFSET(FS!P106,0,E$6-B$6))</f>
        <v>0.591355737014915</v>
      </c>
      <c r="Y6" s="98">
        <f ca="1">AVERAGE(OFFSET(FS!P106,0,-4+E$6-B$6):OFFSET(FS!P106,0,E$6-B$6))</f>
        <v>0.412587508446981</v>
      </c>
      <c r="Z6" s="98">
        <f ca="1">OFFSET(FS!P117,0,0+E$6-B$6)</f>
        <v>0.000260537041375657</v>
      </c>
      <c r="AA6" s="98">
        <f ca="1">AVERAGE(OFFSET(FS!P117,0,-2+E$6-B$6):OFFSET(FS!P117,0,E$6-B$6))</f>
        <v>0.000578881169167999</v>
      </c>
      <c r="AB6" s="98">
        <f ca="1">AVERAGE(OFFSET(FS!P117,0,-4+E$6-B$6):OFFSET(FS!P117,0,E$6-B$6))</f>
        <v>0.00113134611331379</v>
      </c>
      <c r="AC6" s="98">
        <f ca="1">OFFSET(FS!P166,0,0+E$6-B$6)</f>
        <v>0.346123417721519</v>
      </c>
      <c r="AD6" s="98">
        <f ca="1">AVERAGE(OFFSET(FS!P166,0,-2+E$6-B$6):OFFSET(FS!P166,0,E$6-B$6))</f>
        <v>0.40239944336559</v>
      </c>
      <c r="AE6" s="98">
        <f ca="1">AVERAGE(OFFSET(FS!P166,0,-4+E$6-B$6):OFFSET(FS!P166,0,E$6-B$6))</f>
        <v>0.383126012739926</v>
      </c>
      <c r="AF6" s="98">
        <f ca="1">OFFSET(FS!P167,0,0+E$6-B$6)</f>
        <v>0.529340592861464</v>
      </c>
      <c r="AG6" s="98">
        <f ca="1">AVERAGE(OFFSET(FS!P167,0,-2+E$6-B$6):OFFSET(FS!P167,0,E$6-B$6))</f>
        <v>0.684370515241862</v>
      </c>
      <c r="AH6" s="98">
        <f ca="1">AVERAGE(OFFSET(FS!P167,0,-4+E$6-B$6):OFFSET(FS!P167,0,E$6-B$6))</f>
        <v>0.635244811667064</v>
      </c>
      <c r="AI6" s="98">
        <f ca="1">OFFSET(FS!P168,0,0+E$6-B$6)</f>
        <v>0.373428318177342</v>
      </c>
      <c r="AJ6" s="98">
        <f ca="1">AVERAGE(OFFSET(FS!P168,0,-2+E$6-B$6):OFFSET(FS!P168,0,E$6-B$6))</f>
        <v>0.577939692626834</v>
      </c>
      <c r="AK6" s="98">
        <f ca="1">AVERAGE(OFFSET(FS!P168,0,-4+E$6-B$6):OFFSET(FS!P168,0,E$6-B$6))</f>
        <v>0.583093669333962</v>
      </c>
      <c r="AL6" s="98">
        <f ca="1">OFFSET(FS!P171,0,0+E$6-B$6)</f>
        <v>3.14672472548277</v>
      </c>
      <c r="AM6" s="98">
        <f ca="1">AVERAGE(OFFSET(FS!P171,0,-2+E$6-B$6):OFFSET(FS!P171,0,E$6-B$6))</f>
        <v>3.00737601711721</v>
      </c>
      <c r="AN6" s="98">
        <f ca="1">AVERAGE(OFFSET(FS!P171,0,-4+E$6-B$6):OFFSET(FS!P171,0,E$6-B$6))</f>
        <v>3.3399622409606</v>
      </c>
      <c r="AO6" s="98">
        <f ca="1">OFFSET(FS!P172,0,0+E$6-B$6)</f>
        <v>6.09280928092809</v>
      </c>
      <c r="AP6" s="98">
        <f ca="1">AVERAGE(OFFSET(FS!P172,0,-2+E$6-B$6):OFFSET(FS!P172,0,E$6-B$6))</f>
        <v>6.30970233568167</v>
      </c>
      <c r="AQ6" s="98">
        <f ca="1">AVERAGE(OFFSET(FS!P172,0,-4+E$6-B$6):OFFSET(FS!P172,0,E$6-B$6))</f>
        <v>6.47661766154571</v>
      </c>
      <c r="AR6" s="98">
        <f ca="1">OFFSET(FS!P173,0,0+E$6-B$6)</f>
        <v>6.15820674323824</v>
      </c>
      <c r="AS6" s="98">
        <f ca="1">AVERAGE(OFFSET(FS!P173,0,-2+E$6-B$6):OFFSET(FS!P173,0,E$6-B$6))</f>
        <v>7.0635226284112</v>
      </c>
      <c r="AT6" s="98">
        <f ca="1">AVERAGE(OFFSET(FS!P173,0,-4+E$6-B$6):OFFSET(FS!P173,0,E$6-B$6))</f>
        <v>6.5392153515155</v>
      </c>
      <c r="AU6" s="23">
        <f>'Sharpe, Sortino'!O23</f>
        <v>3.66486180558811</v>
      </c>
      <c r="AV6" s="23">
        <f>'Sharpe, Sortino'!P23</f>
        <v>1.1029148443412</v>
      </c>
      <c r="AW6" s="23">
        <f>'Sharpe, Sortino'!Q23</f>
        <v>1.44099237153691</v>
      </c>
      <c r="AX6" s="23">
        <f>'Sharpe, Sortino'!O40</f>
        <v>7.96923570073623</v>
      </c>
      <c r="AY6" s="23">
        <f>'Sharpe, Sortino'!P40</f>
        <v>1.99828046639597</v>
      </c>
      <c r="AZ6" s="23">
        <f>'Sharpe, Sortino'!Q40</f>
        <v>2.24230372178887</v>
      </c>
    </row>
    <row r="11" spans="3:3">
      <c r="C11" s="70"/>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W218"/>
  <sheetViews>
    <sheetView workbookViewId="0">
      <pane xSplit="4" ySplit="3" topLeftCell="E147" activePane="bottomRight" state="frozen"/>
      <selection/>
      <selection pane="topRight"/>
      <selection pane="bottomLeft"/>
      <selection pane="bottomRight" activeCell="T168" sqref="T168"/>
    </sheetView>
    <sheetView tabSelected="1" workbookViewId="1">
      <pane xSplit="4" ySplit="4" topLeftCell="E92" activePane="bottomRight" state="frozen"/>
      <selection/>
      <selection pane="topRight"/>
      <selection pane="bottomLeft"/>
      <selection pane="bottomRight" activeCell="I103" sqref="I103"/>
    </sheetView>
  </sheetViews>
  <sheetFormatPr defaultColWidth="9.14285714285714" defaultRowHeight="15"/>
  <cols>
    <col min="2" max="3" width="6.28571428571429" customWidth="1"/>
    <col min="4" max="4" width="39.7142857142857" customWidth="1"/>
    <col min="5" max="5" width="9.14285714285714" style="5"/>
    <col min="6" max="12" width="11.7142857142857" style="6"/>
    <col min="13" max="16" width="10.5714285714286" style="6"/>
    <col min="17" max="17" width="9.14285714285714" style="5"/>
    <col min="18" max="18" width="9.14285714285714" style="6"/>
    <col min="19" max="21" width="9.14285714285714" style="26"/>
    <col min="22" max="22" width="9.14285714285714" style="6"/>
    <col min="23" max="23" width="9.14285714285714" style="5"/>
  </cols>
  <sheetData>
    <row r="1" spans="6:16">
      <c r="F1" s="8" t="s">
        <v>31</v>
      </c>
      <c r="G1" s="8"/>
      <c r="H1" s="8"/>
      <c r="I1" s="8"/>
      <c r="J1" s="8"/>
      <c r="K1" s="8"/>
      <c r="M1" s="5"/>
      <c r="N1" s="5"/>
      <c r="O1" s="5"/>
      <c r="P1" s="5"/>
    </row>
    <row r="2" s="4" customFormat="1" spans="5:23">
      <c r="E2" s="9"/>
      <c r="F2" s="9" t="s">
        <v>32</v>
      </c>
      <c r="G2" s="9"/>
      <c r="H2" s="9"/>
      <c r="I2" s="9"/>
      <c r="J2" s="9"/>
      <c r="K2" s="9"/>
      <c r="M2" s="9"/>
      <c r="N2" s="9"/>
      <c r="O2" s="9"/>
      <c r="P2" s="9"/>
      <c r="Q2" s="9"/>
      <c r="R2" s="75"/>
      <c r="S2" s="76"/>
      <c r="T2" s="76"/>
      <c r="U2" s="76" t="s">
        <v>33</v>
      </c>
      <c r="V2" s="75"/>
      <c r="W2" s="9"/>
    </row>
    <row r="3" s="4" customFormat="1" spans="5:23">
      <c r="E3" s="9"/>
      <c r="F3" s="9">
        <v>2014</v>
      </c>
      <c r="G3" s="9">
        <v>2015</v>
      </c>
      <c r="H3" s="9">
        <v>2016</v>
      </c>
      <c r="I3" s="9">
        <v>2017</v>
      </c>
      <c r="J3" s="9">
        <v>2018</v>
      </c>
      <c r="K3" s="9">
        <v>2019</v>
      </c>
      <c r="L3" s="9">
        <v>2020</v>
      </c>
      <c r="M3" s="9">
        <v>2021</v>
      </c>
      <c r="N3" s="9">
        <v>2022</v>
      </c>
      <c r="O3" s="9">
        <v>2023</v>
      </c>
      <c r="P3" s="9">
        <v>2024</v>
      </c>
      <c r="Q3" s="9"/>
      <c r="R3" s="75" t="s">
        <v>34</v>
      </c>
      <c r="S3" s="76" t="s">
        <v>35</v>
      </c>
      <c r="T3" s="76" t="s">
        <v>7</v>
      </c>
      <c r="U3" s="76" t="s">
        <v>36</v>
      </c>
      <c r="V3" s="75"/>
      <c r="W3" s="9"/>
    </row>
    <row r="5" ht="15.75" spans="2:2">
      <c r="B5" s="10" t="s">
        <v>37</v>
      </c>
    </row>
    <row r="6" spans="3:16">
      <c r="C6" t="s">
        <v>38</v>
      </c>
      <c r="F6" s="6">
        <v>727</v>
      </c>
      <c r="G6" s="6">
        <v>791</v>
      </c>
      <c r="H6" s="6">
        <v>643</v>
      </c>
      <c r="I6" s="6">
        <v>904</v>
      </c>
      <c r="J6" s="6">
        <v>1274</v>
      </c>
      <c r="K6" s="6">
        <v>1506</v>
      </c>
      <c r="L6" s="6">
        <v>886</v>
      </c>
      <c r="M6" s="6">
        <v>3214</v>
      </c>
      <c r="N6" s="6">
        <v>4349</v>
      </c>
      <c r="O6" s="6">
        <v>8292</v>
      </c>
      <c r="P6" s="6">
        <v>26966</v>
      </c>
    </row>
    <row r="7" spans="3:16">
      <c r="C7" t="s">
        <v>39</v>
      </c>
      <c r="F7" s="71">
        <v>1321</v>
      </c>
      <c r="G7" s="71">
        <v>1594</v>
      </c>
      <c r="H7" s="6">
        <v>1912</v>
      </c>
      <c r="I7" s="6">
        <v>2546</v>
      </c>
      <c r="J7" s="6">
        <v>2991</v>
      </c>
      <c r="K7" s="6">
        <v>3360</v>
      </c>
      <c r="L7" s="6">
        <v>3025</v>
      </c>
      <c r="M7" s="6">
        <v>4531</v>
      </c>
      <c r="N7" s="6">
        <v>8544</v>
      </c>
      <c r="O7" s="6">
        <v>6986</v>
      </c>
      <c r="P7" s="6">
        <v>13405</v>
      </c>
    </row>
    <row r="8" spans="3:16">
      <c r="C8" t="s">
        <v>40</v>
      </c>
      <c r="F8" s="71">
        <v>794</v>
      </c>
      <c r="G8" s="71">
        <v>922</v>
      </c>
      <c r="H8" s="6">
        <v>806</v>
      </c>
      <c r="I8" s="6">
        <v>1305</v>
      </c>
      <c r="J8" s="6">
        <v>1896</v>
      </c>
      <c r="K8" s="6">
        <v>2801</v>
      </c>
      <c r="L8" s="6">
        <v>2731</v>
      </c>
      <c r="M8" s="6">
        <v>3886</v>
      </c>
      <c r="N8" s="6">
        <v>7111</v>
      </c>
      <c r="O8" s="6">
        <v>5785</v>
      </c>
      <c r="P8" s="6">
        <v>10306</v>
      </c>
    </row>
    <row r="9" spans="3:16">
      <c r="C9" t="s">
        <v>41</v>
      </c>
      <c r="F9" s="71">
        <f>675+295+318</f>
        <v>1288</v>
      </c>
      <c r="G9" s="71">
        <f>638+369+368</f>
        <v>1375</v>
      </c>
      <c r="H9" s="6">
        <f>749+482+418</f>
        <v>1649</v>
      </c>
      <c r="I9" s="6">
        <f>1010+659+486</f>
        <v>2155</v>
      </c>
      <c r="J9" s="6">
        <f>2066+768+719</f>
        <v>3553</v>
      </c>
      <c r="K9" s="6">
        <f>2368+914+767</f>
        <v>4049</v>
      </c>
      <c r="L9" s="6">
        <v>4276</v>
      </c>
      <c r="M9" s="6">
        <v>5044</v>
      </c>
      <c r="N9" s="6">
        <v>6910</v>
      </c>
      <c r="O9" s="6">
        <v>5911</v>
      </c>
      <c r="P9" s="6">
        <v>10245</v>
      </c>
    </row>
    <row r="10" spans="2:16">
      <c r="B10" t="s">
        <v>42</v>
      </c>
      <c r="F10" s="11">
        <f t="shared" ref="F10:P10" si="0">SUM(F6:F9)</f>
        <v>4130</v>
      </c>
      <c r="G10" s="11">
        <f t="shared" si="0"/>
        <v>4682</v>
      </c>
      <c r="H10" s="11">
        <f t="shared" si="0"/>
        <v>5010</v>
      </c>
      <c r="I10" s="11">
        <f t="shared" si="0"/>
        <v>6910</v>
      </c>
      <c r="J10" s="11">
        <f t="shared" si="0"/>
        <v>9714</v>
      </c>
      <c r="K10" s="11">
        <f t="shared" si="0"/>
        <v>11716</v>
      </c>
      <c r="L10" s="11">
        <f t="shared" si="0"/>
        <v>10918</v>
      </c>
      <c r="M10" s="11">
        <f t="shared" si="0"/>
        <v>16675</v>
      </c>
      <c r="N10" s="11">
        <f t="shared" si="0"/>
        <v>26914</v>
      </c>
      <c r="O10" s="11">
        <f t="shared" si="0"/>
        <v>26974</v>
      </c>
      <c r="P10" s="11">
        <f t="shared" si="0"/>
        <v>60922</v>
      </c>
    </row>
    <row r="12" ht="15.75" spans="2:2">
      <c r="B12" s="10" t="s">
        <v>43</v>
      </c>
    </row>
    <row r="13" spans="3:16">
      <c r="C13" t="s">
        <v>44</v>
      </c>
      <c r="F13" s="6">
        <v>199</v>
      </c>
      <c r="G13" s="6">
        <v>317</v>
      </c>
      <c r="H13" s="6">
        <v>339</v>
      </c>
      <c r="I13" s="6">
        <v>830</v>
      </c>
      <c r="J13" s="6">
        <v>1932</v>
      </c>
      <c r="K13" s="6">
        <v>2932</v>
      </c>
      <c r="L13" s="6">
        <v>2983</v>
      </c>
      <c r="M13" s="6">
        <v>6696</v>
      </c>
      <c r="N13" s="6">
        <v>10613</v>
      </c>
      <c r="O13" s="6">
        <v>15005</v>
      </c>
      <c r="P13" s="6">
        <v>47525</v>
      </c>
    </row>
    <row r="14" spans="3:16">
      <c r="C14" t="s">
        <v>45</v>
      </c>
      <c r="F14" s="6">
        <v>1511</v>
      </c>
      <c r="G14" s="6">
        <v>2058</v>
      </c>
      <c r="H14" s="6">
        <v>2818</v>
      </c>
      <c r="I14" s="6">
        <v>4060</v>
      </c>
      <c r="J14" s="6">
        <v>5513</v>
      </c>
      <c r="K14" s="6">
        <v>6246</v>
      </c>
      <c r="L14" s="6">
        <v>5518</v>
      </c>
      <c r="M14" s="6">
        <v>7759</v>
      </c>
      <c r="N14" s="6">
        <v>12462</v>
      </c>
      <c r="O14" s="6">
        <v>9067</v>
      </c>
      <c r="P14" s="6">
        <v>10447</v>
      </c>
    </row>
    <row r="15" spans="3:16">
      <c r="C15" t="s">
        <v>46</v>
      </c>
      <c r="F15" s="6">
        <v>789</v>
      </c>
      <c r="G15" s="6">
        <v>795</v>
      </c>
      <c r="H15" s="6">
        <v>750</v>
      </c>
      <c r="I15" s="6">
        <v>835</v>
      </c>
      <c r="J15" s="6">
        <v>934</v>
      </c>
      <c r="K15" s="6">
        <v>1130</v>
      </c>
      <c r="L15" s="6">
        <v>1212</v>
      </c>
      <c r="M15" s="6">
        <v>1053</v>
      </c>
      <c r="N15" s="6">
        <v>2111</v>
      </c>
      <c r="O15" s="6">
        <v>1544</v>
      </c>
      <c r="P15" s="6">
        <v>1553</v>
      </c>
    </row>
    <row r="16" spans="3:16">
      <c r="C16" t="s">
        <v>47</v>
      </c>
      <c r="F16" s="6">
        <v>99</v>
      </c>
      <c r="G16" s="6">
        <v>183</v>
      </c>
      <c r="H16" s="6">
        <v>320</v>
      </c>
      <c r="I16" s="6">
        <v>487</v>
      </c>
      <c r="J16" s="6">
        <v>558</v>
      </c>
      <c r="K16" s="6">
        <v>641</v>
      </c>
      <c r="L16" s="6">
        <v>700</v>
      </c>
      <c r="M16" s="6">
        <v>536</v>
      </c>
      <c r="N16" s="6">
        <v>566</v>
      </c>
      <c r="O16" s="6">
        <v>903</v>
      </c>
      <c r="P16" s="6">
        <v>1091</v>
      </c>
    </row>
    <row r="17" spans="3:16">
      <c r="C17" t="s">
        <v>48</v>
      </c>
      <c r="F17" s="6">
        <v>1532</v>
      </c>
      <c r="G17" s="6">
        <v>1329</v>
      </c>
      <c r="H17" s="6">
        <v>783</v>
      </c>
      <c r="I17" s="6">
        <v>698</v>
      </c>
      <c r="J17" s="6">
        <v>777</v>
      </c>
      <c r="K17" s="6">
        <v>767</v>
      </c>
      <c r="L17" s="6">
        <v>505</v>
      </c>
      <c r="M17" s="6">
        <v>631</v>
      </c>
      <c r="N17" s="6">
        <v>1162</v>
      </c>
      <c r="O17" s="6">
        <v>455</v>
      </c>
      <c r="P17" s="6">
        <v>306</v>
      </c>
    </row>
    <row r="18" spans="2:16">
      <c r="B18" t="s">
        <v>42</v>
      </c>
      <c r="F18" s="11">
        <f>SUM(F13:F17)</f>
        <v>4130</v>
      </c>
      <c r="G18" s="11">
        <f t="shared" ref="G18:P18" si="1">SUM(G13:G17)</f>
        <v>4682</v>
      </c>
      <c r="H18" s="11">
        <f t="shared" si="1"/>
        <v>5010</v>
      </c>
      <c r="I18" s="11">
        <f t="shared" si="1"/>
        <v>6910</v>
      </c>
      <c r="J18" s="11">
        <f t="shared" si="1"/>
        <v>9714</v>
      </c>
      <c r="K18" s="11">
        <f t="shared" si="1"/>
        <v>11716</v>
      </c>
      <c r="L18" s="11">
        <f t="shared" si="1"/>
        <v>10918</v>
      </c>
      <c r="M18" s="11">
        <f t="shared" si="1"/>
        <v>16675</v>
      </c>
      <c r="N18" s="11">
        <f t="shared" si="1"/>
        <v>26914</v>
      </c>
      <c r="O18" s="11">
        <f t="shared" si="1"/>
        <v>26974</v>
      </c>
      <c r="P18" s="11">
        <f t="shared" si="1"/>
        <v>60922</v>
      </c>
    </row>
    <row r="20" ht="15.75" spans="2:2">
      <c r="B20" s="10" t="s">
        <v>49</v>
      </c>
    </row>
    <row r="21" spans="3:18">
      <c r="C21" t="s">
        <v>50</v>
      </c>
      <c r="D21"/>
      <c r="F21" s="6">
        <v>398</v>
      </c>
      <c r="G21" s="6">
        <v>579</v>
      </c>
      <c r="H21" s="6">
        <v>559</v>
      </c>
      <c r="I21" s="6">
        <v>824</v>
      </c>
      <c r="J21" s="6">
        <v>1534</v>
      </c>
      <c r="K21" s="6">
        <v>3557</v>
      </c>
      <c r="L21" s="6">
        <v>3279</v>
      </c>
      <c r="M21" s="6">
        <v>6841</v>
      </c>
      <c r="N21" s="6">
        <v>11046</v>
      </c>
      <c r="O21" s="6">
        <v>15068</v>
      </c>
      <c r="P21" s="6">
        <v>47405</v>
      </c>
      <c r="R21" s="77"/>
    </row>
    <row r="22" spans="3:18">
      <c r="C22" t="s">
        <v>51</v>
      </c>
      <c r="D22"/>
      <c r="F22" s="6">
        <v>3468</v>
      </c>
      <c r="G22" s="6">
        <v>3839</v>
      </c>
      <c r="H22" s="6">
        <v>4187</v>
      </c>
      <c r="I22" s="6">
        <v>5822</v>
      </c>
      <c r="J22" s="6">
        <v>8137</v>
      </c>
      <c r="K22" s="6">
        <v>8159</v>
      </c>
      <c r="L22" s="6">
        <v>7639</v>
      </c>
      <c r="M22" s="6">
        <v>9834</v>
      </c>
      <c r="N22" s="6">
        <v>15868</v>
      </c>
      <c r="O22" s="6">
        <v>11906</v>
      </c>
      <c r="P22" s="6">
        <v>13517</v>
      </c>
      <c r="R22" s="77"/>
    </row>
    <row r="23" spans="3:18">
      <c r="C23" t="s">
        <v>52</v>
      </c>
      <c r="D23"/>
      <c r="F23" s="6">
        <v>264</v>
      </c>
      <c r="G23" s="6">
        <v>264</v>
      </c>
      <c r="H23" s="6">
        <v>264</v>
      </c>
      <c r="I23" s="6">
        <v>264</v>
      </c>
      <c r="J23" s="6">
        <v>43</v>
      </c>
      <c r="K23" s="6">
        <v>0</v>
      </c>
      <c r="L23" s="6">
        <v>0</v>
      </c>
      <c r="M23" s="6">
        <v>0</v>
      </c>
      <c r="N23" s="6">
        <v>0</v>
      </c>
      <c r="O23" s="6">
        <v>0</v>
      </c>
      <c r="P23" s="6">
        <v>0</v>
      </c>
      <c r="R23" s="77"/>
    </row>
    <row r="24" spans="2:18">
      <c r="B24" t="s">
        <v>42</v>
      </c>
      <c r="F24" s="11">
        <f>SUM(F21:F23)</f>
        <v>4130</v>
      </c>
      <c r="G24" s="11">
        <f t="shared" ref="G24:P24" si="2">SUM(G21:G23)</f>
        <v>4682</v>
      </c>
      <c r="H24" s="11">
        <f t="shared" si="2"/>
        <v>5010</v>
      </c>
      <c r="I24" s="11">
        <f t="shared" si="2"/>
        <v>6910</v>
      </c>
      <c r="J24" s="11">
        <f t="shared" si="2"/>
        <v>9714</v>
      </c>
      <c r="K24" s="11">
        <f t="shared" si="2"/>
        <v>11716</v>
      </c>
      <c r="L24" s="11">
        <f t="shared" si="2"/>
        <v>10918</v>
      </c>
      <c r="M24" s="11">
        <f t="shared" si="2"/>
        <v>16675</v>
      </c>
      <c r="N24" s="11">
        <f t="shared" si="2"/>
        <v>26914</v>
      </c>
      <c r="O24" s="11">
        <f t="shared" si="2"/>
        <v>26974</v>
      </c>
      <c r="P24" s="11">
        <f t="shared" si="2"/>
        <v>60922</v>
      </c>
      <c r="R24" s="78"/>
    </row>
    <row r="25" spans="18:18">
      <c r="R25" s="79"/>
    </row>
    <row r="26" ht="15.75" spans="2:18">
      <c r="B26" s="10" t="s">
        <v>53</v>
      </c>
      <c r="R26" s="79"/>
    </row>
    <row r="27" spans="3:22">
      <c r="C27" t="s">
        <v>50</v>
      </c>
      <c r="F27" s="71">
        <v>-268</v>
      </c>
      <c r="G27" s="71">
        <v>-254</v>
      </c>
      <c r="H27" s="71">
        <v>-239</v>
      </c>
      <c r="I27" s="71">
        <v>-9</v>
      </c>
      <c r="J27" s="71">
        <v>303</v>
      </c>
      <c r="K27" s="71">
        <v>1251</v>
      </c>
      <c r="L27" s="6">
        <v>751</v>
      </c>
      <c r="M27" s="6">
        <v>2548</v>
      </c>
      <c r="N27" s="6">
        <v>4598</v>
      </c>
      <c r="O27" s="6">
        <v>5083</v>
      </c>
      <c r="P27" s="6">
        <v>32016</v>
      </c>
      <c r="R27" s="80"/>
      <c r="S27" s="76"/>
      <c r="T27" s="76"/>
      <c r="U27" s="76"/>
      <c r="V27" s="75"/>
    </row>
    <row r="28" spans="3:22">
      <c r="C28" t="s">
        <v>51</v>
      </c>
      <c r="F28" s="71">
        <v>835</v>
      </c>
      <c r="G28" s="71">
        <v>1113</v>
      </c>
      <c r="H28" s="71">
        <v>1344</v>
      </c>
      <c r="I28" s="71">
        <v>2180</v>
      </c>
      <c r="J28" s="71">
        <v>3507</v>
      </c>
      <c r="K28" s="71">
        <v>3417</v>
      </c>
      <c r="L28" s="6">
        <v>3267</v>
      </c>
      <c r="M28" s="6">
        <v>4612</v>
      </c>
      <c r="N28" s="6">
        <v>8492</v>
      </c>
      <c r="O28" s="6">
        <v>4552</v>
      </c>
      <c r="P28" s="6">
        <v>5846</v>
      </c>
      <c r="R28" s="75"/>
      <c r="S28" s="76"/>
      <c r="T28" s="76"/>
      <c r="U28" s="76"/>
      <c r="V28" s="75"/>
    </row>
    <row r="29" spans="3:16">
      <c r="C29" t="s">
        <v>52</v>
      </c>
      <c r="F29" s="6">
        <v>-71</v>
      </c>
      <c r="G29" s="6">
        <v>-100</v>
      </c>
      <c r="H29" s="6">
        <v>-358</v>
      </c>
      <c r="I29" s="6">
        <v>-237</v>
      </c>
      <c r="J29" s="6">
        <v>-600</v>
      </c>
      <c r="K29" s="6">
        <v>-864</v>
      </c>
      <c r="L29" s="6">
        <v>-1172</v>
      </c>
      <c r="M29" s="6">
        <v>-2628</v>
      </c>
      <c r="N29" s="6">
        <v>-3049</v>
      </c>
      <c r="O29" s="6">
        <v>-5411</v>
      </c>
      <c r="P29" s="6">
        <v>-4890</v>
      </c>
    </row>
    <row r="30" spans="2:16">
      <c r="B30" t="s">
        <v>54</v>
      </c>
      <c r="F30" s="11">
        <f t="shared" ref="F30:P30" si="3">SUM(F27:F29)</f>
        <v>496</v>
      </c>
      <c r="G30" s="11">
        <f t="shared" si="3"/>
        <v>759</v>
      </c>
      <c r="H30" s="11">
        <f t="shared" si="3"/>
        <v>747</v>
      </c>
      <c r="I30" s="11">
        <f t="shared" si="3"/>
        <v>1934</v>
      </c>
      <c r="J30" s="11">
        <f t="shared" si="3"/>
        <v>3210</v>
      </c>
      <c r="K30" s="11">
        <f t="shared" si="3"/>
        <v>3804</v>
      </c>
      <c r="L30" s="11">
        <f t="shared" si="3"/>
        <v>2846</v>
      </c>
      <c r="M30" s="11">
        <f t="shared" si="3"/>
        <v>4532</v>
      </c>
      <c r="N30" s="11">
        <f t="shared" si="3"/>
        <v>10041</v>
      </c>
      <c r="O30" s="11">
        <f t="shared" si="3"/>
        <v>4224</v>
      </c>
      <c r="P30" s="11">
        <f t="shared" si="3"/>
        <v>32972</v>
      </c>
    </row>
    <row r="33" ht="15.75" spans="3:4">
      <c r="C33" s="18" t="s">
        <v>55</v>
      </c>
      <c r="D33" s="17"/>
    </row>
    <row r="34" spans="3:18">
      <c r="C34" s="17" t="s">
        <v>38</v>
      </c>
      <c r="D34" s="17"/>
      <c r="F34" s="28">
        <f t="shared" ref="F34:P34" si="4">F6/F$10*100</f>
        <v>17.6029055690073</v>
      </c>
      <c r="G34" s="28">
        <f t="shared" si="4"/>
        <v>16.894489534387</v>
      </c>
      <c r="H34" s="28">
        <f t="shared" si="4"/>
        <v>12.8343313373254</v>
      </c>
      <c r="I34" s="28">
        <f t="shared" si="4"/>
        <v>13.082489146165</v>
      </c>
      <c r="J34" s="28">
        <f t="shared" si="4"/>
        <v>13.1150916203418</v>
      </c>
      <c r="K34" s="28">
        <f t="shared" si="4"/>
        <v>12.8542164561284</v>
      </c>
      <c r="L34" s="28">
        <f t="shared" si="4"/>
        <v>8.11503938450266</v>
      </c>
      <c r="M34" s="28">
        <f t="shared" si="4"/>
        <v>19.2743628185907</v>
      </c>
      <c r="N34" s="28">
        <f t="shared" si="4"/>
        <v>16.1588764211934</v>
      </c>
      <c r="O34" s="28">
        <f t="shared" si="4"/>
        <v>30.7407132794543</v>
      </c>
      <c r="P34" s="28">
        <f t="shared" si="4"/>
        <v>44.2631561669019</v>
      </c>
      <c r="R34" s="73">
        <f>AVERAGEIF(E34:Q34,"&lt;&gt;0")</f>
        <v>18.6305156121816</v>
      </c>
    </row>
    <row r="35" spans="3:18">
      <c r="C35" s="17" t="s">
        <v>39</v>
      </c>
      <c r="D35" s="17"/>
      <c r="F35" s="28">
        <f t="shared" ref="F35:P35" si="5">F7/F$10*100</f>
        <v>31.9854721549637</v>
      </c>
      <c r="G35" s="28">
        <f t="shared" si="5"/>
        <v>34.0452797949594</v>
      </c>
      <c r="H35" s="28">
        <f t="shared" si="5"/>
        <v>38.1636726546906</v>
      </c>
      <c r="I35" s="28">
        <f t="shared" si="5"/>
        <v>36.8451519536903</v>
      </c>
      <c r="J35" s="28">
        <f t="shared" si="5"/>
        <v>30.7906114885732</v>
      </c>
      <c r="K35" s="28">
        <f t="shared" si="5"/>
        <v>28.6787299419597</v>
      </c>
      <c r="L35" s="28">
        <f t="shared" si="5"/>
        <v>27.7065396592783</v>
      </c>
      <c r="M35" s="28">
        <f t="shared" si="5"/>
        <v>27.1724137931035</v>
      </c>
      <c r="N35" s="28">
        <f t="shared" si="5"/>
        <v>31.7455599316341</v>
      </c>
      <c r="O35" s="28">
        <f t="shared" si="5"/>
        <v>25.8990138652035</v>
      </c>
      <c r="P35" s="28">
        <f t="shared" si="5"/>
        <v>22.0035455172187</v>
      </c>
      <c r="R35" s="73">
        <f>AVERAGEIF(E35:Q35,"&lt;&gt;0")</f>
        <v>30.4578173413886</v>
      </c>
    </row>
    <row r="36" spans="3:18">
      <c r="C36" s="17" t="s">
        <v>56</v>
      </c>
      <c r="D36" s="17"/>
      <c r="F36" s="28">
        <f t="shared" ref="F36:P36" si="6">F8/F$10*100</f>
        <v>19.225181598063</v>
      </c>
      <c r="G36" s="28">
        <f t="shared" si="6"/>
        <v>19.6924391285775</v>
      </c>
      <c r="H36" s="28">
        <f t="shared" si="6"/>
        <v>16.0878243512974</v>
      </c>
      <c r="I36" s="28">
        <f t="shared" si="6"/>
        <v>18.8856729377713</v>
      </c>
      <c r="J36" s="28">
        <f t="shared" si="6"/>
        <v>19.5182211241507</v>
      </c>
      <c r="K36" s="28">
        <f t="shared" si="6"/>
        <v>23.907476954592</v>
      </c>
      <c r="L36" s="28">
        <f t="shared" si="6"/>
        <v>25.0137387799963</v>
      </c>
      <c r="M36" s="28">
        <f t="shared" si="6"/>
        <v>23.304347826087</v>
      </c>
      <c r="N36" s="28">
        <f t="shared" si="6"/>
        <v>26.4211934309281</v>
      </c>
      <c r="O36" s="28">
        <f t="shared" si="6"/>
        <v>21.4465781864017</v>
      </c>
      <c r="P36" s="28">
        <f t="shared" si="6"/>
        <v>16.9167131742228</v>
      </c>
      <c r="R36" s="73">
        <f t="shared" ref="R36:R45" si="7">AVERAGEIF(E36:Q36,"&lt;&gt;0")</f>
        <v>20.9472170447353</v>
      </c>
    </row>
    <row r="37" spans="3:18">
      <c r="C37" s="17" t="s">
        <v>41</v>
      </c>
      <c r="D37" s="17"/>
      <c r="F37" s="28">
        <f t="shared" ref="F37:P37" si="8">F9/F$10*100</f>
        <v>31.1864406779661</v>
      </c>
      <c r="G37" s="28">
        <f t="shared" si="8"/>
        <v>29.367791542076</v>
      </c>
      <c r="H37" s="28">
        <f t="shared" si="8"/>
        <v>32.9141716566866</v>
      </c>
      <c r="I37" s="28">
        <f t="shared" si="8"/>
        <v>31.1866859623734</v>
      </c>
      <c r="J37" s="28">
        <f t="shared" si="8"/>
        <v>36.5760757669343</v>
      </c>
      <c r="K37" s="28">
        <f t="shared" si="8"/>
        <v>34.5595766473199</v>
      </c>
      <c r="L37" s="28">
        <f t="shared" si="8"/>
        <v>39.1646821762228</v>
      </c>
      <c r="M37" s="28">
        <f t="shared" si="8"/>
        <v>30.2488755622189</v>
      </c>
      <c r="N37" s="28">
        <f t="shared" si="8"/>
        <v>25.6743702162443</v>
      </c>
      <c r="O37" s="28">
        <f t="shared" si="8"/>
        <v>21.9136946689405</v>
      </c>
      <c r="P37" s="28">
        <f t="shared" si="8"/>
        <v>16.8165851416565</v>
      </c>
      <c r="R37" s="73">
        <f t="shared" si="7"/>
        <v>29.9644500016945</v>
      </c>
    </row>
    <row r="38" spans="6:16">
      <c r="F38" s="72">
        <f t="shared" ref="F38:P38" si="9">SUM(F34:F37)</f>
        <v>100</v>
      </c>
      <c r="G38" s="72">
        <f t="shared" si="9"/>
        <v>100</v>
      </c>
      <c r="H38" s="72">
        <f t="shared" si="9"/>
        <v>100</v>
      </c>
      <c r="I38" s="72">
        <f t="shared" si="9"/>
        <v>100</v>
      </c>
      <c r="J38" s="72">
        <f t="shared" si="9"/>
        <v>100</v>
      </c>
      <c r="K38" s="72">
        <f t="shared" si="9"/>
        <v>100</v>
      </c>
      <c r="L38" s="72">
        <f t="shared" si="9"/>
        <v>100</v>
      </c>
      <c r="M38" s="72">
        <f t="shared" si="9"/>
        <v>100</v>
      </c>
      <c r="N38" s="72">
        <f t="shared" si="9"/>
        <v>100</v>
      </c>
      <c r="O38" s="72">
        <f t="shared" si="9"/>
        <v>100</v>
      </c>
      <c r="P38" s="72">
        <f t="shared" si="9"/>
        <v>100</v>
      </c>
    </row>
    <row r="39" spans="6:16">
      <c r="F39" s="73"/>
      <c r="G39" s="73"/>
      <c r="H39" s="73"/>
      <c r="I39" s="73"/>
      <c r="J39" s="73"/>
      <c r="K39" s="73"/>
      <c r="L39" s="73"/>
      <c r="M39" s="73"/>
      <c r="N39" s="73"/>
      <c r="O39" s="73"/>
      <c r="P39" s="73"/>
    </row>
    <row r="40" ht="15.75" spans="3:16">
      <c r="C40" s="18" t="s">
        <v>57</v>
      </c>
      <c r="D40" s="17"/>
      <c r="F40" s="73"/>
      <c r="G40" s="73"/>
      <c r="H40" s="73"/>
      <c r="I40" s="73"/>
      <c r="J40" s="73"/>
      <c r="K40" s="73"/>
      <c r="L40" s="73"/>
      <c r="M40" s="73"/>
      <c r="N40" s="73"/>
      <c r="O40" s="73"/>
      <c r="P40" s="73"/>
    </row>
    <row r="41" spans="3:18">
      <c r="C41" s="17" t="s">
        <v>44</v>
      </c>
      <c r="D41" s="17"/>
      <c r="F41" s="28">
        <f t="shared" ref="F41:P41" si="10">F13/F$18*100</f>
        <v>4.818401937046</v>
      </c>
      <c r="G41" s="28">
        <f t="shared" si="10"/>
        <v>6.77061085006408</v>
      </c>
      <c r="H41" s="28">
        <f t="shared" si="10"/>
        <v>6.76646706586826</v>
      </c>
      <c r="I41" s="28">
        <f t="shared" si="10"/>
        <v>12.0115774240232</v>
      </c>
      <c r="J41" s="28">
        <f t="shared" si="10"/>
        <v>19.8888202594194</v>
      </c>
      <c r="K41" s="28">
        <f t="shared" si="10"/>
        <v>25.0256060088767</v>
      </c>
      <c r="L41" s="28">
        <f t="shared" si="10"/>
        <v>27.3218538193808</v>
      </c>
      <c r="M41" s="28">
        <f t="shared" si="10"/>
        <v>40.1559220389805</v>
      </c>
      <c r="N41" s="28">
        <f t="shared" si="10"/>
        <v>39.4330088429814</v>
      </c>
      <c r="O41" s="28">
        <f t="shared" si="10"/>
        <v>55.6276414324905</v>
      </c>
      <c r="P41" s="28">
        <f t="shared" si="10"/>
        <v>78.0095860280359</v>
      </c>
      <c r="R41" s="73">
        <f t="shared" si="7"/>
        <v>28.7117723370152</v>
      </c>
    </row>
    <row r="42" spans="3:18">
      <c r="C42" s="17" t="s">
        <v>45</v>
      </c>
      <c r="D42" s="17"/>
      <c r="F42" s="28">
        <f t="shared" ref="F42:P42" si="11">F14/F$18*100</f>
        <v>36.5859564164649</v>
      </c>
      <c r="G42" s="28">
        <f t="shared" si="11"/>
        <v>43.9555745407945</v>
      </c>
      <c r="H42" s="28">
        <f t="shared" si="11"/>
        <v>56.24750499002</v>
      </c>
      <c r="I42" s="28">
        <f t="shared" si="11"/>
        <v>58.7554269175109</v>
      </c>
      <c r="J42" s="28">
        <f t="shared" si="11"/>
        <v>56.7531397982294</v>
      </c>
      <c r="K42" s="28">
        <f t="shared" si="11"/>
        <v>53.311710481393</v>
      </c>
      <c r="L42" s="28">
        <f t="shared" si="11"/>
        <v>50.5403920131892</v>
      </c>
      <c r="M42" s="28">
        <f t="shared" si="11"/>
        <v>46.5307346326837</v>
      </c>
      <c r="N42" s="28">
        <f t="shared" si="11"/>
        <v>46.3030393103961</v>
      </c>
      <c r="O42" s="28">
        <f t="shared" si="11"/>
        <v>33.6138503744346</v>
      </c>
      <c r="P42" s="28">
        <f t="shared" si="11"/>
        <v>17.1481566593349</v>
      </c>
      <c r="R42" s="73">
        <f t="shared" si="7"/>
        <v>45.4314078304046</v>
      </c>
    </row>
    <row r="43" spans="3:18">
      <c r="C43" s="17" t="s">
        <v>46</v>
      </c>
      <c r="D43" s="17"/>
      <c r="F43" s="28">
        <f t="shared" ref="F43:P43" si="12">F15/F$18*100</f>
        <v>19.1041162227603</v>
      </c>
      <c r="G43" s="28">
        <f t="shared" si="12"/>
        <v>16.9799231097821</v>
      </c>
      <c r="H43" s="28">
        <f t="shared" si="12"/>
        <v>14.9700598802395</v>
      </c>
      <c r="I43" s="28">
        <f t="shared" si="12"/>
        <v>12.0839363241679</v>
      </c>
      <c r="J43" s="28">
        <f t="shared" si="12"/>
        <v>9.61498867613753</v>
      </c>
      <c r="K43" s="28">
        <f t="shared" si="12"/>
        <v>9.6449300102424</v>
      </c>
      <c r="L43" s="28">
        <f t="shared" si="12"/>
        <v>11.1009342370398</v>
      </c>
      <c r="M43" s="28">
        <f t="shared" si="12"/>
        <v>6.31484257871064</v>
      </c>
      <c r="N43" s="28">
        <f t="shared" si="12"/>
        <v>7.84350152337074</v>
      </c>
      <c r="O43" s="28">
        <f t="shared" si="12"/>
        <v>5.72403054793505</v>
      </c>
      <c r="P43" s="28">
        <f t="shared" si="12"/>
        <v>2.54916122254686</v>
      </c>
      <c r="R43" s="73">
        <f t="shared" si="7"/>
        <v>10.5391294848121</v>
      </c>
    </row>
    <row r="44" spans="3:18">
      <c r="C44" s="17" t="s">
        <v>47</v>
      </c>
      <c r="D44" s="17"/>
      <c r="F44" s="28">
        <f t="shared" ref="F44:P44" si="13">F16/F$18*100</f>
        <v>2.39709443099274</v>
      </c>
      <c r="G44" s="28">
        <f t="shared" si="13"/>
        <v>3.90858607432721</v>
      </c>
      <c r="H44" s="28">
        <f t="shared" si="13"/>
        <v>6.38722554890219</v>
      </c>
      <c r="I44" s="28">
        <f t="shared" si="13"/>
        <v>7.04775687409551</v>
      </c>
      <c r="J44" s="28">
        <f t="shared" si="13"/>
        <v>5.74428659666461</v>
      </c>
      <c r="K44" s="28">
        <f t="shared" si="13"/>
        <v>5.47115056333219</v>
      </c>
      <c r="L44" s="28">
        <f t="shared" si="13"/>
        <v>6.41143066495695</v>
      </c>
      <c r="M44" s="28">
        <f t="shared" si="13"/>
        <v>3.2143928035982</v>
      </c>
      <c r="N44" s="28">
        <f t="shared" si="13"/>
        <v>2.1029947239355</v>
      </c>
      <c r="O44" s="28">
        <f t="shared" si="13"/>
        <v>3.34766812486098</v>
      </c>
      <c r="P44" s="28">
        <f t="shared" si="13"/>
        <v>1.79081448409442</v>
      </c>
      <c r="R44" s="73">
        <f t="shared" si="7"/>
        <v>4.34758189906914</v>
      </c>
    </row>
    <row r="45" spans="3:18">
      <c r="C45" s="17" t="s">
        <v>48</v>
      </c>
      <c r="D45" s="17"/>
      <c r="F45" s="28">
        <f t="shared" ref="F45:P45" si="14">F17/F$18*100</f>
        <v>37.0944309927361</v>
      </c>
      <c r="G45" s="28">
        <f t="shared" si="14"/>
        <v>28.385305425032</v>
      </c>
      <c r="H45" s="28">
        <f t="shared" si="14"/>
        <v>15.6287425149701</v>
      </c>
      <c r="I45" s="28">
        <f t="shared" si="14"/>
        <v>10.1013024602026</v>
      </c>
      <c r="J45" s="28">
        <f t="shared" si="14"/>
        <v>7.9987646695491</v>
      </c>
      <c r="K45" s="28">
        <f t="shared" si="14"/>
        <v>6.54660293615568</v>
      </c>
      <c r="L45" s="28">
        <f t="shared" si="14"/>
        <v>4.62538926543323</v>
      </c>
      <c r="M45" s="28">
        <f t="shared" si="14"/>
        <v>3.78410794602699</v>
      </c>
      <c r="N45" s="28">
        <f t="shared" si="14"/>
        <v>4.31745559931634</v>
      </c>
      <c r="O45" s="28">
        <f t="shared" si="14"/>
        <v>1.68680952027879</v>
      </c>
      <c r="P45" s="28">
        <f t="shared" si="14"/>
        <v>0.502281605987985</v>
      </c>
      <c r="R45" s="73">
        <f t="shared" si="7"/>
        <v>10.970108448699</v>
      </c>
    </row>
    <row r="46" spans="6:16">
      <c r="F46" s="72">
        <f>SUM(F41:F45)</f>
        <v>100</v>
      </c>
      <c r="G46" s="72">
        <f t="shared" ref="G46:P46" si="15">SUM(G41:G45)</f>
        <v>100</v>
      </c>
      <c r="H46" s="72">
        <f t="shared" si="15"/>
        <v>100</v>
      </c>
      <c r="I46" s="72">
        <f t="shared" si="15"/>
        <v>100</v>
      </c>
      <c r="J46" s="72">
        <f t="shared" si="15"/>
        <v>100</v>
      </c>
      <c r="K46" s="72">
        <f t="shared" si="15"/>
        <v>100</v>
      </c>
      <c r="L46" s="72">
        <f t="shared" si="15"/>
        <v>100</v>
      </c>
      <c r="M46" s="72">
        <f t="shared" si="15"/>
        <v>100</v>
      </c>
      <c r="N46" s="72">
        <f t="shared" si="15"/>
        <v>100</v>
      </c>
      <c r="O46" s="72">
        <f t="shared" si="15"/>
        <v>100</v>
      </c>
      <c r="P46" s="72">
        <f t="shared" si="15"/>
        <v>100</v>
      </c>
    </row>
    <row r="47" spans="6:16">
      <c r="F47" s="73"/>
      <c r="G47" s="73"/>
      <c r="H47" s="73"/>
      <c r="I47" s="73"/>
      <c r="J47" s="73"/>
      <c r="K47" s="73"/>
      <c r="L47" s="73"/>
      <c r="M47" s="73"/>
      <c r="N47" s="73"/>
      <c r="O47" s="73"/>
      <c r="P47" s="73"/>
    </row>
    <row r="48" ht="15.75" spans="3:4">
      <c r="C48" s="18" t="s">
        <v>58</v>
      </c>
      <c r="D48" s="17"/>
    </row>
    <row r="49" spans="3:18">
      <c r="C49" s="17" t="s">
        <v>50</v>
      </c>
      <c r="D49" s="17"/>
      <c r="F49" s="28">
        <f t="shared" ref="F49:P49" si="16">F21/F$24*100</f>
        <v>9.63680387409201</v>
      </c>
      <c r="G49" s="28">
        <f t="shared" si="16"/>
        <v>12.3665100384451</v>
      </c>
      <c r="H49" s="28">
        <f t="shared" si="16"/>
        <v>11.1576846307385</v>
      </c>
      <c r="I49" s="28">
        <f t="shared" si="16"/>
        <v>11.9247467438495</v>
      </c>
      <c r="J49" s="28">
        <f t="shared" si="16"/>
        <v>15.7916409306156</v>
      </c>
      <c r="K49" s="28">
        <f t="shared" si="16"/>
        <v>30.3601911915329</v>
      </c>
      <c r="L49" s="28">
        <f t="shared" si="16"/>
        <v>30.0329730719912</v>
      </c>
      <c r="M49" s="28">
        <f t="shared" si="16"/>
        <v>41.0254872563718</v>
      </c>
      <c r="N49" s="28">
        <f t="shared" si="16"/>
        <v>41.0418369621758</v>
      </c>
      <c r="O49" s="28">
        <f t="shared" si="16"/>
        <v>55.8611996737599</v>
      </c>
      <c r="P49" s="28">
        <f t="shared" si="16"/>
        <v>77.812612849217</v>
      </c>
      <c r="R49" s="73">
        <f>AVERAGEIF(E49:Q49,"&lt;&gt;0")</f>
        <v>30.6374261111627</v>
      </c>
    </row>
    <row r="50" spans="3:18">
      <c r="C50" s="17" t="s">
        <v>51</v>
      </c>
      <c r="D50" s="17"/>
      <c r="F50" s="28">
        <f t="shared" ref="F50:P50" si="17">F22/F$24*100</f>
        <v>83.9709443099274</v>
      </c>
      <c r="G50" s="28">
        <f t="shared" si="17"/>
        <v>81.9948739854763</v>
      </c>
      <c r="H50" s="28">
        <f t="shared" si="17"/>
        <v>83.5728542914172</v>
      </c>
      <c r="I50" s="28">
        <f t="shared" si="17"/>
        <v>84.2547033285094</v>
      </c>
      <c r="J50" s="28">
        <f t="shared" si="17"/>
        <v>83.7656989911468</v>
      </c>
      <c r="K50" s="28">
        <f t="shared" si="17"/>
        <v>69.6398088084671</v>
      </c>
      <c r="L50" s="28">
        <f t="shared" si="17"/>
        <v>69.9670269280088</v>
      </c>
      <c r="M50" s="28">
        <f t="shared" si="17"/>
        <v>58.9745127436282</v>
      </c>
      <c r="N50" s="28">
        <f t="shared" si="17"/>
        <v>58.9581630378242</v>
      </c>
      <c r="O50" s="28">
        <f t="shared" si="17"/>
        <v>44.1388003262401</v>
      </c>
      <c r="P50" s="28">
        <f t="shared" si="17"/>
        <v>22.187387150783</v>
      </c>
      <c r="R50" s="73">
        <f t="shared" ref="R50:R59" si="18">AVERAGEIF(E50:Q50,"&lt;&gt;0")</f>
        <v>67.4022521728571</v>
      </c>
    </row>
    <row r="51" spans="3:18">
      <c r="C51" s="17" t="s">
        <v>52</v>
      </c>
      <c r="D51" s="17"/>
      <c r="F51" s="28">
        <f t="shared" ref="F51:P51" si="19">F23/F$24*100</f>
        <v>6.39225181598063</v>
      </c>
      <c r="G51" s="28">
        <f t="shared" si="19"/>
        <v>5.6386159760786</v>
      </c>
      <c r="H51" s="28">
        <f t="shared" si="19"/>
        <v>5.26946107784431</v>
      </c>
      <c r="I51" s="28">
        <f t="shared" si="19"/>
        <v>3.8205499276411</v>
      </c>
      <c r="J51" s="28">
        <f t="shared" si="19"/>
        <v>0.442660078237595</v>
      </c>
      <c r="K51" s="28">
        <f t="shared" si="19"/>
        <v>0</v>
      </c>
      <c r="L51" s="28">
        <f t="shared" si="19"/>
        <v>0</v>
      </c>
      <c r="M51" s="28">
        <f t="shared" si="19"/>
        <v>0</v>
      </c>
      <c r="N51" s="28">
        <f t="shared" si="19"/>
        <v>0</v>
      </c>
      <c r="O51" s="28">
        <f t="shared" si="19"/>
        <v>0</v>
      </c>
      <c r="P51" s="28">
        <f t="shared" si="19"/>
        <v>0</v>
      </c>
      <c r="R51" s="73">
        <f t="shared" si="18"/>
        <v>4.31270777515645</v>
      </c>
    </row>
    <row r="52" s="27" customFormat="1" spans="5:23">
      <c r="E52" s="28"/>
      <c r="F52" s="72">
        <f t="shared" ref="F52:P52" si="20">SUM(F49:F51)</f>
        <v>100</v>
      </c>
      <c r="G52" s="72">
        <f t="shared" si="20"/>
        <v>100</v>
      </c>
      <c r="H52" s="72">
        <f t="shared" si="20"/>
        <v>100</v>
      </c>
      <c r="I52" s="72">
        <f t="shared" si="20"/>
        <v>100</v>
      </c>
      <c r="J52" s="72">
        <f t="shared" si="20"/>
        <v>100</v>
      </c>
      <c r="K52" s="72">
        <f t="shared" si="20"/>
        <v>100</v>
      </c>
      <c r="L52" s="72">
        <f t="shared" si="20"/>
        <v>100</v>
      </c>
      <c r="M52" s="72">
        <f t="shared" si="20"/>
        <v>100</v>
      </c>
      <c r="N52" s="72">
        <f t="shared" si="20"/>
        <v>100</v>
      </c>
      <c r="O52" s="72">
        <f t="shared" si="20"/>
        <v>100</v>
      </c>
      <c r="P52" s="72">
        <f t="shared" si="20"/>
        <v>100</v>
      </c>
      <c r="Q52" s="28"/>
      <c r="R52" s="28"/>
      <c r="S52" s="28"/>
      <c r="T52" s="28"/>
      <c r="U52" s="28"/>
      <c r="V52" s="28"/>
      <c r="W52" s="28"/>
    </row>
    <row r="53" s="27" customFormat="1" spans="5:23">
      <c r="E53" s="28"/>
      <c r="F53" s="73"/>
      <c r="G53" s="73"/>
      <c r="H53" s="73"/>
      <c r="I53" s="73"/>
      <c r="J53" s="73"/>
      <c r="K53" s="73"/>
      <c r="L53" s="73"/>
      <c r="M53" s="73"/>
      <c r="N53" s="73"/>
      <c r="O53" s="73"/>
      <c r="P53" s="73"/>
      <c r="Q53" s="73"/>
      <c r="R53" s="73"/>
      <c r="S53" s="28"/>
      <c r="T53" s="28"/>
      <c r="U53" s="28"/>
      <c r="V53" s="28"/>
      <c r="W53" s="28"/>
    </row>
    <row r="54" s="27" customFormat="1" ht="15.75" spans="3:23">
      <c r="C54" s="18" t="s">
        <v>59</v>
      </c>
      <c r="D54" s="24"/>
      <c r="E54" s="28"/>
      <c r="F54" s="73"/>
      <c r="G54" s="73"/>
      <c r="H54" s="73"/>
      <c r="I54" s="73"/>
      <c r="J54" s="73"/>
      <c r="K54" s="73"/>
      <c r="L54" s="73"/>
      <c r="M54" s="73"/>
      <c r="N54" s="73"/>
      <c r="O54" s="73"/>
      <c r="P54" s="73"/>
      <c r="Q54" s="73"/>
      <c r="R54" s="73"/>
      <c r="S54" s="28"/>
      <c r="T54" s="28"/>
      <c r="U54" s="28"/>
      <c r="V54" s="28"/>
      <c r="W54" s="28"/>
    </row>
    <row r="55" s="27" customFormat="1" spans="3:23">
      <c r="C55" s="17" t="s">
        <v>44</v>
      </c>
      <c r="D55" s="24"/>
      <c r="E55" s="28"/>
      <c r="F55" s="73"/>
      <c r="G55" s="74">
        <f t="shared" ref="G55:P55" si="21">(G13-F13)/ABS(F13)*100</f>
        <v>59.2964824120603</v>
      </c>
      <c r="H55" s="74">
        <f t="shared" si="21"/>
        <v>6.94006309148265</v>
      </c>
      <c r="I55" s="74">
        <f t="shared" si="21"/>
        <v>144.837758112094</v>
      </c>
      <c r="J55" s="74">
        <f t="shared" si="21"/>
        <v>132.771084337349</v>
      </c>
      <c r="K55" s="74">
        <f t="shared" si="21"/>
        <v>51.75983436853</v>
      </c>
      <c r="L55" s="74">
        <f t="shared" si="21"/>
        <v>1.73942701227831</v>
      </c>
      <c r="M55" s="74">
        <f t="shared" si="21"/>
        <v>124.472008045592</v>
      </c>
      <c r="N55" s="74">
        <f t="shared" si="21"/>
        <v>58.4976105137396</v>
      </c>
      <c r="O55" s="74">
        <f t="shared" si="21"/>
        <v>41.383209271648</v>
      </c>
      <c r="P55" s="74">
        <f t="shared" si="21"/>
        <v>216.727757414195</v>
      </c>
      <c r="Q55" s="73"/>
      <c r="R55" s="73">
        <f t="shared" si="18"/>
        <v>83.842523457897</v>
      </c>
      <c r="S55" s="28"/>
      <c r="T55" s="28"/>
      <c r="U55" s="28"/>
      <c r="V55" s="28"/>
      <c r="W55" s="28"/>
    </row>
    <row r="56" s="27" customFormat="1" spans="3:23">
      <c r="C56" s="17" t="s">
        <v>45</v>
      </c>
      <c r="D56" s="24"/>
      <c r="E56" s="28"/>
      <c r="F56" s="73"/>
      <c r="G56" s="74">
        <f t="shared" ref="G56:P56" si="22">(G14-F14)/ABS(F14)*100</f>
        <v>36.2011912640635</v>
      </c>
      <c r="H56" s="74">
        <f t="shared" si="22"/>
        <v>36.9290573372206</v>
      </c>
      <c r="I56" s="74">
        <f t="shared" si="22"/>
        <v>44.0738112136267</v>
      </c>
      <c r="J56" s="74">
        <f t="shared" si="22"/>
        <v>35.7881773399015</v>
      </c>
      <c r="K56" s="74">
        <f t="shared" si="22"/>
        <v>13.2958461817522</v>
      </c>
      <c r="L56" s="74">
        <f t="shared" si="22"/>
        <v>-11.6554594940762</v>
      </c>
      <c r="M56" s="74">
        <f t="shared" si="22"/>
        <v>40.6125407756433</v>
      </c>
      <c r="N56" s="74">
        <f t="shared" si="22"/>
        <v>60.6134811187009</v>
      </c>
      <c r="O56" s="74">
        <f t="shared" si="22"/>
        <v>-27.2428181672284</v>
      </c>
      <c r="P56" s="74">
        <f t="shared" si="22"/>
        <v>15.2200286754163</v>
      </c>
      <c r="Q56" s="73"/>
      <c r="R56" s="73">
        <f t="shared" si="18"/>
        <v>24.383585624502</v>
      </c>
      <c r="S56" s="28"/>
      <c r="T56" s="28"/>
      <c r="U56" s="28"/>
      <c r="V56" s="28"/>
      <c r="W56" s="28"/>
    </row>
    <row r="57" s="27" customFormat="1" spans="3:23">
      <c r="C57" s="17" t="s">
        <v>46</v>
      </c>
      <c r="D57" s="24"/>
      <c r="E57" s="28"/>
      <c r="F57" s="73"/>
      <c r="G57" s="74">
        <f t="shared" ref="G57:O57" si="23">(G15-F15)/ABS(F15)*100</f>
        <v>0.760456273764259</v>
      </c>
      <c r="H57" s="74">
        <f t="shared" si="23"/>
        <v>-5.66037735849057</v>
      </c>
      <c r="I57" s="74">
        <f t="shared" si="23"/>
        <v>11.3333333333333</v>
      </c>
      <c r="J57" s="74">
        <f t="shared" si="23"/>
        <v>11.8562874251497</v>
      </c>
      <c r="K57" s="74">
        <f t="shared" si="23"/>
        <v>20.9850107066381</v>
      </c>
      <c r="L57" s="74">
        <f t="shared" si="23"/>
        <v>7.25663716814159</v>
      </c>
      <c r="M57" s="74">
        <f t="shared" si="23"/>
        <v>-13.1188118811881</v>
      </c>
      <c r="N57" s="74">
        <f t="shared" si="23"/>
        <v>100.474833808167</v>
      </c>
      <c r="O57" s="74">
        <f t="shared" si="23"/>
        <v>-26.8593083846518</v>
      </c>
      <c r="P57" s="74">
        <f t="shared" ref="P57:P62" si="24">(P15-O15)/ABS(O15)*100</f>
        <v>0.582901554404145</v>
      </c>
      <c r="Q57" s="73"/>
      <c r="R57" s="73">
        <f t="shared" si="18"/>
        <v>10.7610962645268</v>
      </c>
      <c r="S57" s="28"/>
      <c r="T57" s="28"/>
      <c r="U57" s="28"/>
      <c r="V57" s="28"/>
      <c r="W57" s="28"/>
    </row>
    <row r="58" s="27" customFormat="1" spans="3:23">
      <c r="C58" s="17" t="s">
        <v>47</v>
      </c>
      <c r="D58" s="24"/>
      <c r="E58" s="28"/>
      <c r="F58" s="73"/>
      <c r="G58" s="74">
        <f t="shared" ref="G58:O58" si="25">(G16-F16)/ABS(F16)*100</f>
        <v>84.8484848484848</v>
      </c>
      <c r="H58" s="74">
        <f t="shared" si="25"/>
        <v>74.8633879781421</v>
      </c>
      <c r="I58" s="74">
        <f t="shared" si="25"/>
        <v>52.1875</v>
      </c>
      <c r="J58" s="74">
        <f t="shared" si="25"/>
        <v>14.5790554414784</v>
      </c>
      <c r="K58" s="74">
        <f t="shared" si="25"/>
        <v>14.8745519713262</v>
      </c>
      <c r="L58" s="74">
        <f t="shared" si="25"/>
        <v>9.20436817472699</v>
      </c>
      <c r="M58" s="74">
        <f t="shared" si="25"/>
        <v>-23.4285714285714</v>
      </c>
      <c r="N58" s="74">
        <f t="shared" si="25"/>
        <v>5.59701492537313</v>
      </c>
      <c r="O58" s="74">
        <f t="shared" si="25"/>
        <v>59.5406360424028</v>
      </c>
      <c r="P58" s="74">
        <f t="shared" si="24"/>
        <v>20.8194905869324</v>
      </c>
      <c r="Q58" s="73"/>
      <c r="R58" s="73">
        <f t="shared" si="18"/>
        <v>31.3085918540295</v>
      </c>
      <c r="S58" s="28"/>
      <c r="T58" s="28"/>
      <c r="U58" s="28"/>
      <c r="V58" s="28"/>
      <c r="W58" s="28"/>
    </row>
    <row r="59" s="27" customFormat="1" spans="3:23">
      <c r="C59" s="17" t="s">
        <v>48</v>
      </c>
      <c r="D59" s="24"/>
      <c r="E59" s="28"/>
      <c r="F59" s="73"/>
      <c r="G59" s="74">
        <f t="shared" ref="G59:O59" si="26">(G17-F17)/ABS(F17)*100</f>
        <v>-13.2506527415144</v>
      </c>
      <c r="H59" s="74">
        <f t="shared" si="26"/>
        <v>-41.0835214446953</v>
      </c>
      <c r="I59" s="74">
        <f t="shared" si="26"/>
        <v>-10.8556832694764</v>
      </c>
      <c r="J59" s="74">
        <f t="shared" si="26"/>
        <v>11.3180515759312</v>
      </c>
      <c r="K59" s="74">
        <f t="shared" si="26"/>
        <v>-1.28700128700129</v>
      </c>
      <c r="L59" s="74">
        <f t="shared" si="26"/>
        <v>-34.1590612777053</v>
      </c>
      <c r="M59" s="74">
        <f t="shared" si="26"/>
        <v>24.950495049505</v>
      </c>
      <c r="N59" s="74">
        <f t="shared" si="26"/>
        <v>84.1521394611727</v>
      </c>
      <c r="O59" s="74">
        <f t="shared" si="26"/>
        <v>-60.8433734939759</v>
      </c>
      <c r="P59" s="74">
        <f t="shared" si="24"/>
        <v>-32.7472527472527</v>
      </c>
      <c r="Q59" s="73"/>
      <c r="R59" s="73">
        <f t="shared" si="18"/>
        <v>-7.38058601750123</v>
      </c>
      <c r="S59" s="28"/>
      <c r="T59" s="28"/>
      <c r="U59" s="28"/>
      <c r="V59" s="28"/>
      <c r="W59" s="28"/>
    </row>
    <row r="60" s="27" customFormat="1" spans="5:23">
      <c r="E60" s="28"/>
      <c r="F60" s="73"/>
      <c r="G60" s="73"/>
      <c r="H60" s="73"/>
      <c r="I60" s="73"/>
      <c r="J60" s="73"/>
      <c r="K60" s="73"/>
      <c r="L60" s="73"/>
      <c r="M60" s="73"/>
      <c r="N60" s="73"/>
      <c r="O60" s="73"/>
      <c r="P60" s="73"/>
      <c r="Q60" s="73"/>
      <c r="R60" s="73"/>
      <c r="S60" s="28"/>
      <c r="T60" s="28"/>
      <c r="U60" s="28"/>
      <c r="V60" s="28"/>
      <c r="W60" s="28"/>
    </row>
    <row r="61" ht="15.75" spans="3:4">
      <c r="C61" s="18" t="s">
        <v>60</v>
      </c>
      <c r="D61" s="17"/>
    </row>
    <row r="62" spans="3:21">
      <c r="C62" s="17" t="s">
        <v>50</v>
      </c>
      <c r="D62" s="17"/>
      <c r="F62" s="74"/>
      <c r="G62" s="74">
        <f t="shared" ref="G62:P62" si="27">(G21-F21)/ABS(F21)*100</f>
        <v>45.4773869346734</v>
      </c>
      <c r="H62" s="74">
        <f t="shared" si="27"/>
        <v>-3.45423143350604</v>
      </c>
      <c r="I62" s="74">
        <f t="shared" si="27"/>
        <v>47.4060822898032</v>
      </c>
      <c r="J62" s="74">
        <f t="shared" si="27"/>
        <v>86.1650485436893</v>
      </c>
      <c r="K62" s="74">
        <f t="shared" si="27"/>
        <v>131.877444589309</v>
      </c>
      <c r="L62" s="74">
        <f t="shared" si="27"/>
        <v>-7.81557492268766</v>
      </c>
      <c r="M62" s="74">
        <f t="shared" si="27"/>
        <v>108.630680085392</v>
      </c>
      <c r="N62" s="74">
        <f t="shared" si="27"/>
        <v>61.467621692735</v>
      </c>
      <c r="O62" s="74">
        <f t="shared" si="27"/>
        <v>36.4113706319029</v>
      </c>
      <c r="P62" s="74">
        <f t="shared" si="27"/>
        <v>214.607114414654</v>
      </c>
      <c r="R62" s="73">
        <f>AVERAGEIF(E62:Q62,"&lt;&gt;0")</f>
        <v>72.0772942825965</v>
      </c>
      <c r="U62" s="73" cm="1">
        <f t="array" ref="U62">_xlfn.STDEV.S(IF(E62:Q62&lt;&gt;0,E62:Q62))</f>
        <v>66.8448879443533</v>
      </c>
    </row>
    <row r="63" spans="3:21">
      <c r="C63" s="17" t="s">
        <v>51</v>
      </c>
      <c r="D63" s="17"/>
      <c r="F63" s="74"/>
      <c r="G63" s="74">
        <f t="shared" ref="G63:P63" si="28">(G22-F22)/ABS(F22)*100</f>
        <v>10.6978085351788</v>
      </c>
      <c r="H63" s="74">
        <f t="shared" si="28"/>
        <v>9.06486064079187</v>
      </c>
      <c r="I63" s="74">
        <f t="shared" si="28"/>
        <v>39.0494387389539</v>
      </c>
      <c r="J63" s="74">
        <f t="shared" si="28"/>
        <v>39.7629680522157</v>
      </c>
      <c r="K63" s="74">
        <f t="shared" si="28"/>
        <v>0.270369915202163</v>
      </c>
      <c r="L63" s="74">
        <f t="shared" si="28"/>
        <v>-6.37333006495894</v>
      </c>
      <c r="M63" s="74">
        <f t="shared" si="28"/>
        <v>28.7341275036</v>
      </c>
      <c r="N63" s="74">
        <f t="shared" si="28"/>
        <v>61.3585519625788</v>
      </c>
      <c r="O63" s="74">
        <f t="shared" si="28"/>
        <v>-24.9684900428535</v>
      </c>
      <c r="P63" s="74">
        <f t="shared" si="28"/>
        <v>13.5309927767512</v>
      </c>
      <c r="R63" s="73">
        <f>AVERAGEIF(E63:Q63,"&lt;&gt;0")</f>
        <v>17.112729801746</v>
      </c>
      <c r="U63" s="73" cm="1">
        <f t="array" ref="U63">_xlfn.STDEV.S(IF(E63:Q63&lt;&gt;0,E63:Q63))</f>
        <v>25.4118073305734</v>
      </c>
    </row>
    <row r="64" spans="3:21">
      <c r="C64" s="17" t="s">
        <v>52</v>
      </c>
      <c r="D64" s="17"/>
      <c r="F64" s="74"/>
      <c r="G64" s="74">
        <f t="shared" ref="G64:P64" si="29">(G23-F23)/ABS(F23)*100</f>
        <v>0</v>
      </c>
      <c r="H64" s="74">
        <f t="shared" si="29"/>
        <v>0</v>
      </c>
      <c r="I64" s="74">
        <f t="shared" si="29"/>
        <v>0</v>
      </c>
      <c r="J64" s="74">
        <f t="shared" si="29"/>
        <v>-83.7121212121212</v>
      </c>
      <c r="K64" s="74">
        <f t="shared" si="29"/>
        <v>-100</v>
      </c>
      <c r="L64" s="74" t="e">
        <f t="shared" si="29"/>
        <v>#DIV/0!</v>
      </c>
      <c r="M64" s="74" t="e">
        <f t="shared" si="29"/>
        <v>#DIV/0!</v>
      </c>
      <c r="N64" s="74" t="e">
        <f t="shared" si="29"/>
        <v>#DIV/0!</v>
      </c>
      <c r="O64" s="74" t="e">
        <f t="shared" si="29"/>
        <v>#DIV/0!</v>
      </c>
      <c r="P64" s="74" t="e">
        <f t="shared" si="29"/>
        <v>#DIV/0!</v>
      </c>
      <c r="R64" s="73" t="e">
        <f>AVERAGEIF(E64:Q64,"&lt;&gt;0")</f>
        <v>#DIV/0!</v>
      </c>
      <c r="U64" s="73" t="e" cm="1">
        <f t="array" ref="U64">_xlfn.STDEV.S(IF(E64:Q64&lt;&gt;0,E64:Q64))</f>
        <v>#DIV/0!</v>
      </c>
    </row>
    <row r="65" s="67" customFormat="1" spans="3:23">
      <c r="C65" s="81" t="s">
        <v>61</v>
      </c>
      <c r="D65" s="81"/>
      <c r="E65" s="82"/>
      <c r="F65" s="82"/>
      <c r="G65" s="82">
        <f t="shared" ref="G65:P65" si="30">(G24-F24)/ABS(F24)*100</f>
        <v>13.365617433414</v>
      </c>
      <c r="H65" s="82">
        <f t="shared" si="30"/>
        <v>7.00555318240068</v>
      </c>
      <c r="I65" s="82">
        <f t="shared" si="30"/>
        <v>37.9241516966068</v>
      </c>
      <c r="J65" s="82">
        <f t="shared" si="30"/>
        <v>40.5788712011577</v>
      </c>
      <c r="K65" s="82">
        <f t="shared" si="30"/>
        <v>20.6094296891085</v>
      </c>
      <c r="L65" s="82">
        <f t="shared" si="30"/>
        <v>-6.81119836121543</v>
      </c>
      <c r="M65" s="82">
        <f t="shared" si="30"/>
        <v>52.7294376259388</v>
      </c>
      <c r="N65" s="82">
        <f t="shared" si="30"/>
        <v>61.4032983508246</v>
      </c>
      <c r="O65" s="82">
        <f t="shared" si="30"/>
        <v>0.222932302890689</v>
      </c>
      <c r="P65" s="82">
        <f t="shared" si="30"/>
        <v>125.854526581152</v>
      </c>
      <c r="Q65" s="82"/>
      <c r="R65" s="90">
        <f>AVERAGEIF(E65:Q65,"&lt;&gt;0")</f>
        <v>35.2882619702278</v>
      </c>
      <c r="S65" s="90">
        <f>MEDIAN(E65:Q65)</f>
        <v>29.2667906928576</v>
      </c>
      <c r="T65" s="90"/>
      <c r="U65" s="90" cm="1">
        <f t="array" ref="U65">_xlfn.STDEV.S(IF(E65:Q65&lt;&gt;0,E65:Q65))</f>
        <v>39.0459849430454</v>
      </c>
      <c r="V65" s="82">
        <f>R65-U65</f>
        <v>-3.7577229728176</v>
      </c>
      <c r="W65" s="82"/>
    </row>
    <row r="66" s="68" customFormat="1" spans="5:23">
      <c r="E66" s="74"/>
      <c r="F66" s="74"/>
      <c r="G66" s="74"/>
      <c r="H66" s="74"/>
      <c r="I66" s="74"/>
      <c r="J66" s="74"/>
      <c r="K66" s="74"/>
      <c r="L66" s="74"/>
      <c r="M66" s="74"/>
      <c r="N66" s="74"/>
      <c r="O66" s="74"/>
      <c r="P66" s="74"/>
      <c r="Q66" s="74"/>
      <c r="R66" s="74"/>
      <c r="S66" s="26"/>
      <c r="T66" s="26"/>
      <c r="U66" s="26"/>
      <c r="V66" s="74"/>
      <c r="W66" s="74"/>
    </row>
    <row r="68" ht="15.75" spans="3:4">
      <c r="C68" s="18" t="s">
        <v>62</v>
      </c>
      <c r="D68" s="17"/>
    </row>
    <row r="69" spans="3:21">
      <c r="C69" s="17" t="s">
        <v>50</v>
      </c>
      <c r="D69" s="17"/>
      <c r="G69" s="74">
        <f t="shared" ref="G69:P69" si="31">(G27-F27)/ABS(F27)*100</f>
        <v>5.22388059701492</v>
      </c>
      <c r="H69" s="74">
        <f t="shared" si="31"/>
        <v>5.90551181102362</v>
      </c>
      <c r="I69" s="74">
        <f t="shared" si="31"/>
        <v>96.234309623431</v>
      </c>
      <c r="J69" s="74">
        <f t="shared" si="31"/>
        <v>3466.66666666667</v>
      </c>
      <c r="K69" s="74">
        <f t="shared" si="31"/>
        <v>312.871287128713</v>
      </c>
      <c r="L69" s="74">
        <f t="shared" si="31"/>
        <v>-39.9680255795364</v>
      </c>
      <c r="M69" s="74">
        <f t="shared" si="31"/>
        <v>239.280958721704</v>
      </c>
      <c r="N69" s="74">
        <f t="shared" si="31"/>
        <v>80.4552590266876</v>
      </c>
      <c r="O69" s="74">
        <f t="shared" si="31"/>
        <v>10.5480643758156</v>
      </c>
      <c r="P69" s="74">
        <f t="shared" si="31"/>
        <v>529.864253393665</v>
      </c>
      <c r="R69" s="73">
        <f>AVERAGEIF(E69:Q69,"&lt;&gt;0")</f>
        <v>470.708216576519</v>
      </c>
      <c r="U69" s="73" cm="1">
        <f t="array" ref="U69">_xlfn.STDEV.S(IF(E69:Q69&lt;&gt;0,E69:Q69))</f>
        <v>1067.47471646222</v>
      </c>
    </row>
    <row r="70" spans="3:21">
      <c r="C70" s="17" t="s">
        <v>51</v>
      </c>
      <c r="D70" s="17"/>
      <c r="G70" s="74">
        <f t="shared" ref="G70:P70" si="32">(G28-F28)/ABS(F28)*100</f>
        <v>33.2934131736527</v>
      </c>
      <c r="H70" s="74">
        <f t="shared" si="32"/>
        <v>20.7547169811321</v>
      </c>
      <c r="I70" s="74">
        <f t="shared" si="32"/>
        <v>62.202380952381</v>
      </c>
      <c r="J70" s="74">
        <f t="shared" si="32"/>
        <v>60.8715596330275</v>
      </c>
      <c r="K70" s="74">
        <f t="shared" si="32"/>
        <v>-2.56629597946963</v>
      </c>
      <c r="L70" s="74">
        <f t="shared" si="32"/>
        <v>-4.38981562774363</v>
      </c>
      <c r="M70" s="74">
        <f t="shared" si="32"/>
        <v>41.1692684419957</v>
      </c>
      <c r="N70" s="74">
        <f t="shared" si="32"/>
        <v>84.1283607979185</v>
      </c>
      <c r="O70" s="74">
        <f t="shared" si="32"/>
        <v>-46.3966085727744</v>
      </c>
      <c r="P70" s="74">
        <f t="shared" si="32"/>
        <v>28.427065026362</v>
      </c>
      <c r="R70" s="73">
        <f>AVERAGEIF(E70:Q70,"&lt;&gt;0")</f>
        <v>27.7494044826482</v>
      </c>
      <c r="U70" s="73" cm="1">
        <f t="array" ref="U70">_xlfn.STDEV.S(IF(E70:Q70&lt;&gt;0,E70:Q70))</f>
        <v>38.2571526189208</v>
      </c>
    </row>
    <row r="71" spans="3:21">
      <c r="C71" s="17" t="s">
        <v>52</v>
      </c>
      <c r="D71" s="17"/>
      <c r="G71" s="74">
        <f t="shared" ref="G71:P71" si="33">(G29-F29)/ABS(F29)*100</f>
        <v>-40.8450704225352</v>
      </c>
      <c r="H71" s="74">
        <f t="shared" si="33"/>
        <v>-258</v>
      </c>
      <c r="I71" s="74">
        <f t="shared" si="33"/>
        <v>33.7988826815642</v>
      </c>
      <c r="J71" s="74">
        <f t="shared" si="33"/>
        <v>-153.164556962025</v>
      </c>
      <c r="K71" s="74">
        <f t="shared" si="33"/>
        <v>-44</v>
      </c>
      <c r="L71" s="74">
        <f t="shared" si="33"/>
        <v>-35.6481481481481</v>
      </c>
      <c r="M71" s="74">
        <f t="shared" si="33"/>
        <v>-124.232081911263</v>
      </c>
      <c r="N71" s="74">
        <f t="shared" si="33"/>
        <v>-16.0197869101979</v>
      </c>
      <c r="O71" s="74">
        <f t="shared" si="33"/>
        <v>-77.4680223023942</v>
      </c>
      <c r="P71" s="74">
        <f t="shared" si="33"/>
        <v>9.62853446682683</v>
      </c>
      <c r="R71" s="73">
        <f>AVERAGEIF(E71:Q71,"&lt;&gt;0")</f>
        <v>-70.5950249508172</v>
      </c>
      <c r="U71" s="73" cm="1">
        <f t="array" ref="U71">_xlfn.STDEV.S(IF(E71:Q71&lt;&gt;0,E71:Q71))</f>
        <v>86.9153660178316</v>
      </c>
    </row>
    <row r="72" s="48" customFormat="1" spans="3:23">
      <c r="C72" s="83" t="s">
        <v>63</v>
      </c>
      <c r="D72" s="83"/>
      <c r="E72" s="84"/>
      <c r="F72" s="32"/>
      <c r="G72" s="82">
        <f t="shared" ref="G72:P72" si="34">(G30-F30)/ABS(F30)*100</f>
        <v>53.0241935483871</v>
      </c>
      <c r="H72" s="82">
        <f t="shared" si="34"/>
        <v>-1.58102766798419</v>
      </c>
      <c r="I72" s="82">
        <f t="shared" si="34"/>
        <v>158.902275769746</v>
      </c>
      <c r="J72" s="82">
        <f t="shared" si="34"/>
        <v>65.9772492244054</v>
      </c>
      <c r="K72" s="82">
        <f t="shared" si="34"/>
        <v>18.5046728971963</v>
      </c>
      <c r="L72" s="82">
        <f t="shared" si="34"/>
        <v>-25.1840168243954</v>
      </c>
      <c r="M72" s="82">
        <f t="shared" si="34"/>
        <v>59.2410400562193</v>
      </c>
      <c r="N72" s="82">
        <f t="shared" si="34"/>
        <v>121.557811120918</v>
      </c>
      <c r="O72" s="82">
        <f t="shared" si="34"/>
        <v>-57.9324768449358</v>
      </c>
      <c r="P72" s="82">
        <f t="shared" si="34"/>
        <v>680.587121212121</v>
      </c>
      <c r="Q72" s="84"/>
      <c r="R72" s="90">
        <f>AVERAGEIF(E72:Q72,"&lt;&gt;0")</f>
        <v>107.309684249168</v>
      </c>
      <c r="S72" s="90">
        <f>MEDIAN(E72:Q72)</f>
        <v>56.1326168023032</v>
      </c>
      <c r="T72" s="90"/>
      <c r="U72" s="90" cm="1">
        <f t="array" ref="U72">_xlfn.STDEV.S(IF(E72:Q72&lt;&gt;0,E72:Q72))</f>
        <v>211.628808530537</v>
      </c>
      <c r="V72" s="32"/>
      <c r="W72" s="84"/>
    </row>
    <row r="76" ht="15.75" spans="2:2">
      <c r="B76" s="10" t="s">
        <v>64</v>
      </c>
    </row>
    <row r="77" spans="2:16">
      <c r="B77" t="s">
        <v>65</v>
      </c>
      <c r="F77" s="6">
        <v>4130</v>
      </c>
      <c r="G77" s="6">
        <v>4682</v>
      </c>
      <c r="H77" s="6">
        <v>5010</v>
      </c>
      <c r="I77" s="6">
        <v>6910</v>
      </c>
      <c r="J77" s="6">
        <v>9714</v>
      </c>
      <c r="K77" s="6">
        <v>11716</v>
      </c>
      <c r="L77" s="6">
        <v>10918</v>
      </c>
      <c r="M77" s="6">
        <v>16675</v>
      </c>
      <c r="N77" s="6">
        <v>26914</v>
      </c>
      <c r="O77" s="6">
        <v>26974</v>
      </c>
      <c r="P77" s="6">
        <v>60922</v>
      </c>
    </row>
    <row r="78" spans="2:16">
      <c r="B78" t="s">
        <v>66</v>
      </c>
      <c r="F78" s="6">
        <v>1862</v>
      </c>
      <c r="G78" s="6">
        <v>2083</v>
      </c>
      <c r="H78" s="6">
        <v>2199</v>
      </c>
      <c r="I78" s="6">
        <v>2847</v>
      </c>
      <c r="J78" s="6">
        <v>3892</v>
      </c>
      <c r="K78" s="6">
        <v>4545</v>
      </c>
      <c r="L78" s="6">
        <v>4150</v>
      </c>
      <c r="M78" s="6">
        <v>6279</v>
      </c>
      <c r="N78" s="6">
        <v>9439</v>
      </c>
      <c r="O78" s="6">
        <v>11618</v>
      </c>
      <c r="P78" s="6">
        <v>16621</v>
      </c>
    </row>
    <row r="79" spans="2:16">
      <c r="B79" t="s">
        <v>67</v>
      </c>
      <c r="F79" s="11">
        <f t="shared" ref="F79:P79" si="35">F77-F78</f>
        <v>2268</v>
      </c>
      <c r="G79" s="11">
        <f t="shared" si="35"/>
        <v>2599</v>
      </c>
      <c r="H79" s="11">
        <f t="shared" si="35"/>
        <v>2811</v>
      </c>
      <c r="I79" s="11">
        <f t="shared" si="35"/>
        <v>4063</v>
      </c>
      <c r="J79" s="11">
        <f t="shared" si="35"/>
        <v>5822</v>
      </c>
      <c r="K79" s="11">
        <f t="shared" si="35"/>
        <v>7171</v>
      </c>
      <c r="L79" s="11">
        <f t="shared" si="35"/>
        <v>6768</v>
      </c>
      <c r="M79" s="11">
        <f t="shared" si="35"/>
        <v>10396</v>
      </c>
      <c r="N79" s="11">
        <f t="shared" si="35"/>
        <v>17475</v>
      </c>
      <c r="O79" s="11">
        <f t="shared" si="35"/>
        <v>15356</v>
      </c>
      <c r="P79" s="11">
        <f t="shared" si="35"/>
        <v>44301</v>
      </c>
    </row>
    <row r="80" s="12" customFormat="1" ht="15.75" spans="3:23">
      <c r="C80" s="13" t="s">
        <v>68</v>
      </c>
      <c r="D80" s="14"/>
      <c r="E80" s="15"/>
      <c r="F80" s="16">
        <f t="shared" ref="F80:P80" si="36">IFERROR(F79/F77*100,0)</f>
        <v>54.9152542372881</v>
      </c>
      <c r="G80" s="16">
        <f t="shared" si="36"/>
        <v>55.5104656129859</v>
      </c>
      <c r="H80" s="16">
        <f t="shared" si="36"/>
        <v>56.1077844311377</v>
      </c>
      <c r="I80" s="16">
        <f t="shared" si="36"/>
        <v>58.7988422575977</v>
      </c>
      <c r="J80" s="16">
        <f t="shared" si="36"/>
        <v>59.9341157092856</v>
      </c>
      <c r="K80" s="16">
        <f t="shared" si="36"/>
        <v>61.2068965517241</v>
      </c>
      <c r="L80" s="16">
        <f t="shared" si="36"/>
        <v>61.9893753434695</v>
      </c>
      <c r="M80" s="16">
        <f t="shared" si="36"/>
        <v>62.3448275862069</v>
      </c>
      <c r="N80" s="16">
        <f t="shared" si="36"/>
        <v>64.9290332169131</v>
      </c>
      <c r="O80" s="16">
        <f t="shared" si="36"/>
        <v>56.9288944909913</v>
      </c>
      <c r="P80" s="16">
        <f t="shared" si="36"/>
        <v>72.717573290437</v>
      </c>
      <c r="Q80" s="15"/>
      <c r="R80" s="82">
        <f>AVERAGE(E80:Q80)</f>
        <v>60.4893693389124</v>
      </c>
      <c r="S80" s="16"/>
      <c r="T80" s="16"/>
      <c r="U80" s="16"/>
      <c r="V80" s="16"/>
      <c r="W80" s="15"/>
    </row>
    <row r="82" spans="2:18">
      <c r="B82" t="s">
        <v>69</v>
      </c>
      <c r="F82" s="6">
        <v>1336</v>
      </c>
      <c r="G82" s="6">
        <v>1360</v>
      </c>
      <c r="H82" s="6">
        <v>1331</v>
      </c>
      <c r="I82" s="6">
        <v>1463</v>
      </c>
      <c r="J82" s="6">
        <v>1797</v>
      </c>
      <c r="K82" s="6">
        <v>2376</v>
      </c>
      <c r="L82" s="6">
        <v>2829</v>
      </c>
      <c r="M82" s="6">
        <v>3924</v>
      </c>
      <c r="N82" s="6">
        <v>5268</v>
      </c>
      <c r="O82" s="6">
        <v>7339</v>
      </c>
      <c r="P82" s="6">
        <v>8675</v>
      </c>
      <c r="R82" s="26">
        <f>AVERAGE(E82:Q82)/AVERAGE($E$77:$Q$77)*100</f>
        <v>20.425324411454</v>
      </c>
    </row>
    <row r="83" spans="2:18">
      <c r="B83" t="s">
        <v>70</v>
      </c>
      <c r="F83" s="6">
        <v>436</v>
      </c>
      <c r="G83" s="6">
        <v>480</v>
      </c>
      <c r="H83" s="6">
        <v>602</v>
      </c>
      <c r="I83" s="6">
        <v>663</v>
      </c>
      <c r="J83" s="6">
        <v>815</v>
      </c>
      <c r="K83" s="6">
        <v>991</v>
      </c>
      <c r="L83" s="6">
        <v>1093</v>
      </c>
      <c r="M83" s="6">
        <v>1940</v>
      </c>
      <c r="N83" s="6">
        <v>2166</v>
      </c>
      <c r="O83" s="6">
        <f>2440</f>
        <v>2440</v>
      </c>
      <c r="P83" s="6">
        <v>2654</v>
      </c>
      <c r="R83" s="26">
        <f>AVERAGE(E83:Q83)/AVERAGE($E$77:$Q$77)*100</f>
        <v>7.73711158670387</v>
      </c>
    </row>
    <row r="84" spans="2:18">
      <c r="B84" t="s">
        <v>71</v>
      </c>
      <c r="F84" s="6">
        <v>0</v>
      </c>
      <c r="G84" s="6">
        <v>0</v>
      </c>
      <c r="H84" s="6">
        <v>131</v>
      </c>
      <c r="I84" s="6">
        <v>3</v>
      </c>
      <c r="J84" s="6">
        <v>0</v>
      </c>
      <c r="K84" s="6">
        <v>0</v>
      </c>
      <c r="L84" s="6">
        <v>0</v>
      </c>
      <c r="M84" s="6">
        <v>0</v>
      </c>
      <c r="N84" s="6">
        <v>0</v>
      </c>
      <c r="O84" s="6">
        <v>0</v>
      </c>
      <c r="P84" s="6">
        <v>0</v>
      </c>
      <c r="R84" s="26"/>
    </row>
    <row r="85" spans="2:18">
      <c r="B85" t="s">
        <v>72</v>
      </c>
      <c r="F85" s="6">
        <v>0</v>
      </c>
      <c r="G85" s="6">
        <v>0</v>
      </c>
      <c r="H85" s="6">
        <v>0</v>
      </c>
      <c r="I85" s="6">
        <v>0</v>
      </c>
      <c r="J85" s="6">
        <v>0</v>
      </c>
      <c r="K85" s="6">
        <v>0</v>
      </c>
      <c r="L85" s="6">
        <v>0</v>
      </c>
      <c r="M85" s="6">
        <v>0</v>
      </c>
      <c r="N85" s="6">
        <v>0</v>
      </c>
      <c r="O85" s="6">
        <v>1353</v>
      </c>
      <c r="P85" s="6">
        <v>0</v>
      </c>
      <c r="R85" s="26"/>
    </row>
    <row r="86" spans="2:16">
      <c r="B86" t="s">
        <v>73</v>
      </c>
      <c r="F86" s="11">
        <f>SUM(F82:F85)</f>
        <v>1772</v>
      </c>
      <c r="G86" s="11">
        <f t="shared" ref="G86:P86" si="37">SUM(G82:G85)</f>
        <v>1840</v>
      </c>
      <c r="H86" s="11">
        <f t="shared" si="37"/>
        <v>2064</v>
      </c>
      <c r="I86" s="11">
        <f t="shared" si="37"/>
        <v>2129</v>
      </c>
      <c r="J86" s="11">
        <f t="shared" si="37"/>
        <v>2612</v>
      </c>
      <c r="K86" s="11">
        <f t="shared" si="37"/>
        <v>3367</v>
      </c>
      <c r="L86" s="11">
        <f t="shared" si="37"/>
        <v>3922</v>
      </c>
      <c r="M86" s="11">
        <f t="shared" si="37"/>
        <v>5864</v>
      </c>
      <c r="N86" s="11">
        <f t="shared" si="37"/>
        <v>7434</v>
      </c>
      <c r="O86" s="11">
        <f t="shared" si="37"/>
        <v>11132</v>
      </c>
      <c r="P86" s="11">
        <f t="shared" si="37"/>
        <v>11329</v>
      </c>
    </row>
    <row r="88" spans="2:16">
      <c r="B88" t="s">
        <v>74</v>
      </c>
      <c r="F88" s="11">
        <f t="shared" ref="F88:P88" si="38">F79-F86</f>
        <v>496</v>
      </c>
      <c r="G88" s="11">
        <f t="shared" si="38"/>
        <v>759</v>
      </c>
      <c r="H88" s="11">
        <f t="shared" si="38"/>
        <v>747</v>
      </c>
      <c r="I88" s="11">
        <f t="shared" si="38"/>
        <v>1934</v>
      </c>
      <c r="J88" s="11">
        <f t="shared" si="38"/>
        <v>3210</v>
      </c>
      <c r="K88" s="11">
        <f t="shared" si="38"/>
        <v>3804</v>
      </c>
      <c r="L88" s="11">
        <f t="shared" si="38"/>
        <v>2846</v>
      </c>
      <c r="M88" s="11">
        <f t="shared" si="38"/>
        <v>4532</v>
      </c>
      <c r="N88" s="11">
        <f t="shared" si="38"/>
        <v>10041</v>
      </c>
      <c r="O88" s="11">
        <f t="shared" si="38"/>
        <v>4224</v>
      </c>
      <c r="P88" s="11">
        <f t="shared" si="38"/>
        <v>32972</v>
      </c>
    </row>
    <row r="89" s="12" customFormat="1" ht="15.75" spans="3:23">
      <c r="C89" s="13" t="s">
        <v>75</v>
      </c>
      <c r="D89" s="14"/>
      <c r="E89" s="15"/>
      <c r="F89" s="16">
        <f t="shared" ref="F89:P89" si="39">IFERROR(F88/F77*100,0)</f>
        <v>12.0096852300242</v>
      </c>
      <c r="G89" s="16">
        <f t="shared" si="39"/>
        <v>16.211020931226</v>
      </c>
      <c r="H89" s="16">
        <f t="shared" si="39"/>
        <v>14.9101796407186</v>
      </c>
      <c r="I89" s="16">
        <f t="shared" si="39"/>
        <v>27.9884225759768</v>
      </c>
      <c r="J89" s="16">
        <f t="shared" si="39"/>
        <v>33.0450895614577</v>
      </c>
      <c r="K89" s="16">
        <f t="shared" si="39"/>
        <v>32.4684192557187</v>
      </c>
      <c r="L89" s="16">
        <f t="shared" si="39"/>
        <v>26.0670452463821</v>
      </c>
      <c r="M89" s="16">
        <f t="shared" si="39"/>
        <v>27.1784107946027</v>
      </c>
      <c r="N89" s="16">
        <f t="shared" si="39"/>
        <v>37.3077208887568</v>
      </c>
      <c r="O89" s="16">
        <f t="shared" si="39"/>
        <v>15.6595239860607</v>
      </c>
      <c r="P89" s="16">
        <f t="shared" si="39"/>
        <v>54.1216637667838</v>
      </c>
      <c r="Q89" s="15"/>
      <c r="R89" s="82">
        <f>AVERAGE(E89:Q89)</f>
        <v>26.9970165343371</v>
      </c>
      <c r="S89" s="16"/>
      <c r="T89" s="16"/>
      <c r="U89" s="16"/>
      <c r="V89" s="16"/>
      <c r="W89" s="15"/>
    </row>
    <row r="91" spans="2:18">
      <c r="B91" t="s">
        <v>76</v>
      </c>
      <c r="F91" s="6">
        <f>17-10+7</f>
        <v>14</v>
      </c>
      <c r="G91" s="6">
        <f>28-46+14</f>
        <v>-4</v>
      </c>
      <c r="H91" s="6">
        <f>39-47+4</f>
        <v>-4</v>
      </c>
      <c r="I91" s="6">
        <f>54-58-25</f>
        <v>-29</v>
      </c>
      <c r="J91" s="6">
        <f>69-61-22</f>
        <v>-14</v>
      </c>
      <c r="K91" s="6">
        <f>136-58+14</f>
        <v>92</v>
      </c>
      <c r="L91" s="6">
        <f>178-52-2</f>
        <v>124</v>
      </c>
      <c r="M91" s="6">
        <f>57-184+4</f>
        <v>-123</v>
      </c>
      <c r="N91" s="6">
        <f>29-236+107</f>
        <v>-100</v>
      </c>
      <c r="O91" s="6">
        <f>267-262-48</f>
        <v>-43</v>
      </c>
      <c r="P91" s="6">
        <f>866-257+237</f>
        <v>846</v>
      </c>
      <c r="R91" s="26">
        <f>AVERAGE(E91:Q91)/AVERAGE(E77:Q77)*100</f>
        <v>0.411237233494975</v>
      </c>
    </row>
    <row r="93" spans="2:16">
      <c r="B93" t="s">
        <v>77</v>
      </c>
      <c r="F93" s="11">
        <f t="shared" ref="F93:P93" si="40">F88+F91</f>
        <v>510</v>
      </c>
      <c r="G93" s="11">
        <f t="shared" si="40"/>
        <v>755</v>
      </c>
      <c r="H93" s="11">
        <f t="shared" si="40"/>
        <v>743</v>
      </c>
      <c r="I93" s="11">
        <f t="shared" si="40"/>
        <v>1905</v>
      </c>
      <c r="J93" s="11">
        <f t="shared" si="40"/>
        <v>3196</v>
      </c>
      <c r="K93" s="11">
        <f t="shared" si="40"/>
        <v>3896</v>
      </c>
      <c r="L93" s="11">
        <f t="shared" si="40"/>
        <v>2970</v>
      </c>
      <c r="M93" s="11">
        <f t="shared" si="40"/>
        <v>4409</v>
      </c>
      <c r="N93" s="11">
        <f t="shared" si="40"/>
        <v>9941</v>
      </c>
      <c r="O93" s="11">
        <f t="shared" si="40"/>
        <v>4181</v>
      </c>
      <c r="P93" s="11">
        <f t="shared" si="40"/>
        <v>33818</v>
      </c>
    </row>
    <row r="95" spans="2:18">
      <c r="B95" t="s">
        <v>78</v>
      </c>
      <c r="F95" s="6">
        <v>70</v>
      </c>
      <c r="G95" s="6">
        <v>124</v>
      </c>
      <c r="H95" s="6">
        <v>129</v>
      </c>
      <c r="I95" s="6">
        <v>239</v>
      </c>
      <c r="J95" s="6">
        <v>149</v>
      </c>
      <c r="K95" s="6">
        <v>-245</v>
      </c>
      <c r="L95" s="6">
        <v>174</v>
      </c>
      <c r="M95" s="6">
        <v>77</v>
      </c>
      <c r="N95" s="6">
        <v>189</v>
      </c>
      <c r="O95" s="6">
        <v>-187</v>
      </c>
      <c r="P95" s="6">
        <v>4058</v>
      </c>
      <c r="R95" s="26">
        <f>AVERAGE(E95:Q95)/AVERAGE(E93:Q93)*100</f>
        <v>7.2025209577227</v>
      </c>
    </row>
    <row r="97" spans="2:16">
      <c r="B97" t="s">
        <v>79</v>
      </c>
      <c r="F97" s="11">
        <f t="shared" ref="F97:P97" si="41">F93-F95</f>
        <v>440</v>
      </c>
      <c r="G97" s="11">
        <f t="shared" si="41"/>
        <v>631</v>
      </c>
      <c r="H97" s="11">
        <f t="shared" si="41"/>
        <v>614</v>
      </c>
      <c r="I97" s="11">
        <f t="shared" si="41"/>
        <v>1666</v>
      </c>
      <c r="J97" s="11">
        <f t="shared" si="41"/>
        <v>3047</v>
      </c>
      <c r="K97" s="11">
        <f t="shared" si="41"/>
        <v>4141</v>
      </c>
      <c r="L97" s="11">
        <f t="shared" si="41"/>
        <v>2796</v>
      </c>
      <c r="M97" s="11">
        <f t="shared" si="41"/>
        <v>4332</v>
      </c>
      <c r="N97" s="11">
        <f t="shared" si="41"/>
        <v>9752</v>
      </c>
      <c r="O97" s="11">
        <f t="shared" si="41"/>
        <v>4368</v>
      </c>
      <c r="P97" s="11">
        <f t="shared" si="41"/>
        <v>29760</v>
      </c>
    </row>
    <row r="98" ht="15.75" spans="3:18">
      <c r="C98" s="13" t="s">
        <v>80</v>
      </c>
      <c r="D98" s="17"/>
      <c r="F98" s="16">
        <f>IFERROR(F97/F77*100,0)</f>
        <v>10.6537530266344</v>
      </c>
      <c r="G98" s="16">
        <f t="shared" ref="G98:P98" si="42">IFERROR(G97/G77*100,0)</f>
        <v>13.4771465185818</v>
      </c>
      <c r="H98" s="16">
        <f t="shared" si="42"/>
        <v>12.2554890219561</v>
      </c>
      <c r="I98" s="16">
        <f t="shared" si="42"/>
        <v>24.10998552822</v>
      </c>
      <c r="J98" s="16">
        <f t="shared" si="42"/>
        <v>31.3670990323245</v>
      </c>
      <c r="K98" s="16">
        <f t="shared" si="42"/>
        <v>35.3448275862069</v>
      </c>
      <c r="L98" s="16">
        <f t="shared" si="42"/>
        <v>25.6090859131709</v>
      </c>
      <c r="M98" s="16">
        <f t="shared" si="42"/>
        <v>25.9790104947526</v>
      </c>
      <c r="N98" s="16">
        <f t="shared" si="42"/>
        <v>36.2339302965</v>
      </c>
      <c r="O98" s="16">
        <f t="shared" si="42"/>
        <v>16.1933713946764</v>
      </c>
      <c r="P98" s="16">
        <f t="shared" si="42"/>
        <v>48.8493483470667</v>
      </c>
      <c r="R98" s="82">
        <f>AVERAGE(E98:Q98)</f>
        <v>25.4611861054627</v>
      </c>
    </row>
    <row r="102" customFormat="1" ht="15.75" spans="3:23">
      <c r="C102" s="18" t="s">
        <v>81</v>
      </c>
      <c r="D102" s="17"/>
      <c r="E102" s="5"/>
      <c r="F102" s="6"/>
      <c r="G102" s="6"/>
      <c r="H102" s="6"/>
      <c r="I102" s="6"/>
      <c r="J102" s="6"/>
      <c r="K102" s="6"/>
      <c r="L102" s="6"/>
      <c r="M102" s="6"/>
      <c r="N102" s="6"/>
      <c r="O102" s="6"/>
      <c r="P102" s="6"/>
      <c r="Q102" s="5"/>
      <c r="R102" s="6"/>
      <c r="S102" s="26"/>
      <c r="T102" s="26"/>
      <c r="U102" s="26"/>
      <c r="V102" s="6"/>
      <c r="W102" s="5"/>
    </row>
    <row r="103" customFormat="1" spans="3:23">
      <c r="C103" s="20" t="s">
        <v>82</v>
      </c>
      <c r="D103" s="17"/>
      <c r="E103" s="5"/>
      <c r="F103" s="22">
        <f>568</f>
        <v>568</v>
      </c>
      <c r="G103" s="22">
        <f>545</f>
        <v>545</v>
      </c>
      <c r="H103" s="22">
        <f>539</f>
        <v>539</v>
      </c>
      <c r="I103" s="22">
        <f>585</f>
        <v>585</v>
      </c>
      <c r="J103" s="22">
        <f>606</f>
        <v>606</v>
      </c>
      <c r="K103" s="22">
        <f>2423</f>
        <v>2423</v>
      </c>
      <c r="L103" s="22">
        <f>2450</f>
        <v>2450</v>
      </c>
      <c r="M103" s="22">
        <f>2479</f>
        <v>2479</v>
      </c>
      <c r="N103" s="22">
        <f>2506</f>
        <v>2506</v>
      </c>
      <c r="O103" s="22">
        <f>2466</f>
        <v>2466</v>
      </c>
      <c r="P103" s="22">
        <f>2464</f>
        <v>2464</v>
      </c>
      <c r="Q103" s="5"/>
      <c r="R103" s="6"/>
      <c r="S103" s="26"/>
      <c r="T103" s="26"/>
      <c r="U103" s="26"/>
      <c r="V103" s="6"/>
      <c r="W103" s="5"/>
    </row>
    <row r="104" s="19" customFormat="1" spans="3:23">
      <c r="C104" s="20" t="s">
        <v>83</v>
      </c>
      <c r="D104" s="20"/>
      <c r="E104" s="21"/>
      <c r="F104" s="22">
        <f>F103*10*4</f>
        <v>22720</v>
      </c>
      <c r="G104" s="22">
        <f>G103*10*4</f>
        <v>21800</v>
      </c>
      <c r="H104" s="22">
        <f>H103*10*4</f>
        <v>21560</v>
      </c>
      <c r="I104" s="22">
        <f>I103*10*4</f>
        <v>23400</v>
      </c>
      <c r="J104" s="22">
        <f>J103*10*4</f>
        <v>24240</v>
      </c>
      <c r="K104" s="22">
        <f t="shared" ref="K104:P104" si="43">K103*10</f>
        <v>24230</v>
      </c>
      <c r="L104" s="22">
        <f t="shared" si="43"/>
        <v>24500</v>
      </c>
      <c r="M104" s="22">
        <f t="shared" si="43"/>
        <v>24790</v>
      </c>
      <c r="N104" s="22">
        <f t="shared" si="43"/>
        <v>25060</v>
      </c>
      <c r="O104" s="22">
        <f t="shared" si="43"/>
        <v>24660</v>
      </c>
      <c r="P104" s="22">
        <f t="shared" si="43"/>
        <v>24640</v>
      </c>
      <c r="Q104" s="21"/>
      <c r="R104" s="22"/>
      <c r="S104" s="28"/>
      <c r="T104" s="28"/>
      <c r="U104" s="28"/>
      <c r="V104" s="22"/>
      <c r="W104" s="21"/>
    </row>
    <row r="105" s="23" customFormat="1" spans="3:23">
      <c r="C105" s="24" t="s">
        <v>84</v>
      </c>
      <c r="D105" s="25"/>
      <c r="E105" s="26"/>
      <c r="F105" s="26">
        <v>0.39</v>
      </c>
      <c r="G105" s="26">
        <v>0.48</v>
      </c>
      <c r="H105" s="26">
        <v>0.73</v>
      </c>
      <c r="I105" s="26">
        <v>2.73</v>
      </c>
      <c r="J105" s="26">
        <v>6.14</v>
      </c>
      <c r="K105" s="26">
        <v>3.59</v>
      </c>
      <c r="L105" s="26">
        <v>5.91</v>
      </c>
      <c r="M105" s="26">
        <v>12.99</v>
      </c>
      <c r="N105" s="26">
        <v>24.49</v>
      </c>
      <c r="O105" s="26">
        <v>19.54</v>
      </c>
      <c r="P105" s="26">
        <v>61.53</v>
      </c>
      <c r="Q105" s="26"/>
      <c r="R105" s="26"/>
      <c r="S105" s="26"/>
      <c r="T105" s="26">
        <f>((P105/F105)^(1/4)-1)*100</f>
        <v>254.409681422295</v>
      </c>
      <c r="U105" s="26"/>
      <c r="V105" s="26"/>
      <c r="W105" s="26"/>
    </row>
    <row r="106" s="27" customFormat="1" spans="3:23">
      <c r="C106" s="24" t="s">
        <v>12</v>
      </c>
      <c r="D106" s="24"/>
      <c r="E106" s="28"/>
      <c r="F106" s="28">
        <f t="shared" ref="F106:P106" si="44">IFERROR(F97/F104,0)</f>
        <v>0.0193661971830986</v>
      </c>
      <c r="G106" s="28">
        <f t="shared" si="44"/>
        <v>0.0289449541284404</v>
      </c>
      <c r="H106" s="28">
        <f t="shared" si="44"/>
        <v>0.0284786641929499</v>
      </c>
      <c r="I106" s="28">
        <f t="shared" si="44"/>
        <v>0.0711965811965812</v>
      </c>
      <c r="J106" s="28">
        <f t="shared" si="44"/>
        <v>0.125701320132013</v>
      </c>
      <c r="K106" s="28">
        <f t="shared" si="44"/>
        <v>0.170903838217086</v>
      </c>
      <c r="L106" s="28">
        <f t="shared" si="44"/>
        <v>0.114122448979592</v>
      </c>
      <c r="M106" s="28">
        <f t="shared" si="44"/>
        <v>0.174747882210569</v>
      </c>
      <c r="N106" s="28">
        <f t="shared" si="44"/>
        <v>0.389146049481245</v>
      </c>
      <c r="O106" s="28">
        <f t="shared" si="44"/>
        <v>0.17712895377129</v>
      </c>
      <c r="P106" s="28">
        <f t="shared" si="44"/>
        <v>1.20779220779221</v>
      </c>
      <c r="Q106" s="28"/>
      <c r="R106" s="28"/>
      <c r="S106" s="28"/>
      <c r="T106" s="28"/>
      <c r="U106" s="28"/>
      <c r="V106" s="28"/>
      <c r="W106" s="28"/>
    </row>
    <row r="107" s="29" customFormat="1" spans="3:23">
      <c r="C107" s="30" t="s">
        <v>85</v>
      </c>
      <c r="D107" s="31"/>
      <c r="E107" s="32"/>
      <c r="F107" s="32">
        <f t="shared" ref="F107:P107" si="45">F105/F106</f>
        <v>20.1381818181818</v>
      </c>
      <c r="G107" s="32">
        <f t="shared" si="45"/>
        <v>16.5832012678288</v>
      </c>
      <c r="H107" s="32">
        <f t="shared" si="45"/>
        <v>25.6332247557003</v>
      </c>
      <c r="I107" s="32">
        <f t="shared" si="45"/>
        <v>38.3445378151261</v>
      </c>
      <c r="J107" s="32">
        <f t="shared" si="45"/>
        <v>48.8459468329504</v>
      </c>
      <c r="K107" s="32">
        <f t="shared" si="45"/>
        <v>21.0059647428157</v>
      </c>
      <c r="L107" s="32">
        <f t="shared" si="45"/>
        <v>51.7864806866953</v>
      </c>
      <c r="M107" s="32">
        <f t="shared" si="45"/>
        <v>74.3356648199446</v>
      </c>
      <c r="N107" s="32">
        <f t="shared" si="45"/>
        <v>62.932670221493</v>
      </c>
      <c r="O107" s="32">
        <f t="shared" si="45"/>
        <v>110.31510989011</v>
      </c>
      <c r="P107" s="32">
        <f t="shared" si="45"/>
        <v>50.9441935483871</v>
      </c>
      <c r="Q107" s="32"/>
      <c r="R107" s="32">
        <f>AVERAGE(E107:Q107)</f>
        <v>47.3513796726576</v>
      </c>
      <c r="S107" s="90"/>
      <c r="T107" s="90"/>
      <c r="U107" s="90">
        <f>_xlfn.STDEV.S(E107:Q107)</f>
        <v>28.1145745609065</v>
      </c>
      <c r="V107" s="90">
        <f>R107-U107</f>
        <v>19.2368051117511</v>
      </c>
      <c r="W107" s="32"/>
    </row>
    <row r="108" s="69" customFormat="1" spans="3:23">
      <c r="C108" s="24" t="s">
        <v>86</v>
      </c>
      <c r="D108" s="85"/>
      <c r="E108" s="73"/>
      <c r="F108" s="73">
        <f t="shared" ref="F108:P108" si="46">F77/F104</f>
        <v>0.181778169014085</v>
      </c>
      <c r="G108" s="73">
        <f t="shared" si="46"/>
        <v>0.214770642201835</v>
      </c>
      <c r="H108" s="73">
        <f t="shared" si="46"/>
        <v>0.232374768089054</v>
      </c>
      <c r="I108" s="73">
        <f t="shared" si="46"/>
        <v>0.295299145299145</v>
      </c>
      <c r="J108" s="73">
        <f t="shared" si="46"/>
        <v>0.400742574257426</v>
      </c>
      <c r="K108" s="73">
        <f t="shared" si="46"/>
        <v>0.483532810565415</v>
      </c>
      <c r="L108" s="73">
        <f t="shared" si="46"/>
        <v>0.445632653061225</v>
      </c>
      <c r="M108" s="73">
        <f t="shared" si="46"/>
        <v>0.672650262202501</v>
      </c>
      <c r="N108" s="73">
        <f t="shared" si="46"/>
        <v>1.07398244213887</v>
      </c>
      <c r="O108" s="73">
        <f t="shared" si="46"/>
        <v>1.09383617193836</v>
      </c>
      <c r="P108" s="73">
        <f t="shared" si="46"/>
        <v>2.47248376623377</v>
      </c>
      <c r="Q108" s="73"/>
      <c r="R108" s="73"/>
      <c r="S108" s="73"/>
      <c r="T108" s="73"/>
      <c r="U108" s="73"/>
      <c r="V108" s="73"/>
      <c r="W108" s="73"/>
    </row>
    <row r="109" s="29" customFormat="1" spans="3:23">
      <c r="C109" s="30" t="s">
        <v>87</v>
      </c>
      <c r="D109" s="31"/>
      <c r="E109" s="32"/>
      <c r="F109" s="32">
        <f t="shared" ref="F109:P109" si="47">F105/F108</f>
        <v>2.14547215496368</v>
      </c>
      <c r="G109" s="32">
        <f t="shared" si="47"/>
        <v>2.23494233233661</v>
      </c>
      <c r="H109" s="32">
        <f t="shared" si="47"/>
        <v>3.14147704590818</v>
      </c>
      <c r="I109" s="32">
        <f t="shared" si="47"/>
        <v>9.24486251808973</v>
      </c>
      <c r="J109" s="32">
        <f t="shared" si="47"/>
        <v>15.3215565163681</v>
      </c>
      <c r="K109" s="32">
        <f t="shared" si="47"/>
        <v>7.42452202116763</v>
      </c>
      <c r="L109" s="32">
        <f t="shared" si="47"/>
        <v>13.2620443304635</v>
      </c>
      <c r="M109" s="32">
        <f t="shared" si="47"/>
        <v>19.3116701649175</v>
      </c>
      <c r="N109" s="32">
        <f t="shared" si="47"/>
        <v>22.802979861782</v>
      </c>
      <c r="O109" s="32">
        <f t="shared" si="47"/>
        <v>17.8637354489508</v>
      </c>
      <c r="P109" s="32">
        <f t="shared" si="47"/>
        <v>24.8859065690555</v>
      </c>
      <c r="Q109" s="32"/>
      <c r="R109" s="32">
        <f t="shared" ref="R109:R114" si="48">AVERAGE(E109:Q109)</f>
        <v>12.5126517240003</v>
      </c>
      <c r="S109" s="90"/>
      <c r="T109" s="90"/>
      <c r="U109" s="90">
        <f>_xlfn.STDEV.S(E109:Q109)</f>
        <v>8.24497859558802</v>
      </c>
      <c r="V109" s="90">
        <f>R109-U109</f>
        <v>4.26767312841227</v>
      </c>
      <c r="W109" s="32"/>
    </row>
    <row r="110" s="70" customFormat="1" spans="3:23">
      <c r="C110" s="22"/>
      <c r="D110" s="6"/>
      <c r="E110" s="6"/>
      <c r="F110" s="6"/>
      <c r="G110" s="6"/>
      <c r="H110" s="6"/>
      <c r="I110" s="6"/>
      <c r="J110" s="6"/>
      <c r="K110" s="6"/>
      <c r="L110" s="6"/>
      <c r="M110" s="6"/>
      <c r="N110" s="6"/>
      <c r="O110" s="6"/>
      <c r="P110" s="6"/>
      <c r="Q110" s="6"/>
      <c r="R110" s="91"/>
      <c r="S110" s="26"/>
      <c r="T110" s="26"/>
      <c r="U110" s="26"/>
      <c r="V110" s="6"/>
      <c r="W110" s="6"/>
    </row>
    <row r="111" s="70" customFormat="1" spans="3:23">
      <c r="C111" s="86" t="s">
        <v>88</v>
      </c>
      <c r="D111" s="87"/>
      <c r="E111" s="6"/>
      <c r="F111" s="6">
        <f t="shared" ref="F111:P111" si="49">F104*F105</f>
        <v>8860.8</v>
      </c>
      <c r="G111" s="6">
        <f t="shared" si="49"/>
        <v>10464</v>
      </c>
      <c r="H111" s="6">
        <f t="shared" si="49"/>
        <v>15738.8</v>
      </c>
      <c r="I111" s="6">
        <f t="shared" si="49"/>
        <v>63882</v>
      </c>
      <c r="J111" s="6">
        <f t="shared" si="49"/>
        <v>148833.6</v>
      </c>
      <c r="K111" s="6">
        <f t="shared" si="49"/>
        <v>86985.7</v>
      </c>
      <c r="L111" s="6">
        <f t="shared" si="49"/>
        <v>144795</v>
      </c>
      <c r="M111" s="6">
        <f t="shared" si="49"/>
        <v>322022.1</v>
      </c>
      <c r="N111" s="6">
        <f t="shared" si="49"/>
        <v>613719.4</v>
      </c>
      <c r="O111" s="6">
        <f t="shared" si="49"/>
        <v>481856.4</v>
      </c>
      <c r="P111" s="6">
        <f t="shared" si="49"/>
        <v>1516099.2</v>
      </c>
      <c r="Q111" s="6"/>
      <c r="R111" s="6"/>
      <c r="S111" s="26"/>
      <c r="T111" s="26"/>
      <c r="U111" s="26"/>
      <c r="V111" s="6"/>
      <c r="W111" s="6"/>
    </row>
    <row r="112" s="70" customFormat="1" spans="3:23">
      <c r="C112" s="86" t="s">
        <v>89</v>
      </c>
      <c r="D112" s="87"/>
      <c r="E112" s="6"/>
      <c r="F112" s="6">
        <f t="shared" ref="F112:P112" si="50">F111+(F144+F148)-(F123+F124)</f>
        <v>5544.8</v>
      </c>
      <c r="G112" s="6">
        <f t="shared" si="50"/>
        <v>7225</v>
      </c>
      <c r="H112" s="6">
        <f t="shared" si="50"/>
        <v>12114.8</v>
      </c>
      <c r="I112" s="6">
        <f t="shared" si="50"/>
        <v>59863</v>
      </c>
      <c r="J112" s="6">
        <f t="shared" si="50"/>
        <v>143725.6</v>
      </c>
      <c r="K112" s="6">
        <f t="shared" si="50"/>
        <v>81551.7</v>
      </c>
      <c r="L112" s="6">
        <f t="shared" si="50"/>
        <v>135889</v>
      </c>
      <c r="M112" s="6">
        <f t="shared" si="50"/>
        <v>317424.1</v>
      </c>
      <c r="N112" s="6">
        <f t="shared" si="50"/>
        <v>603457.4</v>
      </c>
      <c r="O112" s="6">
        <f t="shared" si="50"/>
        <v>479513.4</v>
      </c>
      <c r="P112" s="6">
        <f t="shared" si="50"/>
        <v>1499824.2</v>
      </c>
      <c r="Q112" s="6"/>
      <c r="R112" s="6"/>
      <c r="S112" s="6"/>
      <c r="T112" s="6"/>
      <c r="U112" s="6"/>
      <c r="V112" s="6"/>
      <c r="W112" s="6"/>
    </row>
    <row r="113" s="48" customFormat="1" spans="3:23">
      <c r="C113" s="88" t="s">
        <v>90</v>
      </c>
      <c r="D113" s="89"/>
      <c r="E113" s="84"/>
      <c r="F113" s="32">
        <f>F112/(F179+F181+F95)</f>
        <v>7.40293724966622</v>
      </c>
      <c r="G113" s="32">
        <f t="shared" ref="G113:P113" si="51">G112/(G179+G181+G95)</f>
        <v>7.41025641025641</v>
      </c>
      <c r="H113" s="32">
        <f t="shared" si="51"/>
        <v>12.888085106383</v>
      </c>
      <c r="I113" s="32">
        <f t="shared" si="51"/>
        <v>28.6152007648184</v>
      </c>
      <c r="J113" s="32">
        <f t="shared" si="51"/>
        <v>42.3344918998527</v>
      </c>
      <c r="K113" s="32">
        <f t="shared" si="51"/>
        <v>19.6132034632035</v>
      </c>
      <c r="L113" s="32">
        <f t="shared" si="51"/>
        <v>40.5517755893763</v>
      </c>
      <c r="M113" s="32">
        <f t="shared" si="51"/>
        <v>57.640112583984</v>
      </c>
      <c r="N113" s="32">
        <f t="shared" si="51"/>
        <v>54.2921637426901</v>
      </c>
      <c r="O113" s="32">
        <f t="shared" si="51"/>
        <v>83.7577991266376</v>
      </c>
      <c r="P113" s="32">
        <f t="shared" si="51"/>
        <v>42.4566664779483</v>
      </c>
      <c r="Q113" s="84"/>
      <c r="R113" s="32">
        <f t="shared" si="48"/>
        <v>36.087517492256</v>
      </c>
      <c r="S113" s="90"/>
      <c r="T113" s="90"/>
      <c r="U113" s="90"/>
      <c r="V113" s="32"/>
      <c r="W113" s="84"/>
    </row>
    <row r="114" s="48" customFormat="1" spans="3:23">
      <c r="C114" s="88" t="s">
        <v>91</v>
      </c>
      <c r="D114" s="89"/>
      <c r="E114" s="84"/>
      <c r="F114" s="32">
        <f t="shared" ref="F114:P114" si="52">F112/F77</f>
        <v>1.34256658595642</v>
      </c>
      <c r="G114" s="32">
        <f t="shared" si="52"/>
        <v>1.54314395557454</v>
      </c>
      <c r="H114" s="32">
        <f t="shared" si="52"/>
        <v>2.41812375249501</v>
      </c>
      <c r="I114" s="32">
        <f t="shared" si="52"/>
        <v>8.66324167872648</v>
      </c>
      <c r="J114" s="32">
        <f t="shared" si="52"/>
        <v>14.7957175211036</v>
      </c>
      <c r="K114" s="32">
        <f t="shared" si="52"/>
        <v>6.96071184704677</v>
      </c>
      <c r="L114" s="32">
        <f t="shared" si="52"/>
        <v>12.4463271661476</v>
      </c>
      <c r="M114" s="32">
        <f t="shared" si="52"/>
        <v>19.035928035982</v>
      </c>
      <c r="N114" s="32">
        <f t="shared" si="52"/>
        <v>22.4216913130713</v>
      </c>
      <c r="O114" s="32">
        <f t="shared" si="52"/>
        <v>17.7768740268407</v>
      </c>
      <c r="P114" s="32">
        <f t="shared" si="52"/>
        <v>24.6187616952825</v>
      </c>
      <c r="Q114" s="84"/>
      <c r="R114" s="32">
        <f t="shared" si="48"/>
        <v>12.0020988707479</v>
      </c>
      <c r="S114" s="90"/>
      <c r="T114" s="90"/>
      <c r="U114" s="90"/>
      <c r="V114" s="32"/>
      <c r="W114" s="84"/>
    </row>
    <row r="116" spans="3:19">
      <c r="C116" s="24" t="s">
        <v>92</v>
      </c>
      <c r="D116" s="25"/>
      <c r="E116" s="26"/>
      <c r="F116" s="28">
        <f t="shared" ref="F116:P116" si="53">ABS(F200/F104)</f>
        <v>0.00796654929577465</v>
      </c>
      <c r="G116" s="28">
        <f t="shared" si="53"/>
        <v>0.00853211009174312</v>
      </c>
      <c r="H116" s="28">
        <f t="shared" si="53"/>
        <v>0.00987940630797774</v>
      </c>
      <c r="I116" s="28">
        <f t="shared" si="53"/>
        <v>0.0111538461538462</v>
      </c>
      <c r="J116" s="28">
        <f t="shared" si="53"/>
        <v>0.0140676567656766</v>
      </c>
      <c r="K116" s="28">
        <f t="shared" si="53"/>
        <v>0.0153115971935617</v>
      </c>
      <c r="L116" s="28">
        <f t="shared" si="53"/>
        <v>0.0159183673469388</v>
      </c>
      <c r="M116" s="28">
        <f t="shared" si="53"/>
        <v>0.0159338442920532</v>
      </c>
      <c r="N116" s="28">
        <f t="shared" si="53"/>
        <v>0.0159217877094972</v>
      </c>
      <c r="O116" s="28">
        <f t="shared" si="53"/>
        <v>0.016139497161395</v>
      </c>
      <c r="P116" s="28">
        <f t="shared" si="53"/>
        <v>0.0160308441558442</v>
      </c>
      <c r="Q116" s="26"/>
      <c r="R116" s="26">
        <f>AVERAGE(E116:Q116)</f>
        <v>0.0133505005885735</v>
      </c>
      <c r="S116" s="26">
        <f>MEDIAN(E116:Q116)</f>
        <v>0.0153115971935617</v>
      </c>
    </row>
    <row r="117" spans="3:19">
      <c r="C117" s="24" t="s">
        <v>93</v>
      </c>
      <c r="D117" s="25"/>
      <c r="E117" s="26"/>
      <c r="F117" s="28">
        <f t="shared" ref="F117:P117" si="54">F116/F105</f>
        <v>0.0204270494763453</v>
      </c>
      <c r="G117" s="28">
        <f t="shared" si="54"/>
        <v>0.0177752293577982</v>
      </c>
      <c r="H117" s="28">
        <f t="shared" si="54"/>
        <v>0.0135334332985996</v>
      </c>
      <c r="I117" s="28">
        <f t="shared" si="54"/>
        <v>0.00408565793181178</v>
      </c>
      <c r="J117" s="28">
        <f t="shared" si="54"/>
        <v>0.00229114931037078</v>
      </c>
      <c r="K117" s="28">
        <f t="shared" si="54"/>
        <v>0.00426506885614532</v>
      </c>
      <c r="L117" s="28">
        <f t="shared" si="54"/>
        <v>0.00269346317207086</v>
      </c>
      <c r="M117" s="28">
        <f t="shared" si="54"/>
        <v>0.00122662388699409</v>
      </c>
      <c r="N117" s="28">
        <f t="shared" si="54"/>
        <v>0.000650134247019078</v>
      </c>
      <c r="O117" s="28">
        <f t="shared" si="54"/>
        <v>0.000825972219109262</v>
      </c>
      <c r="P117" s="28">
        <f t="shared" si="54"/>
        <v>0.000260537041375657</v>
      </c>
      <c r="Q117" s="26"/>
      <c r="R117" s="26">
        <f>AVERAGE(E117:Q117)</f>
        <v>0.00618493807251272</v>
      </c>
      <c r="S117" s="26">
        <f>MEDIAN(E117:Q117)</f>
        <v>0.00269346317207086</v>
      </c>
    </row>
    <row r="121" ht="15.75" spans="2:2">
      <c r="B121" s="10" t="s">
        <v>94</v>
      </c>
    </row>
    <row r="122" spans="2:2">
      <c r="B122" t="s">
        <v>95</v>
      </c>
    </row>
    <row r="123" spans="3:16">
      <c r="C123" t="s">
        <v>96</v>
      </c>
      <c r="F123" s="6">
        <v>1152</v>
      </c>
      <c r="G123" s="6">
        <v>497</v>
      </c>
      <c r="H123" s="6">
        <v>596</v>
      </c>
      <c r="I123" s="6">
        <v>1766</v>
      </c>
      <c r="J123" s="6">
        <v>4002</v>
      </c>
      <c r="K123" s="6">
        <v>782</v>
      </c>
      <c r="L123" s="6">
        <v>10896</v>
      </c>
      <c r="M123" s="6">
        <v>847</v>
      </c>
      <c r="N123" s="6">
        <v>1990</v>
      </c>
      <c r="O123" s="6">
        <v>3389</v>
      </c>
      <c r="P123" s="6">
        <v>7280</v>
      </c>
    </row>
    <row r="124" spans="3:16">
      <c r="C124" t="s">
        <v>97</v>
      </c>
      <c r="F124" s="6">
        <v>3520</v>
      </c>
      <c r="G124" s="6">
        <v>4126</v>
      </c>
      <c r="H124" s="6">
        <v>4441</v>
      </c>
      <c r="I124" s="6">
        <v>5032</v>
      </c>
      <c r="J124" s="6">
        <v>3106</v>
      </c>
      <c r="K124" s="6">
        <v>6640</v>
      </c>
      <c r="L124" s="6">
        <v>1</v>
      </c>
      <c r="M124" s="6">
        <v>10714</v>
      </c>
      <c r="N124" s="6">
        <v>19218</v>
      </c>
      <c r="O124" s="6">
        <v>9907</v>
      </c>
      <c r="P124" s="6">
        <v>18704</v>
      </c>
    </row>
    <row r="125" spans="3:16">
      <c r="C125" t="s">
        <v>98</v>
      </c>
      <c r="F125" s="6">
        <v>426</v>
      </c>
      <c r="G125" s="6">
        <v>474</v>
      </c>
      <c r="H125" s="6">
        <v>505</v>
      </c>
      <c r="I125" s="6">
        <v>826</v>
      </c>
      <c r="J125" s="6">
        <v>1265</v>
      </c>
      <c r="K125" s="6">
        <v>1424</v>
      </c>
      <c r="L125" s="6">
        <v>1657</v>
      </c>
      <c r="M125" s="6">
        <v>2429</v>
      </c>
      <c r="N125" s="6">
        <v>4650</v>
      </c>
      <c r="O125" s="6">
        <v>3827</v>
      </c>
      <c r="P125" s="6">
        <v>9999</v>
      </c>
    </row>
    <row r="126" spans="3:16">
      <c r="C126" t="s">
        <v>99</v>
      </c>
      <c r="F126" s="6">
        <v>388</v>
      </c>
      <c r="G126" s="6">
        <v>483</v>
      </c>
      <c r="H126" s="6">
        <v>418</v>
      </c>
      <c r="I126" s="6">
        <v>794</v>
      </c>
      <c r="J126" s="6">
        <v>796</v>
      </c>
      <c r="K126" s="6">
        <v>1575</v>
      </c>
      <c r="L126" s="6">
        <v>979</v>
      </c>
      <c r="M126" s="6">
        <v>1826</v>
      </c>
      <c r="N126" s="6">
        <v>2605</v>
      </c>
      <c r="O126" s="6">
        <v>5159</v>
      </c>
      <c r="P126" s="6">
        <v>5282</v>
      </c>
    </row>
    <row r="127" spans="3:16">
      <c r="C127" t="s">
        <v>100</v>
      </c>
      <c r="F127" s="6">
        <v>70</v>
      </c>
      <c r="G127" s="6">
        <v>70</v>
      </c>
      <c r="H127" s="6">
        <v>93</v>
      </c>
      <c r="I127" s="6">
        <v>118</v>
      </c>
      <c r="J127" s="6">
        <v>86</v>
      </c>
      <c r="K127" s="6">
        <v>136</v>
      </c>
      <c r="L127" s="6">
        <v>157</v>
      </c>
      <c r="M127" s="6">
        <v>239</v>
      </c>
      <c r="N127" s="6">
        <v>366</v>
      </c>
      <c r="O127" s="6">
        <v>791</v>
      </c>
      <c r="P127" s="6">
        <v>3080</v>
      </c>
    </row>
    <row r="128" spans="2:16">
      <c r="B128" t="s">
        <v>101</v>
      </c>
      <c r="F128" s="11">
        <f t="shared" ref="F128:P128" si="55">SUM(F123:F127)</f>
        <v>5556</v>
      </c>
      <c r="G128" s="11">
        <f t="shared" si="55"/>
        <v>5650</v>
      </c>
      <c r="H128" s="11">
        <f t="shared" si="55"/>
        <v>6053</v>
      </c>
      <c r="I128" s="11">
        <f t="shared" si="55"/>
        <v>8536</v>
      </c>
      <c r="J128" s="11">
        <f t="shared" si="55"/>
        <v>9255</v>
      </c>
      <c r="K128" s="11">
        <f t="shared" si="55"/>
        <v>10557</v>
      </c>
      <c r="L128" s="11">
        <f t="shared" si="55"/>
        <v>13690</v>
      </c>
      <c r="M128" s="11">
        <f t="shared" si="55"/>
        <v>16055</v>
      </c>
      <c r="N128" s="11">
        <f t="shared" si="55"/>
        <v>28829</v>
      </c>
      <c r="O128" s="11">
        <f t="shared" si="55"/>
        <v>23073</v>
      </c>
      <c r="P128" s="11">
        <f t="shared" si="55"/>
        <v>44345</v>
      </c>
    </row>
    <row r="130" spans="2:2">
      <c r="B130" t="s">
        <v>102</v>
      </c>
    </row>
    <row r="131" spans="3:16">
      <c r="C131" t="s">
        <v>103</v>
      </c>
      <c r="F131" s="6">
        <v>583</v>
      </c>
      <c r="G131" s="6">
        <v>557</v>
      </c>
      <c r="H131" s="6">
        <v>466</v>
      </c>
      <c r="I131" s="6">
        <v>521</v>
      </c>
      <c r="J131" s="6">
        <v>997</v>
      </c>
      <c r="K131" s="6">
        <v>1404</v>
      </c>
      <c r="L131" s="6">
        <v>1674</v>
      </c>
      <c r="M131" s="6">
        <v>2149</v>
      </c>
      <c r="N131" s="6">
        <v>2778</v>
      </c>
      <c r="O131" s="6">
        <v>3807</v>
      </c>
      <c r="P131" s="6">
        <v>3914</v>
      </c>
    </row>
    <row r="132" spans="3:16">
      <c r="C132" t="s">
        <v>104</v>
      </c>
      <c r="F132" s="6">
        <v>0</v>
      </c>
      <c r="G132" s="6">
        <v>0</v>
      </c>
      <c r="H132" s="6">
        <v>0</v>
      </c>
      <c r="I132" s="6">
        <v>0</v>
      </c>
      <c r="J132" s="6">
        <v>0</v>
      </c>
      <c r="K132" s="6">
        <v>0</v>
      </c>
      <c r="L132" s="6">
        <v>618</v>
      </c>
      <c r="M132" s="6">
        <v>707</v>
      </c>
      <c r="N132" s="6">
        <v>829</v>
      </c>
      <c r="O132" s="6">
        <v>1038</v>
      </c>
      <c r="P132" s="6">
        <v>1346</v>
      </c>
    </row>
    <row r="133" spans="3:16">
      <c r="C133" t="s">
        <v>105</v>
      </c>
      <c r="F133" s="6">
        <v>643</v>
      </c>
      <c r="G133" s="6">
        <v>618</v>
      </c>
      <c r="H133" s="6">
        <v>618</v>
      </c>
      <c r="I133" s="6">
        <v>618</v>
      </c>
      <c r="J133" s="6">
        <v>618</v>
      </c>
      <c r="K133" s="6">
        <v>618</v>
      </c>
      <c r="L133" s="6">
        <v>618</v>
      </c>
      <c r="M133" s="6">
        <v>4193</v>
      </c>
      <c r="N133" s="6">
        <v>4349</v>
      </c>
      <c r="O133" s="6">
        <v>4372</v>
      </c>
      <c r="P133" s="6">
        <v>4430</v>
      </c>
    </row>
    <row r="134" spans="3:16">
      <c r="C134" t="s">
        <v>106</v>
      </c>
      <c r="F134" s="6">
        <v>296</v>
      </c>
      <c r="G134" s="6">
        <v>222</v>
      </c>
      <c r="H134" s="6">
        <v>166</v>
      </c>
      <c r="I134" s="6">
        <v>104</v>
      </c>
      <c r="J134" s="6">
        <v>52</v>
      </c>
      <c r="K134" s="6">
        <v>45</v>
      </c>
      <c r="L134" s="6">
        <v>49</v>
      </c>
      <c r="M134" s="6">
        <v>2737</v>
      </c>
      <c r="N134" s="6">
        <v>2339</v>
      </c>
      <c r="O134" s="6">
        <v>1676</v>
      </c>
      <c r="P134" s="6">
        <v>1112</v>
      </c>
    </row>
    <row r="135" spans="3:16">
      <c r="C135" t="s">
        <v>107</v>
      </c>
      <c r="F135" s="6">
        <v>68</v>
      </c>
      <c r="G135" s="6">
        <v>63</v>
      </c>
      <c r="H135" s="6">
        <v>0</v>
      </c>
      <c r="I135" s="6">
        <v>0</v>
      </c>
      <c r="J135" s="6">
        <v>0</v>
      </c>
      <c r="K135" s="6">
        <v>560</v>
      </c>
      <c r="L135" s="6">
        <v>548</v>
      </c>
      <c r="M135" s="6">
        <v>806</v>
      </c>
      <c r="N135" s="6">
        <v>1222</v>
      </c>
      <c r="O135" s="6">
        <v>3396</v>
      </c>
      <c r="P135" s="6">
        <v>6081</v>
      </c>
    </row>
    <row r="136" spans="3:16">
      <c r="C136" t="s">
        <v>108</v>
      </c>
      <c r="F136" s="6">
        <v>104</v>
      </c>
      <c r="G136" s="6">
        <v>91</v>
      </c>
      <c r="H136" s="6">
        <v>67</v>
      </c>
      <c r="I136" s="6">
        <v>62</v>
      </c>
      <c r="J136" s="6">
        <v>319</v>
      </c>
      <c r="K136" s="6">
        <v>108</v>
      </c>
      <c r="L136" s="6">
        <v>118</v>
      </c>
      <c r="M136" s="6">
        <v>2144</v>
      </c>
      <c r="N136" s="6">
        <v>3841</v>
      </c>
      <c r="O136" s="6">
        <v>3820</v>
      </c>
      <c r="P136" s="6">
        <v>4500</v>
      </c>
    </row>
    <row r="137" spans="2:16">
      <c r="B137" t="s">
        <v>109</v>
      </c>
      <c r="F137" s="11">
        <f t="shared" ref="F137:P137" si="56">SUM(F131:F136)</f>
        <v>1694</v>
      </c>
      <c r="G137" s="11">
        <f t="shared" si="56"/>
        <v>1551</v>
      </c>
      <c r="H137" s="11">
        <f t="shared" si="56"/>
        <v>1317</v>
      </c>
      <c r="I137" s="11">
        <f t="shared" si="56"/>
        <v>1305</v>
      </c>
      <c r="J137" s="11">
        <f t="shared" si="56"/>
        <v>1986</v>
      </c>
      <c r="K137" s="11">
        <f t="shared" si="56"/>
        <v>2735</v>
      </c>
      <c r="L137" s="11">
        <f t="shared" si="56"/>
        <v>3625</v>
      </c>
      <c r="M137" s="11">
        <f t="shared" si="56"/>
        <v>12736</v>
      </c>
      <c r="N137" s="11">
        <f t="shared" si="56"/>
        <v>15358</v>
      </c>
      <c r="O137" s="11">
        <f t="shared" si="56"/>
        <v>18109</v>
      </c>
      <c r="P137" s="11">
        <f t="shared" si="56"/>
        <v>21383</v>
      </c>
    </row>
    <row r="139" spans="2:16">
      <c r="B139" t="s">
        <v>110</v>
      </c>
      <c r="F139" s="11">
        <f t="shared" ref="F139:L139" si="57">F128+F137</f>
        <v>7250</v>
      </c>
      <c r="G139" s="11">
        <f t="shared" si="57"/>
        <v>7201</v>
      </c>
      <c r="H139" s="11">
        <f t="shared" si="57"/>
        <v>7370</v>
      </c>
      <c r="I139" s="11">
        <f t="shared" si="57"/>
        <v>9841</v>
      </c>
      <c r="J139" s="11">
        <f t="shared" si="57"/>
        <v>11241</v>
      </c>
      <c r="K139" s="11">
        <f t="shared" si="57"/>
        <v>13292</v>
      </c>
      <c r="L139" s="11">
        <f t="shared" si="57"/>
        <v>17315</v>
      </c>
      <c r="M139" s="11">
        <f t="shared" ref="L139:P139" si="58">M128+M137</f>
        <v>28791</v>
      </c>
      <c r="N139" s="11">
        <f t="shared" si="58"/>
        <v>44187</v>
      </c>
      <c r="O139" s="11">
        <f t="shared" si="58"/>
        <v>41182</v>
      </c>
      <c r="P139" s="11">
        <f t="shared" si="58"/>
        <v>65728</v>
      </c>
    </row>
    <row r="141" spans="2:2">
      <c r="B141" t="s">
        <v>111</v>
      </c>
    </row>
    <row r="142" spans="3:16">
      <c r="C142" t="s">
        <v>112</v>
      </c>
      <c r="F142" s="6">
        <v>324</v>
      </c>
      <c r="G142" s="6">
        <v>293</v>
      </c>
      <c r="H142" s="6">
        <v>296</v>
      </c>
      <c r="I142" s="6">
        <v>485</v>
      </c>
      <c r="J142" s="6">
        <v>596</v>
      </c>
      <c r="K142" s="6">
        <v>511</v>
      </c>
      <c r="L142" s="6">
        <v>687</v>
      </c>
      <c r="M142" s="6">
        <v>1149</v>
      </c>
      <c r="N142" s="6">
        <v>1783</v>
      </c>
      <c r="O142" s="6">
        <v>1193</v>
      </c>
      <c r="P142" s="6">
        <v>2699</v>
      </c>
    </row>
    <row r="143" spans="3:16">
      <c r="C143" t="s">
        <v>113</v>
      </c>
      <c r="F143" s="6">
        <v>621</v>
      </c>
      <c r="G143" s="6">
        <v>603</v>
      </c>
      <c r="H143" s="6">
        <v>642</v>
      </c>
      <c r="I143" s="6">
        <v>507</v>
      </c>
      <c r="J143" s="6">
        <v>542</v>
      </c>
      <c r="K143" s="6">
        <v>818</v>
      </c>
      <c r="L143" s="6">
        <v>1097</v>
      </c>
      <c r="M143" s="6">
        <v>1777</v>
      </c>
      <c r="N143" s="6">
        <v>2552</v>
      </c>
      <c r="O143" s="6">
        <v>4120</v>
      </c>
      <c r="P143" s="6">
        <v>6682</v>
      </c>
    </row>
    <row r="144" spans="3:16">
      <c r="C144" t="s">
        <v>114</v>
      </c>
      <c r="F144" s="6">
        <v>0</v>
      </c>
      <c r="G144" s="6">
        <v>0</v>
      </c>
      <c r="H144" s="6">
        <v>1413</v>
      </c>
      <c r="I144" s="6">
        <v>796</v>
      </c>
      <c r="J144" s="6">
        <v>15</v>
      </c>
      <c r="K144" s="6">
        <v>0</v>
      </c>
      <c r="L144" s="6">
        <v>0</v>
      </c>
      <c r="M144" s="6">
        <v>999</v>
      </c>
      <c r="N144" s="6">
        <v>0</v>
      </c>
      <c r="O144" s="6">
        <v>1250</v>
      </c>
      <c r="P144" s="6">
        <v>1250</v>
      </c>
    </row>
    <row r="145" spans="2:16">
      <c r="B145" t="s">
        <v>115</v>
      </c>
      <c r="F145" s="11">
        <f t="shared" ref="F145:P145" si="59">SUM(F142:F144)</f>
        <v>945</v>
      </c>
      <c r="G145" s="11">
        <f t="shared" si="59"/>
        <v>896</v>
      </c>
      <c r="H145" s="11">
        <f t="shared" si="59"/>
        <v>2351</v>
      </c>
      <c r="I145" s="11">
        <f t="shared" si="59"/>
        <v>1788</v>
      </c>
      <c r="J145" s="11">
        <f t="shared" si="59"/>
        <v>1153</v>
      </c>
      <c r="K145" s="11">
        <f t="shared" si="59"/>
        <v>1329</v>
      </c>
      <c r="L145" s="11">
        <f t="shared" si="59"/>
        <v>1784</v>
      </c>
      <c r="M145" s="11">
        <f t="shared" si="59"/>
        <v>3925</v>
      </c>
      <c r="N145" s="11">
        <f t="shared" si="59"/>
        <v>4335</v>
      </c>
      <c r="O145" s="11">
        <f t="shared" si="59"/>
        <v>6563</v>
      </c>
      <c r="P145" s="11">
        <f t="shared" si="59"/>
        <v>10631</v>
      </c>
    </row>
    <row r="147" spans="2:2">
      <c r="B147" t="s">
        <v>116</v>
      </c>
    </row>
    <row r="148" spans="3:16">
      <c r="C148" t="s">
        <v>117</v>
      </c>
      <c r="F148" s="6">
        <v>1356</v>
      </c>
      <c r="G148" s="6">
        <v>1384</v>
      </c>
      <c r="H148" s="6">
        <v>0</v>
      </c>
      <c r="I148" s="6">
        <v>1983</v>
      </c>
      <c r="J148" s="6">
        <v>1985</v>
      </c>
      <c r="K148" s="6">
        <v>1988</v>
      </c>
      <c r="L148" s="6">
        <v>1991</v>
      </c>
      <c r="M148" s="6">
        <v>5964</v>
      </c>
      <c r="N148" s="6">
        <v>10946</v>
      </c>
      <c r="O148" s="6">
        <v>9703</v>
      </c>
      <c r="P148" s="6">
        <v>8459</v>
      </c>
    </row>
    <row r="149" spans="3:16">
      <c r="C149" t="s">
        <v>118</v>
      </c>
      <c r="F149" s="6">
        <v>18</v>
      </c>
      <c r="G149" s="6">
        <v>14</v>
      </c>
      <c r="H149" s="6">
        <v>10</v>
      </c>
      <c r="I149" s="6">
        <v>0</v>
      </c>
      <c r="J149" s="6">
        <v>0</v>
      </c>
      <c r="K149" s="6">
        <v>0</v>
      </c>
      <c r="L149" s="6">
        <v>561</v>
      </c>
      <c r="M149" s="6">
        <v>634</v>
      </c>
      <c r="N149" s="6">
        <v>741</v>
      </c>
      <c r="O149" s="6">
        <v>902</v>
      </c>
      <c r="P149" s="6">
        <v>1119</v>
      </c>
    </row>
    <row r="150" spans="3:16">
      <c r="C150" t="s">
        <v>119</v>
      </c>
      <c r="F150" s="6">
        <v>475</v>
      </c>
      <c r="G150" s="6">
        <v>489</v>
      </c>
      <c r="H150" s="6">
        <f>453+87</f>
        <v>540</v>
      </c>
      <c r="I150" s="6">
        <f>277+31</f>
        <v>308</v>
      </c>
      <c r="J150" s="6">
        <v>632</v>
      </c>
      <c r="K150" s="6">
        <v>633</v>
      </c>
      <c r="L150" s="6">
        <v>775</v>
      </c>
      <c r="M150" s="6">
        <v>1375</v>
      </c>
      <c r="N150" s="6">
        <v>1553</v>
      </c>
      <c r="O150" s="6">
        <v>1913</v>
      </c>
      <c r="P150" s="6">
        <v>2541</v>
      </c>
    </row>
    <row r="151" spans="2:16">
      <c r="B151" t="s">
        <v>120</v>
      </c>
      <c r="F151" s="11">
        <f t="shared" ref="F151:P151" si="60">SUM(F148:F150)</f>
        <v>1849</v>
      </c>
      <c r="G151" s="11">
        <f t="shared" si="60"/>
        <v>1887</v>
      </c>
      <c r="H151" s="11">
        <f t="shared" si="60"/>
        <v>550</v>
      </c>
      <c r="I151" s="11">
        <f t="shared" si="60"/>
        <v>2291</v>
      </c>
      <c r="J151" s="11">
        <f t="shared" si="60"/>
        <v>2617</v>
      </c>
      <c r="K151" s="11">
        <f t="shared" si="60"/>
        <v>2621</v>
      </c>
      <c r="L151" s="11">
        <f t="shared" si="60"/>
        <v>3327</v>
      </c>
      <c r="M151" s="11">
        <f t="shared" si="60"/>
        <v>7973</v>
      </c>
      <c r="N151" s="11">
        <f t="shared" si="60"/>
        <v>13240</v>
      </c>
      <c r="O151" s="11">
        <f t="shared" si="60"/>
        <v>12518</v>
      </c>
      <c r="P151" s="11">
        <f t="shared" si="60"/>
        <v>12119</v>
      </c>
    </row>
    <row r="153" spans="2:16">
      <c r="B153" t="s">
        <v>121</v>
      </c>
      <c r="F153" s="11">
        <f t="shared" ref="F153:L153" si="61">F145+F151</f>
        <v>2794</v>
      </c>
      <c r="G153" s="11">
        <f t="shared" si="61"/>
        <v>2783</v>
      </c>
      <c r="H153" s="11">
        <f t="shared" si="61"/>
        <v>2901</v>
      </c>
      <c r="I153" s="11">
        <f t="shared" si="61"/>
        <v>4079</v>
      </c>
      <c r="J153" s="11">
        <f t="shared" si="61"/>
        <v>3770</v>
      </c>
      <c r="K153" s="11">
        <f t="shared" si="61"/>
        <v>3950</v>
      </c>
      <c r="L153" s="11">
        <f t="shared" si="61"/>
        <v>5111</v>
      </c>
      <c r="M153" s="11">
        <f t="shared" ref="L153:P153" si="62">M145+M151</f>
        <v>11898</v>
      </c>
      <c r="N153" s="11">
        <f t="shared" si="62"/>
        <v>17575</v>
      </c>
      <c r="O153" s="11">
        <f t="shared" si="62"/>
        <v>19081</v>
      </c>
      <c r="P153" s="11">
        <f t="shared" si="62"/>
        <v>22750</v>
      </c>
    </row>
    <row r="155" spans="2:2">
      <c r="B155" t="s">
        <v>122</v>
      </c>
    </row>
    <row r="156" spans="3:16">
      <c r="C156" t="s">
        <v>123</v>
      </c>
      <c r="F156" s="6">
        <v>0</v>
      </c>
      <c r="G156" s="6">
        <v>1</v>
      </c>
      <c r="H156" s="6">
        <v>1</v>
      </c>
      <c r="I156" s="6">
        <v>1</v>
      </c>
      <c r="J156" s="6">
        <v>1</v>
      </c>
      <c r="K156" s="6">
        <v>1</v>
      </c>
      <c r="L156" s="6">
        <v>1</v>
      </c>
      <c r="M156" s="6">
        <v>3</v>
      </c>
      <c r="N156" s="6">
        <v>3</v>
      </c>
      <c r="O156" s="6">
        <v>2</v>
      </c>
      <c r="P156" s="6">
        <v>2</v>
      </c>
    </row>
    <row r="157" spans="3:16">
      <c r="C157" t="s">
        <v>124</v>
      </c>
      <c r="F157" s="6">
        <v>3483</v>
      </c>
      <c r="G157" s="6">
        <v>3855</v>
      </c>
      <c r="H157" s="6">
        <v>4170</v>
      </c>
      <c r="I157" s="6">
        <v>4708</v>
      </c>
      <c r="J157" s="6">
        <v>5351</v>
      </c>
      <c r="K157" s="6">
        <v>6051</v>
      </c>
      <c r="L157" s="6">
        <v>7045</v>
      </c>
      <c r="M157" s="6">
        <v>8719</v>
      </c>
      <c r="N157" s="6">
        <v>10385</v>
      </c>
      <c r="O157" s="6">
        <v>11971</v>
      </c>
      <c r="P157" s="6">
        <v>13132</v>
      </c>
    </row>
    <row r="158" spans="3:16">
      <c r="C158" t="s">
        <v>125</v>
      </c>
      <c r="F158" s="6">
        <v>-2537</v>
      </c>
      <c r="G158" s="6">
        <v>-3395</v>
      </c>
      <c r="H158" s="6">
        <v>-4048</v>
      </c>
      <c r="I158" s="6">
        <v>-5039</v>
      </c>
      <c r="J158" s="6">
        <v>-6650</v>
      </c>
      <c r="K158" s="6">
        <v>-9263</v>
      </c>
      <c r="L158" s="6">
        <v>-9814</v>
      </c>
      <c r="M158" s="6">
        <v>-10756</v>
      </c>
      <c r="N158" s="6">
        <v>0</v>
      </c>
      <c r="O158" s="6">
        <v>0</v>
      </c>
      <c r="P158" s="6">
        <v>0</v>
      </c>
    </row>
    <row r="159" spans="3:16">
      <c r="C159" t="s">
        <v>126</v>
      </c>
      <c r="F159" s="6">
        <v>5</v>
      </c>
      <c r="G159" s="6">
        <v>8</v>
      </c>
      <c r="H159" s="6">
        <v>-4</v>
      </c>
      <c r="I159" s="6">
        <v>-16</v>
      </c>
      <c r="J159" s="6">
        <v>-18</v>
      </c>
      <c r="K159" s="6">
        <v>-12</v>
      </c>
      <c r="L159" s="6">
        <v>1</v>
      </c>
      <c r="M159" s="6">
        <v>19</v>
      </c>
      <c r="N159" s="6">
        <v>-11</v>
      </c>
      <c r="O159" s="6">
        <v>-43</v>
      </c>
      <c r="P159" s="6">
        <v>27</v>
      </c>
    </row>
    <row r="160" spans="3:16">
      <c r="C160" t="s">
        <v>127</v>
      </c>
      <c r="F160" s="6">
        <v>3505</v>
      </c>
      <c r="G160" s="6">
        <v>3949</v>
      </c>
      <c r="H160" s="6">
        <v>4350</v>
      </c>
      <c r="I160" s="6">
        <v>6108</v>
      </c>
      <c r="J160" s="6">
        <v>8787</v>
      </c>
      <c r="K160" s="6">
        <v>12565</v>
      </c>
      <c r="L160" s="6">
        <v>14971</v>
      </c>
      <c r="M160" s="6">
        <v>18908</v>
      </c>
      <c r="N160" s="6">
        <v>16235</v>
      </c>
      <c r="O160" s="6">
        <v>10171</v>
      </c>
      <c r="P160" s="6">
        <v>29817</v>
      </c>
    </row>
    <row r="161" spans="2:16">
      <c r="B161" t="s">
        <v>128</v>
      </c>
      <c r="F161" s="11">
        <f>SUM(F156:F160)</f>
        <v>4456</v>
      </c>
      <c r="G161" s="11">
        <f t="shared" ref="G161:P161" si="63">SUM(G156:G160)</f>
        <v>4418</v>
      </c>
      <c r="H161" s="11">
        <f t="shared" si="63"/>
        <v>4469</v>
      </c>
      <c r="I161" s="11">
        <f t="shared" si="63"/>
        <v>5762</v>
      </c>
      <c r="J161" s="11">
        <f t="shared" si="63"/>
        <v>7471</v>
      </c>
      <c r="K161" s="11">
        <f t="shared" si="63"/>
        <v>9342</v>
      </c>
      <c r="L161" s="11">
        <f t="shared" si="63"/>
        <v>12204</v>
      </c>
      <c r="M161" s="11">
        <f t="shared" si="63"/>
        <v>16893</v>
      </c>
      <c r="N161" s="11">
        <f t="shared" si="63"/>
        <v>26612</v>
      </c>
      <c r="O161" s="11">
        <f t="shared" si="63"/>
        <v>22101</v>
      </c>
      <c r="P161" s="11">
        <f t="shared" si="63"/>
        <v>42978</v>
      </c>
    </row>
    <row r="163" spans="2:16">
      <c r="B163" t="s">
        <v>129</v>
      </c>
      <c r="F163" s="11">
        <f t="shared" ref="F163:L163" si="64">F153+F161</f>
        <v>7250</v>
      </c>
      <c r="G163" s="11">
        <f t="shared" si="64"/>
        <v>7201</v>
      </c>
      <c r="H163" s="11">
        <f t="shared" si="64"/>
        <v>7370</v>
      </c>
      <c r="I163" s="11">
        <f t="shared" si="64"/>
        <v>9841</v>
      </c>
      <c r="J163" s="11">
        <f t="shared" si="64"/>
        <v>11241</v>
      </c>
      <c r="K163" s="11">
        <f t="shared" si="64"/>
        <v>13292</v>
      </c>
      <c r="L163" s="11">
        <f t="shared" si="64"/>
        <v>17315</v>
      </c>
      <c r="M163" s="11">
        <f t="shared" ref="L163:P163" si="65">M153+M161</f>
        <v>28791</v>
      </c>
      <c r="N163" s="11">
        <f t="shared" si="65"/>
        <v>44187</v>
      </c>
      <c r="O163" s="11">
        <f t="shared" si="65"/>
        <v>41182</v>
      </c>
      <c r="P163" s="11">
        <f t="shared" si="65"/>
        <v>65728</v>
      </c>
    </row>
    <row r="165" ht="15.75" spans="3:4">
      <c r="C165" s="18" t="s">
        <v>4</v>
      </c>
      <c r="D165" s="17"/>
    </row>
    <row r="166" s="23" customFormat="1" spans="3:23">
      <c r="C166" s="24" t="s">
        <v>130</v>
      </c>
      <c r="D166" s="25"/>
      <c r="E166" s="26"/>
      <c r="F166" s="26">
        <f t="shared" ref="F166:P166" si="66">F153/F139</f>
        <v>0.385379310344828</v>
      </c>
      <c r="G166" s="26">
        <f t="shared" si="66"/>
        <v>0.386474100819331</v>
      </c>
      <c r="H166" s="26">
        <f t="shared" si="66"/>
        <v>0.393622795115332</v>
      </c>
      <c r="I166" s="26">
        <f t="shared" si="66"/>
        <v>0.414490397317346</v>
      </c>
      <c r="J166" s="26">
        <f t="shared" si="66"/>
        <v>0.335379414642825</v>
      </c>
      <c r="K166" s="26">
        <f t="shared" si="66"/>
        <v>0.297171230815528</v>
      </c>
      <c r="L166" s="26">
        <f t="shared" si="66"/>
        <v>0.295177591683511</v>
      </c>
      <c r="M166" s="26">
        <f t="shared" si="66"/>
        <v>0.41325414191935</v>
      </c>
      <c r="N166" s="26">
        <f t="shared" si="66"/>
        <v>0.397741417158893</v>
      </c>
      <c r="O166" s="26">
        <f t="shared" si="66"/>
        <v>0.463333495216357</v>
      </c>
      <c r="P166" s="26">
        <f t="shared" si="66"/>
        <v>0.346123417721519</v>
      </c>
      <c r="Q166" s="26"/>
      <c r="R166" s="93">
        <f>AVERAGE(E166:Q166)</f>
        <v>0.375286119341347</v>
      </c>
      <c r="S166" s="26"/>
      <c r="T166" s="26"/>
      <c r="U166" s="26"/>
      <c r="V166" s="26"/>
      <c r="W166" s="26"/>
    </row>
    <row r="167" s="23" customFormat="1" spans="3:23">
      <c r="C167" s="24" t="s">
        <v>131</v>
      </c>
      <c r="D167" s="25"/>
      <c r="E167" s="26"/>
      <c r="F167" s="26">
        <f t="shared" ref="F167:P167" si="67">F153/F161</f>
        <v>0.627019748653501</v>
      </c>
      <c r="G167" s="26">
        <f t="shared" si="67"/>
        <v>0.629923042100498</v>
      </c>
      <c r="H167" s="26">
        <f t="shared" si="67"/>
        <v>0.649138509733721</v>
      </c>
      <c r="I167" s="26">
        <f t="shared" si="67"/>
        <v>0.707913918778202</v>
      </c>
      <c r="J167" s="26">
        <f t="shared" si="67"/>
        <v>0.504617855708741</v>
      </c>
      <c r="K167" s="26">
        <f t="shared" si="67"/>
        <v>0.422821665596232</v>
      </c>
      <c r="L167" s="26">
        <f t="shared" si="67"/>
        <v>0.418797115699771</v>
      </c>
      <c r="M167" s="26">
        <f t="shared" si="67"/>
        <v>0.704315396909963</v>
      </c>
      <c r="N167" s="26">
        <f t="shared" si="67"/>
        <v>0.660416353524726</v>
      </c>
      <c r="O167" s="26">
        <f t="shared" si="67"/>
        <v>0.863354599339396</v>
      </c>
      <c r="P167" s="26">
        <f t="shared" si="67"/>
        <v>0.529340592861464</v>
      </c>
      <c r="Q167" s="26"/>
      <c r="R167" s="93">
        <f>AVERAGE(E167:Q167)</f>
        <v>0.61069625444602</v>
      </c>
      <c r="S167" s="26"/>
      <c r="T167" s="26"/>
      <c r="U167" s="26"/>
      <c r="V167" s="26"/>
      <c r="W167" s="26"/>
    </row>
    <row r="168" s="23" customFormat="1" spans="3:23">
      <c r="C168" s="24" t="s">
        <v>132</v>
      </c>
      <c r="D168" s="25"/>
      <c r="E168" s="26"/>
      <c r="F168" s="26">
        <f>F153/F77</f>
        <v>0.676513317191283</v>
      </c>
      <c r="G168" s="26">
        <f t="shared" ref="G168:P168" si="68">G153/G77</f>
        <v>0.594404100811619</v>
      </c>
      <c r="H168" s="26">
        <f t="shared" si="68"/>
        <v>0.579041916167665</v>
      </c>
      <c r="I168" s="26">
        <f t="shared" si="68"/>
        <v>0.590303907380608</v>
      </c>
      <c r="J168" s="26">
        <f t="shared" si="68"/>
        <v>0.388099649989706</v>
      </c>
      <c r="K168" s="26">
        <f t="shared" si="68"/>
        <v>0.337145783543872</v>
      </c>
      <c r="L168" s="26">
        <f t="shared" si="68"/>
        <v>0.4681260304085</v>
      </c>
      <c r="M168" s="26">
        <f t="shared" si="68"/>
        <v>0.71352323838081</v>
      </c>
      <c r="N168" s="26">
        <f t="shared" si="68"/>
        <v>0.653005870550643</v>
      </c>
      <c r="O168" s="26">
        <f t="shared" si="68"/>
        <v>0.707384889152517</v>
      </c>
      <c r="P168" s="26">
        <f t="shared" si="68"/>
        <v>0.373428318177342</v>
      </c>
      <c r="Q168" s="26"/>
      <c r="R168" s="93">
        <f>AVERAGE(E168:Q168)</f>
        <v>0.552816092886778</v>
      </c>
      <c r="S168" s="26"/>
      <c r="T168" s="26"/>
      <c r="U168" s="26"/>
      <c r="V168" s="26"/>
      <c r="W168" s="26"/>
    </row>
    <row r="170" customFormat="1" ht="15.75" spans="3:22">
      <c r="C170" s="18" t="s">
        <v>5</v>
      </c>
      <c r="D170" s="17"/>
      <c r="E170" s="5"/>
      <c r="F170" s="6"/>
      <c r="G170" s="6"/>
      <c r="H170" s="6"/>
      <c r="I170" s="6"/>
      <c r="J170" s="6"/>
      <c r="K170" s="6"/>
      <c r="L170" s="6"/>
      <c r="M170" s="6"/>
      <c r="N170" s="6"/>
      <c r="O170" s="6"/>
      <c r="P170" s="6"/>
      <c r="Q170" s="5"/>
      <c r="R170" s="6"/>
      <c r="S170" s="26"/>
      <c r="T170" s="26"/>
      <c r="U170" s="26"/>
      <c r="V170" s="6"/>
    </row>
    <row r="171" customFormat="1" spans="3:22">
      <c r="C171" s="24" t="s">
        <v>133</v>
      </c>
      <c r="D171" s="25"/>
      <c r="E171" s="26"/>
      <c r="F171" s="26">
        <f t="shared" ref="F171:P171" si="69">F78/F126</f>
        <v>4.79896907216495</v>
      </c>
      <c r="G171" s="26">
        <f t="shared" si="69"/>
        <v>4.31262939958592</v>
      </c>
      <c r="H171" s="26">
        <f t="shared" si="69"/>
        <v>5.26076555023923</v>
      </c>
      <c r="I171" s="26">
        <f t="shared" si="69"/>
        <v>3.58564231738035</v>
      </c>
      <c r="J171" s="26">
        <f t="shared" si="69"/>
        <v>4.8894472361809</v>
      </c>
      <c r="K171" s="26">
        <f t="shared" si="69"/>
        <v>2.88571428571429</v>
      </c>
      <c r="L171" s="26">
        <f t="shared" si="69"/>
        <v>4.23901940755873</v>
      </c>
      <c r="M171" s="26">
        <f t="shared" si="69"/>
        <v>3.43866374589266</v>
      </c>
      <c r="N171" s="26">
        <f t="shared" si="69"/>
        <v>3.62341650671785</v>
      </c>
      <c r="O171" s="26">
        <f t="shared" si="69"/>
        <v>2.251986819151</v>
      </c>
      <c r="P171" s="26">
        <f t="shared" si="69"/>
        <v>3.14672472548277</v>
      </c>
      <c r="Q171" s="26"/>
      <c r="R171" s="93">
        <f>AVERAGE(E171:Q171)</f>
        <v>3.85754355146079</v>
      </c>
      <c r="S171" s="26"/>
      <c r="T171" s="26"/>
      <c r="U171" s="26"/>
      <c r="V171" s="6"/>
    </row>
    <row r="172" s="23" customFormat="1" spans="3:22">
      <c r="C172" s="24" t="s">
        <v>134</v>
      </c>
      <c r="D172" s="25"/>
      <c r="E172" s="26"/>
      <c r="F172" s="26">
        <f>F77/F125</f>
        <v>9.69483568075117</v>
      </c>
      <c r="G172" s="26">
        <f t="shared" ref="G172:P172" si="70">G77/G125</f>
        <v>9.87763713080169</v>
      </c>
      <c r="H172" s="26">
        <f t="shared" si="70"/>
        <v>9.92079207920792</v>
      </c>
      <c r="I172" s="26">
        <f t="shared" si="70"/>
        <v>8.36561743341404</v>
      </c>
      <c r="J172" s="26">
        <f t="shared" si="70"/>
        <v>7.67905138339921</v>
      </c>
      <c r="K172" s="26">
        <f t="shared" si="70"/>
        <v>8.22752808988764</v>
      </c>
      <c r="L172" s="26">
        <f t="shared" si="70"/>
        <v>6.58901629450815</v>
      </c>
      <c r="M172" s="26">
        <f t="shared" si="70"/>
        <v>6.86496500617538</v>
      </c>
      <c r="N172" s="26">
        <f t="shared" si="70"/>
        <v>5.78795698924731</v>
      </c>
      <c r="O172" s="26">
        <f t="shared" si="70"/>
        <v>7.04834073686961</v>
      </c>
      <c r="P172" s="26">
        <f t="shared" si="70"/>
        <v>6.09280928092809</v>
      </c>
      <c r="Q172" s="26"/>
      <c r="R172" s="93">
        <f>AVERAGE(E172:Q172)</f>
        <v>7.83168637319911</v>
      </c>
      <c r="V172" s="26"/>
    </row>
    <row r="173" s="23" customFormat="1" spans="3:22">
      <c r="C173" s="24" t="s">
        <v>135</v>
      </c>
      <c r="D173" s="25"/>
      <c r="E173" s="26"/>
      <c r="F173" s="26">
        <f>F78/F142</f>
        <v>5.74691358024691</v>
      </c>
      <c r="G173" s="26">
        <f t="shared" ref="G173:P173" si="71">G78/G142</f>
        <v>7.10921501706485</v>
      </c>
      <c r="H173" s="26">
        <f t="shared" si="71"/>
        <v>7.42905405405405</v>
      </c>
      <c r="I173" s="26">
        <f t="shared" si="71"/>
        <v>5.8701030927835</v>
      </c>
      <c r="J173" s="26">
        <f t="shared" si="71"/>
        <v>6.53020134228188</v>
      </c>
      <c r="K173" s="26">
        <f t="shared" si="71"/>
        <v>8.89432485322896</v>
      </c>
      <c r="L173" s="26">
        <f t="shared" si="71"/>
        <v>6.04075691411936</v>
      </c>
      <c r="M173" s="26">
        <f t="shared" si="71"/>
        <v>5.46475195822454</v>
      </c>
      <c r="N173" s="26">
        <f t="shared" si="71"/>
        <v>5.29388670779585</v>
      </c>
      <c r="O173" s="26">
        <f t="shared" si="71"/>
        <v>9.7384744341995</v>
      </c>
      <c r="P173" s="26">
        <f t="shared" si="71"/>
        <v>6.15820674323824</v>
      </c>
      <c r="Q173" s="26"/>
      <c r="R173" s="93">
        <f>AVERAGE(E173:Q173)</f>
        <v>6.75235351793069</v>
      </c>
      <c r="V173" s="26"/>
    </row>
    <row r="177" ht="15.75" spans="2:16">
      <c r="B177" s="10" t="s">
        <v>136</v>
      </c>
      <c r="F177" s="92">
        <f t="shared" ref="F177:P177" si="72">F97</f>
        <v>440</v>
      </c>
      <c r="G177" s="92">
        <f t="shared" si="72"/>
        <v>631</v>
      </c>
      <c r="H177" s="92">
        <f t="shared" si="72"/>
        <v>614</v>
      </c>
      <c r="I177" s="92">
        <f t="shared" si="72"/>
        <v>1666</v>
      </c>
      <c r="J177" s="92">
        <f t="shared" si="72"/>
        <v>3047</v>
      </c>
      <c r="K177" s="92">
        <f t="shared" si="72"/>
        <v>4141</v>
      </c>
      <c r="L177" s="92">
        <f t="shared" si="72"/>
        <v>2796</v>
      </c>
      <c r="M177" s="92">
        <f t="shared" si="72"/>
        <v>4332</v>
      </c>
      <c r="N177" s="92">
        <f t="shared" si="72"/>
        <v>9752</v>
      </c>
      <c r="O177" s="92">
        <f t="shared" si="72"/>
        <v>4368</v>
      </c>
      <c r="P177" s="92">
        <f t="shared" si="72"/>
        <v>29760</v>
      </c>
    </row>
    <row r="178" spans="2:2">
      <c r="B178" t="s">
        <v>137</v>
      </c>
    </row>
    <row r="179" spans="3:16">
      <c r="C179" t="s">
        <v>79</v>
      </c>
      <c r="F179" s="6">
        <v>440</v>
      </c>
      <c r="G179" s="6">
        <v>631</v>
      </c>
      <c r="H179" s="6">
        <v>614</v>
      </c>
      <c r="I179" s="6">
        <v>1666</v>
      </c>
      <c r="J179" s="6">
        <v>3047</v>
      </c>
      <c r="K179" s="6">
        <v>4141</v>
      </c>
      <c r="L179" s="6">
        <v>2796</v>
      </c>
      <c r="M179" s="6">
        <v>4332</v>
      </c>
      <c r="N179" s="6">
        <v>9752</v>
      </c>
      <c r="O179" s="6">
        <v>4368</v>
      </c>
      <c r="P179" s="6">
        <v>29760</v>
      </c>
    </row>
    <row r="180" spans="3:16">
      <c r="C180" t="s">
        <v>138</v>
      </c>
      <c r="F180" s="6">
        <v>136</v>
      </c>
      <c r="G180" s="6">
        <v>158</v>
      </c>
      <c r="H180" s="6">
        <v>204</v>
      </c>
      <c r="I180" s="6">
        <v>247</v>
      </c>
      <c r="J180" s="6">
        <v>391</v>
      </c>
      <c r="K180" s="6">
        <v>557</v>
      </c>
      <c r="L180" s="6">
        <v>844</v>
      </c>
      <c r="M180" s="6">
        <v>1397</v>
      </c>
      <c r="N180" s="6">
        <v>2004</v>
      </c>
      <c r="O180" s="6">
        <v>2709</v>
      </c>
      <c r="P180" s="6">
        <v>3549</v>
      </c>
    </row>
    <row r="181" spans="3:16">
      <c r="C181" t="s">
        <v>139</v>
      </c>
      <c r="F181" s="6">
        <v>239</v>
      </c>
      <c r="G181" s="6">
        <v>220</v>
      </c>
      <c r="H181" s="6">
        <v>197</v>
      </c>
      <c r="I181" s="6">
        <v>187</v>
      </c>
      <c r="J181" s="6">
        <v>199</v>
      </c>
      <c r="K181" s="6">
        <v>262</v>
      </c>
      <c r="L181" s="6">
        <v>381</v>
      </c>
      <c r="M181" s="6">
        <v>1098</v>
      </c>
      <c r="N181" s="6">
        <v>1174</v>
      </c>
      <c r="O181" s="6">
        <v>1544</v>
      </c>
      <c r="P181" s="6">
        <v>1508</v>
      </c>
    </row>
    <row r="182" spans="3:16">
      <c r="C182" t="s">
        <v>107</v>
      </c>
      <c r="F182" s="6">
        <v>15</v>
      </c>
      <c r="G182" s="6">
        <v>83</v>
      </c>
      <c r="H182" s="6">
        <v>134</v>
      </c>
      <c r="I182" s="6">
        <v>197</v>
      </c>
      <c r="J182" s="6">
        <v>-359</v>
      </c>
      <c r="K182" s="6">
        <v>-315</v>
      </c>
      <c r="L182" s="6">
        <v>18</v>
      </c>
      <c r="M182" s="6">
        <v>-282</v>
      </c>
      <c r="N182" s="6">
        <v>-406</v>
      </c>
      <c r="O182" s="6">
        <v>-2164</v>
      </c>
      <c r="P182" s="6">
        <v>-2489</v>
      </c>
    </row>
    <row r="183" spans="3:16">
      <c r="C183" t="s">
        <v>140</v>
      </c>
      <c r="F183" s="6">
        <f>-8</f>
        <v>-8</v>
      </c>
      <c r="G183" s="6">
        <v>-17</v>
      </c>
      <c r="H183" s="6">
        <v>-6</v>
      </c>
      <c r="I183" s="6">
        <v>0</v>
      </c>
      <c r="J183" s="6">
        <v>0</v>
      </c>
      <c r="K183" s="6">
        <v>0</v>
      </c>
      <c r="L183" s="6">
        <v>1</v>
      </c>
      <c r="M183" s="6">
        <v>0</v>
      </c>
      <c r="N183" s="6">
        <v>-100</v>
      </c>
      <c r="O183" s="6">
        <v>45</v>
      </c>
      <c r="P183" s="6">
        <v>-238</v>
      </c>
    </row>
    <row r="184" spans="3:16">
      <c r="C184" t="s">
        <v>141</v>
      </c>
      <c r="F184" s="6">
        <f>5-26+21</f>
        <v>0</v>
      </c>
      <c r="G184" s="6">
        <f>28-18+24</f>
        <v>34</v>
      </c>
      <c r="H184" s="6">
        <f>29+45-10+19</f>
        <v>83</v>
      </c>
      <c r="I184" s="6">
        <f>33+21</f>
        <v>54</v>
      </c>
      <c r="J184" s="6">
        <f>19+20</f>
        <v>39</v>
      </c>
      <c r="K184" s="6">
        <v>-45</v>
      </c>
      <c r="L184" s="6">
        <v>4</v>
      </c>
      <c r="M184" s="6">
        <v>-20</v>
      </c>
      <c r="N184" s="6">
        <v>47</v>
      </c>
      <c r="O184" s="6">
        <f>1353-7</f>
        <v>1346</v>
      </c>
      <c r="P184" s="6">
        <v>-278</v>
      </c>
    </row>
    <row r="185" spans="3:16">
      <c r="C185" t="s">
        <v>142</v>
      </c>
      <c r="F185" s="6">
        <f>29+25+12-20+5-38</f>
        <v>13</v>
      </c>
      <c r="G185" s="6">
        <f>-49-95+4-27+5-41</f>
        <v>-203</v>
      </c>
      <c r="H185" s="6">
        <f>-32+66-16-11+39-97</f>
        <v>-51</v>
      </c>
      <c r="I185" s="6">
        <f>-321-375-18+184-135-14</f>
        <v>-679</v>
      </c>
      <c r="J185" s="6">
        <f>-440+21+90+33+481</f>
        <v>185</v>
      </c>
      <c r="K185" s="6">
        <f>-149-776-55-135+256+2</f>
        <v>-857</v>
      </c>
      <c r="L185" s="6">
        <f>-233+597+77+194+54+28</f>
        <v>717</v>
      </c>
      <c r="M185" s="6">
        <f>-550-524-394+312+290+163</f>
        <v>-703</v>
      </c>
      <c r="N185" s="6">
        <f>-2215-774-1715+568+581+192</f>
        <v>-3363</v>
      </c>
      <c r="O185" s="6">
        <f>822-2554-1517-551+1341+252</f>
        <v>-2207</v>
      </c>
      <c r="P185" s="6">
        <f>-6172-98-1522+1531+2025+514</f>
        <v>-3722</v>
      </c>
    </row>
    <row r="186" spans="2:16">
      <c r="B186" t="s">
        <v>143</v>
      </c>
      <c r="F186" s="11">
        <f t="shared" ref="F186:P186" si="73">SUM(F179:F185)</f>
        <v>835</v>
      </c>
      <c r="G186" s="11">
        <f t="shared" si="73"/>
        <v>906</v>
      </c>
      <c r="H186" s="11">
        <f t="shared" si="73"/>
        <v>1175</v>
      </c>
      <c r="I186" s="11">
        <f t="shared" si="73"/>
        <v>1672</v>
      </c>
      <c r="J186" s="11">
        <f t="shared" si="73"/>
        <v>3502</v>
      </c>
      <c r="K186" s="11">
        <f t="shared" si="73"/>
        <v>3743</v>
      </c>
      <c r="L186" s="11">
        <f t="shared" si="73"/>
        <v>4761</v>
      </c>
      <c r="M186" s="11">
        <f t="shared" si="73"/>
        <v>5822</v>
      </c>
      <c r="N186" s="11">
        <f t="shared" si="73"/>
        <v>9108</v>
      </c>
      <c r="O186" s="11">
        <f t="shared" si="73"/>
        <v>5641</v>
      </c>
      <c r="P186" s="11">
        <f t="shared" si="73"/>
        <v>28090</v>
      </c>
    </row>
    <row r="188" spans="2:2">
      <c r="B188" t="s">
        <v>144</v>
      </c>
    </row>
    <row r="189" spans="3:16">
      <c r="C189" t="s">
        <v>145</v>
      </c>
      <c r="F189" s="6">
        <f>1927+585</f>
        <v>2512</v>
      </c>
      <c r="G189" s="6">
        <f>1372+865</f>
        <v>2237</v>
      </c>
      <c r="H189" s="6">
        <f>2102+1036</f>
        <v>3138</v>
      </c>
      <c r="I189" s="6">
        <f>969+1546</f>
        <v>2515</v>
      </c>
      <c r="J189" s="6">
        <f>1078+863</f>
        <v>1941</v>
      </c>
      <c r="K189" s="6">
        <f>7232+428</f>
        <v>7660</v>
      </c>
      <c r="L189" s="6">
        <f>4744+3365</f>
        <v>8109</v>
      </c>
      <c r="M189" s="6">
        <f>8792+527</f>
        <v>9319</v>
      </c>
      <c r="N189" s="6">
        <f>15197+1023</f>
        <v>16220</v>
      </c>
      <c r="O189" s="6">
        <f>19425+1806</f>
        <v>21231</v>
      </c>
      <c r="P189" s="6">
        <f>9732+50</f>
        <v>9782</v>
      </c>
    </row>
    <row r="190" spans="3:16">
      <c r="C190" t="s">
        <v>146</v>
      </c>
      <c r="F190" s="6">
        <v>-3066</v>
      </c>
      <c r="G190" s="6">
        <v>-2862</v>
      </c>
      <c r="H190" s="6">
        <v>-3477</v>
      </c>
      <c r="I190" s="6">
        <v>-3134</v>
      </c>
      <c r="J190" s="6">
        <v>-36</v>
      </c>
      <c r="K190" s="6">
        <v>-11148</v>
      </c>
      <c r="L190" s="6">
        <v>-1461</v>
      </c>
      <c r="M190" s="6">
        <v>-19308</v>
      </c>
      <c r="N190" s="6">
        <v>-24787</v>
      </c>
      <c r="O190" s="6">
        <v>-11897</v>
      </c>
      <c r="P190" s="6">
        <v>-18211</v>
      </c>
    </row>
    <row r="191" spans="3:16">
      <c r="C191" t="s">
        <v>147</v>
      </c>
      <c r="F191" s="6">
        <v>-255</v>
      </c>
      <c r="G191" s="6">
        <v>-122</v>
      </c>
      <c r="H191" s="6">
        <v>-86</v>
      </c>
      <c r="I191" s="6">
        <v>-176</v>
      </c>
      <c r="J191" s="6">
        <v>-593</v>
      </c>
      <c r="K191" s="6">
        <v>-600</v>
      </c>
      <c r="L191" s="6">
        <v>-489</v>
      </c>
      <c r="M191" s="6">
        <v>-1128</v>
      </c>
      <c r="N191" s="6">
        <v>-976</v>
      </c>
      <c r="O191" s="6">
        <v>-1833</v>
      </c>
      <c r="P191" s="6">
        <v>-1069</v>
      </c>
    </row>
    <row r="192" spans="3:16">
      <c r="C192" t="s">
        <v>148</v>
      </c>
      <c r="F192" s="6">
        <v>-17</v>
      </c>
      <c r="G192" s="6">
        <v>0</v>
      </c>
      <c r="H192" s="6">
        <v>0</v>
      </c>
      <c r="I192" s="6">
        <v>0</v>
      </c>
      <c r="J192" s="6">
        <v>0</v>
      </c>
      <c r="K192" s="6">
        <v>0</v>
      </c>
      <c r="L192" s="6">
        <v>-4</v>
      </c>
      <c r="M192" s="6">
        <v>-8524</v>
      </c>
      <c r="N192" s="6">
        <v>-263</v>
      </c>
      <c r="O192" s="6">
        <v>-49</v>
      </c>
      <c r="P192" s="6">
        <v>-83</v>
      </c>
    </row>
    <row r="193" spans="3:16">
      <c r="C193" t="s">
        <v>149</v>
      </c>
      <c r="F193" s="6">
        <f>25-5</f>
        <v>20</v>
      </c>
      <c r="G193" s="6">
        <f>21-1</f>
        <v>20</v>
      </c>
      <c r="H193" s="6">
        <f>7+24-6</f>
        <v>25</v>
      </c>
      <c r="I193" s="6">
        <f>-5+7</f>
        <v>2</v>
      </c>
      <c r="J193" s="6">
        <f>-36+2</f>
        <v>-34</v>
      </c>
      <c r="K193" s="6">
        <v>-9</v>
      </c>
      <c r="L193" s="6">
        <v>-10</v>
      </c>
      <c r="M193" s="6">
        <v>-34</v>
      </c>
      <c r="N193" s="6">
        <v>-24</v>
      </c>
      <c r="O193" s="6">
        <v>-77</v>
      </c>
      <c r="P193" s="6">
        <v>-985</v>
      </c>
    </row>
    <row r="194" spans="2:16">
      <c r="B194" t="s">
        <v>150</v>
      </c>
      <c r="F194" s="11">
        <f t="shared" ref="F194:P194" si="74">SUM(F189:F193)</f>
        <v>-806</v>
      </c>
      <c r="G194" s="11">
        <f t="shared" si="74"/>
        <v>-727</v>
      </c>
      <c r="H194" s="11">
        <f t="shared" si="74"/>
        <v>-400</v>
      </c>
      <c r="I194" s="11">
        <f t="shared" si="74"/>
        <v>-793</v>
      </c>
      <c r="J194" s="11">
        <f t="shared" si="74"/>
        <v>1278</v>
      </c>
      <c r="K194" s="11">
        <f t="shared" si="74"/>
        <v>-4097</v>
      </c>
      <c r="L194" s="11">
        <f t="shared" si="74"/>
        <v>6145</v>
      </c>
      <c r="M194" s="11">
        <f t="shared" si="74"/>
        <v>-19675</v>
      </c>
      <c r="N194" s="11">
        <f t="shared" si="74"/>
        <v>-9830</v>
      </c>
      <c r="O194" s="11">
        <f t="shared" si="74"/>
        <v>7375</v>
      </c>
      <c r="P194" s="11">
        <f t="shared" si="74"/>
        <v>-10566</v>
      </c>
    </row>
    <row r="196" spans="2:2">
      <c r="B196" t="s">
        <v>151</v>
      </c>
    </row>
    <row r="197" spans="3:16">
      <c r="C197" t="s">
        <v>152</v>
      </c>
      <c r="F197" s="6">
        <v>1478</v>
      </c>
      <c r="G197" s="6">
        <v>0</v>
      </c>
      <c r="H197" s="6">
        <v>0</v>
      </c>
      <c r="I197" s="6">
        <v>1988</v>
      </c>
      <c r="K197" s="6">
        <v>0</v>
      </c>
      <c r="L197" s="6">
        <v>0</v>
      </c>
      <c r="M197" s="6">
        <v>4968</v>
      </c>
      <c r="N197" s="6">
        <v>4977</v>
      </c>
      <c r="O197" s="6">
        <v>0</v>
      </c>
      <c r="P197" s="6">
        <v>0</v>
      </c>
    </row>
    <row r="198" spans="3:16">
      <c r="C198" t="s">
        <v>153</v>
      </c>
      <c r="F198" s="6">
        <v>-887</v>
      </c>
      <c r="G198" s="6">
        <v>-814</v>
      </c>
      <c r="H198" s="6">
        <v>-587</v>
      </c>
      <c r="I198" s="6">
        <v>-739</v>
      </c>
      <c r="J198" s="6">
        <v>-909</v>
      </c>
      <c r="K198" s="6">
        <v>-1579</v>
      </c>
      <c r="L198" s="6">
        <v>0</v>
      </c>
      <c r="M198" s="6">
        <v>0</v>
      </c>
      <c r="N198" s="6">
        <v>0</v>
      </c>
      <c r="O198" s="6">
        <v>-10039</v>
      </c>
      <c r="P198" s="6">
        <v>-9533</v>
      </c>
    </row>
    <row r="199" spans="3:16">
      <c r="C199" t="s">
        <v>154</v>
      </c>
      <c r="F199" s="6">
        <v>0</v>
      </c>
      <c r="G199" s="6">
        <v>0</v>
      </c>
      <c r="H199" s="6">
        <v>0</v>
      </c>
      <c r="I199" s="6">
        <v>-673</v>
      </c>
      <c r="J199" s="6">
        <v>-812</v>
      </c>
      <c r="K199" s="6">
        <v>0</v>
      </c>
      <c r="L199" s="6">
        <v>0</v>
      </c>
      <c r="M199" s="6">
        <v>0</v>
      </c>
      <c r="N199" s="6">
        <v>-1000</v>
      </c>
      <c r="O199" s="6">
        <v>0</v>
      </c>
      <c r="P199" s="6">
        <v>-1250</v>
      </c>
    </row>
    <row r="200" spans="3:16">
      <c r="C200" t="s">
        <v>155</v>
      </c>
      <c r="F200" s="6">
        <v>-181</v>
      </c>
      <c r="G200" s="6">
        <v>-186</v>
      </c>
      <c r="H200" s="6">
        <v>-213</v>
      </c>
      <c r="I200" s="6">
        <v>-261</v>
      </c>
      <c r="J200" s="6">
        <v>-341</v>
      </c>
      <c r="K200" s="6">
        <v>-371</v>
      </c>
      <c r="L200" s="6">
        <v>-390</v>
      </c>
      <c r="M200" s="6">
        <v>-395</v>
      </c>
      <c r="N200" s="6">
        <v>-399</v>
      </c>
      <c r="O200" s="6">
        <v>-398</v>
      </c>
      <c r="P200" s="6">
        <v>-395</v>
      </c>
    </row>
    <row r="201" spans="3:16">
      <c r="C201" t="s">
        <v>156</v>
      </c>
      <c r="F201" s="6">
        <v>69</v>
      </c>
      <c r="G201" s="6">
        <v>154</v>
      </c>
      <c r="H201" s="6">
        <v>186</v>
      </c>
      <c r="I201" s="6">
        <v>167</v>
      </c>
      <c r="J201" s="6">
        <v>139</v>
      </c>
      <c r="K201" s="6">
        <v>137</v>
      </c>
      <c r="L201" s="6">
        <v>149</v>
      </c>
      <c r="M201" s="6">
        <v>194</v>
      </c>
      <c r="N201" s="6">
        <v>281</v>
      </c>
      <c r="O201" s="6">
        <v>355</v>
      </c>
      <c r="P201" s="6">
        <v>403</v>
      </c>
    </row>
    <row r="202" spans="3:16">
      <c r="C202" t="s">
        <v>157</v>
      </c>
      <c r="F202" s="6">
        <v>0</v>
      </c>
      <c r="G202" s="6">
        <v>0</v>
      </c>
      <c r="H202" s="6">
        <v>-66</v>
      </c>
      <c r="I202" s="6">
        <v>-176</v>
      </c>
      <c r="J202" s="6">
        <v>-612</v>
      </c>
      <c r="K202" s="6">
        <v>-1032</v>
      </c>
      <c r="L202" s="6">
        <v>-551</v>
      </c>
      <c r="M202" s="6">
        <v>-942</v>
      </c>
      <c r="N202" s="6">
        <v>-1904</v>
      </c>
      <c r="O202" s="6">
        <v>-1475</v>
      </c>
      <c r="P202" s="6">
        <v>-2783</v>
      </c>
    </row>
    <row r="203" spans="3:16">
      <c r="C203" t="s">
        <v>158</v>
      </c>
      <c r="F203" s="6">
        <v>0</v>
      </c>
      <c r="G203" s="6">
        <v>0</v>
      </c>
      <c r="H203" s="6">
        <v>0</v>
      </c>
      <c r="I203" s="6">
        <v>0</v>
      </c>
      <c r="J203" s="6">
        <v>0</v>
      </c>
      <c r="K203" s="6">
        <v>0</v>
      </c>
      <c r="L203" s="6">
        <v>0</v>
      </c>
      <c r="M203" s="6">
        <v>-17</v>
      </c>
      <c r="N203" s="6">
        <v>-83</v>
      </c>
      <c r="O203" s="6">
        <v>-58</v>
      </c>
      <c r="P203" s="6">
        <v>-74</v>
      </c>
    </row>
    <row r="204" spans="3:16">
      <c r="C204" t="s">
        <v>141</v>
      </c>
      <c r="F204" s="6">
        <f>-167+59+26-2-5</f>
        <v>-89</v>
      </c>
      <c r="G204" s="6">
        <f>18-6</f>
        <v>12</v>
      </c>
      <c r="H204" s="6">
        <f>10-6</f>
        <v>4</v>
      </c>
      <c r="I204" s="6">
        <v>-15</v>
      </c>
      <c r="J204" s="6">
        <f>-9</f>
        <v>-9</v>
      </c>
      <c r="K204" s="6">
        <f>-16-5</f>
        <v>-21</v>
      </c>
      <c r="L204" s="6">
        <v>0</v>
      </c>
      <c r="M204" s="6">
        <v>-4</v>
      </c>
      <c r="N204" s="6">
        <v>-7</v>
      </c>
      <c r="O204" s="6">
        <v>-2</v>
      </c>
      <c r="P204" s="6">
        <v>-1</v>
      </c>
    </row>
    <row r="205" spans="2:16">
      <c r="B205" t="s">
        <v>159</v>
      </c>
      <c r="F205" s="11">
        <f t="shared" ref="F205:P205" si="75">SUM(F197:F204)</f>
        <v>390</v>
      </c>
      <c r="G205" s="11">
        <f t="shared" si="75"/>
        <v>-834</v>
      </c>
      <c r="H205" s="11">
        <f t="shared" si="75"/>
        <v>-676</v>
      </c>
      <c r="I205" s="11">
        <f t="shared" si="75"/>
        <v>291</v>
      </c>
      <c r="J205" s="11">
        <f t="shared" si="75"/>
        <v>-2544</v>
      </c>
      <c r="K205" s="11">
        <f t="shared" si="75"/>
        <v>-2866</v>
      </c>
      <c r="L205" s="11">
        <f t="shared" si="75"/>
        <v>-792</v>
      </c>
      <c r="M205" s="11">
        <f t="shared" si="75"/>
        <v>3804</v>
      </c>
      <c r="N205" s="11">
        <f t="shared" si="75"/>
        <v>1865</v>
      </c>
      <c r="O205" s="11">
        <f t="shared" si="75"/>
        <v>-11617</v>
      </c>
      <c r="P205" s="11">
        <f t="shared" si="75"/>
        <v>-13633</v>
      </c>
    </row>
    <row r="207" spans="2:16">
      <c r="B207" t="s">
        <v>160</v>
      </c>
      <c r="F207" s="6">
        <v>0</v>
      </c>
      <c r="G207" s="6">
        <v>0</v>
      </c>
      <c r="H207" s="6">
        <v>0</v>
      </c>
      <c r="I207" s="6">
        <v>0</v>
      </c>
      <c r="J207" s="6">
        <v>0</v>
      </c>
      <c r="K207" s="6">
        <v>0</v>
      </c>
      <c r="L207" s="6">
        <v>0</v>
      </c>
      <c r="M207" s="6">
        <v>0</v>
      </c>
      <c r="N207" s="6">
        <v>0</v>
      </c>
      <c r="O207" s="6">
        <v>0</v>
      </c>
      <c r="P207" s="6">
        <v>0</v>
      </c>
    </row>
    <row r="209" spans="2:16">
      <c r="B209" t="s">
        <v>161</v>
      </c>
      <c r="F209" s="11">
        <f t="shared" ref="F209:P209" si="76">F186+F194+F205+F207</f>
        <v>419</v>
      </c>
      <c r="G209" s="11">
        <f t="shared" si="76"/>
        <v>-655</v>
      </c>
      <c r="H209" s="11">
        <f t="shared" si="76"/>
        <v>99</v>
      </c>
      <c r="I209" s="11">
        <f t="shared" si="76"/>
        <v>1170</v>
      </c>
      <c r="J209" s="11">
        <f t="shared" si="76"/>
        <v>2236</v>
      </c>
      <c r="K209" s="11">
        <f t="shared" si="76"/>
        <v>-3220</v>
      </c>
      <c r="L209" s="11">
        <f t="shared" si="76"/>
        <v>10114</v>
      </c>
      <c r="M209" s="11">
        <f t="shared" si="76"/>
        <v>-10049</v>
      </c>
      <c r="N209" s="11">
        <f t="shared" si="76"/>
        <v>1143</v>
      </c>
      <c r="O209" s="11">
        <f t="shared" si="76"/>
        <v>1399</v>
      </c>
      <c r="P209" s="11">
        <f t="shared" si="76"/>
        <v>3891</v>
      </c>
    </row>
    <row r="210" spans="2:16">
      <c r="B210" t="s">
        <v>162</v>
      </c>
      <c r="F210" s="6">
        <v>733</v>
      </c>
      <c r="G210" s="6">
        <v>1152</v>
      </c>
      <c r="H210" s="6">
        <v>497</v>
      </c>
      <c r="I210" s="6">
        <v>596</v>
      </c>
      <c r="J210" s="6">
        <v>1766</v>
      </c>
      <c r="K210" s="6">
        <v>4002</v>
      </c>
      <c r="L210" s="6">
        <v>782</v>
      </c>
      <c r="M210" s="6">
        <v>10896</v>
      </c>
      <c r="N210" s="6">
        <v>847</v>
      </c>
      <c r="O210" s="6">
        <v>1990</v>
      </c>
      <c r="P210" s="6">
        <v>3389</v>
      </c>
    </row>
    <row r="211" spans="2:16">
      <c r="B211" t="s">
        <v>163</v>
      </c>
      <c r="F211" s="11">
        <f t="shared" ref="F211:P211" si="77">SUM(F209:F210)</f>
        <v>1152</v>
      </c>
      <c r="G211" s="11">
        <f t="shared" si="77"/>
        <v>497</v>
      </c>
      <c r="H211" s="11">
        <f t="shared" si="77"/>
        <v>596</v>
      </c>
      <c r="I211" s="11">
        <f t="shared" si="77"/>
        <v>1766</v>
      </c>
      <c r="J211" s="11">
        <f t="shared" si="77"/>
        <v>4002</v>
      </c>
      <c r="K211" s="11">
        <f t="shared" si="77"/>
        <v>782</v>
      </c>
      <c r="L211" s="11">
        <f t="shared" si="77"/>
        <v>10896</v>
      </c>
      <c r="M211" s="11">
        <f t="shared" si="77"/>
        <v>847</v>
      </c>
      <c r="N211" s="11">
        <f t="shared" si="77"/>
        <v>1990</v>
      </c>
      <c r="O211" s="11">
        <f t="shared" si="77"/>
        <v>3389</v>
      </c>
      <c r="P211" s="11">
        <f t="shared" si="77"/>
        <v>7280</v>
      </c>
    </row>
    <row r="213" spans="2:16">
      <c r="B213" t="s">
        <v>164</v>
      </c>
      <c r="F213" s="6">
        <v>15</v>
      </c>
      <c r="G213" s="6">
        <v>14</v>
      </c>
      <c r="H213" s="6">
        <v>14</v>
      </c>
      <c r="I213" s="6">
        <v>14</v>
      </c>
      <c r="J213" s="6">
        <v>22</v>
      </c>
      <c r="K213" s="6">
        <v>61</v>
      </c>
      <c r="L213" s="6">
        <v>176</v>
      </c>
      <c r="M213" s="6">
        <v>249</v>
      </c>
      <c r="N213" s="6">
        <v>369</v>
      </c>
      <c r="O213" s="6">
        <v>1404</v>
      </c>
      <c r="P213" s="6">
        <v>6549</v>
      </c>
    </row>
    <row r="214" spans="2:16">
      <c r="B214" t="s">
        <v>165</v>
      </c>
      <c r="F214" s="6">
        <v>3</v>
      </c>
      <c r="G214" s="6">
        <v>17</v>
      </c>
      <c r="H214" s="6">
        <v>17</v>
      </c>
      <c r="I214" s="6">
        <v>13</v>
      </c>
      <c r="J214" s="6">
        <v>55</v>
      </c>
      <c r="K214" s="6">
        <v>55</v>
      </c>
      <c r="L214" s="6">
        <v>54</v>
      </c>
      <c r="M214" s="6">
        <v>138</v>
      </c>
      <c r="N214" s="6">
        <v>246</v>
      </c>
      <c r="O214" s="6">
        <v>254</v>
      </c>
      <c r="P214" s="6">
        <v>252</v>
      </c>
    </row>
    <row r="216" ht="15.75" spans="3:4">
      <c r="C216" s="18" t="s">
        <v>136</v>
      </c>
      <c r="D216" s="17"/>
    </row>
    <row r="217" s="19" customFormat="1" spans="3:23">
      <c r="C217" s="20" t="s">
        <v>166</v>
      </c>
      <c r="D217" s="20"/>
      <c r="E217" s="21"/>
      <c r="F217" s="22">
        <f t="shared" ref="F217:P217" si="78">F186+F191+F203</f>
        <v>580</v>
      </c>
      <c r="G217" s="22">
        <f t="shared" si="78"/>
        <v>784</v>
      </c>
      <c r="H217" s="22">
        <f t="shared" si="78"/>
        <v>1089</v>
      </c>
      <c r="I217" s="22">
        <f t="shared" si="78"/>
        <v>1496</v>
      </c>
      <c r="J217" s="22">
        <f t="shared" si="78"/>
        <v>2909</v>
      </c>
      <c r="K217" s="22">
        <f t="shared" si="78"/>
        <v>3143</v>
      </c>
      <c r="L217" s="22">
        <f t="shared" si="78"/>
        <v>4272</v>
      </c>
      <c r="M217" s="22">
        <f t="shared" si="78"/>
        <v>4677</v>
      </c>
      <c r="N217" s="22">
        <f t="shared" si="78"/>
        <v>8049</v>
      </c>
      <c r="O217" s="22">
        <f t="shared" si="78"/>
        <v>3750</v>
      </c>
      <c r="P217" s="22">
        <f t="shared" si="78"/>
        <v>26947</v>
      </c>
      <c r="Q217" s="21"/>
      <c r="R217" s="94">
        <f>AVERAGE(E217:Q217)</f>
        <v>5245.09090909091</v>
      </c>
      <c r="S217" s="28"/>
      <c r="T217" s="28"/>
      <c r="U217" s="28"/>
      <c r="V217" s="22"/>
      <c r="W217" s="21"/>
    </row>
    <row r="218" spans="3:22">
      <c r="C218" s="20" t="s">
        <v>167</v>
      </c>
      <c r="D218" s="17"/>
      <c r="F218" s="26">
        <f t="shared" ref="F218:P218" si="79">IFERROR(F217/F104,0)</f>
        <v>0.0255281690140845</v>
      </c>
      <c r="G218" s="26">
        <f t="shared" si="79"/>
        <v>0.0359633027522936</v>
      </c>
      <c r="H218" s="26">
        <f t="shared" si="79"/>
        <v>0.0505102040816327</v>
      </c>
      <c r="I218" s="26">
        <f t="shared" si="79"/>
        <v>0.0639316239316239</v>
      </c>
      <c r="J218" s="26">
        <f t="shared" si="79"/>
        <v>0.120008250825083</v>
      </c>
      <c r="K218" s="26">
        <f t="shared" si="79"/>
        <v>0.129715229054891</v>
      </c>
      <c r="L218" s="26">
        <f t="shared" si="79"/>
        <v>0.174367346938776</v>
      </c>
      <c r="M218" s="26">
        <f t="shared" si="79"/>
        <v>0.188664784187172</v>
      </c>
      <c r="N218" s="26">
        <f t="shared" si="79"/>
        <v>0.321189146049481</v>
      </c>
      <c r="O218" s="26">
        <f t="shared" si="79"/>
        <v>0.152068126520681</v>
      </c>
      <c r="P218" s="26">
        <f t="shared" si="79"/>
        <v>1.09362824675325</v>
      </c>
      <c r="R218" s="93">
        <f>AVERAGE(E218:Q218)</f>
        <v>0.214143130009906</v>
      </c>
      <c r="V218" s="26"/>
    </row>
  </sheetData>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Z142"/>
  <sheetViews>
    <sheetView workbookViewId="0">
      <selection activeCell="L8" sqref="L8"/>
    </sheetView>
    <sheetView topLeftCell="A8" workbookViewId="1">
      <selection activeCell="R34" sqref="R34"/>
    </sheetView>
  </sheetViews>
  <sheetFormatPr defaultColWidth="9.14285714285714" defaultRowHeight="15"/>
  <cols>
    <col min="1" max="1" width="7.14285714285714" customWidth="1"/>
    <col min="2" max="2" width="9.71428571428571"/>
    <col min="7" max="7" width="9.57142857142857"/>
    <col min="8" max="8" width="10.5714285714286"/>
    <col min="9" max="9" width="4.28571428571429" customWidth="1"/>
    <col min="10" max="10" width="10.5714285714286" customWidth="1"/>
    <col min="12" max="13" width="12.8571428571429"/>
    <col min="14" max="14" width="18.8571428571429" customWidth="1"/>
    <col min="15" max="15" width="10.5714285714286"/>
    <col min="18" max="18" width="12.8571428571429"/>
    <col min="19" max="19" width="9.71428571428571" customWidth="1"/>
    <col min="20" max="20" width="6.85714285714286" customWidth="1"/>
    <col min="21" max="22" width="10.7142857142857" customWidth="1"/>
    <col min="24" max="24" width="9.85714285714286" customWidth="1"/>
    <col min="25" max="25" width="10.7142857142857" customWidth="1"/>
    <col min="26" max="26" width="10.2857142857143" customWidth="1"/>
  </cols>
  <sheetData>
    <row r="3" spans="2:12">
      <c r="B3" t="s">
        <v>168</v>
      </c>
      <c r="G3" s="47"/>
      <c r="L3" t="s">
        <v>169</v>
      </c>
    </row>
    <row r="4" spans="2:12">
      <c r="B4" s="101" t="s">
        <v>170</v>
      </c>
      <c r="L4" s="101" t="s">
        <v>171</v>
      </c>
    </row>
    <row r="5" spans="2:19">
      <c r="B5" t="s">
        <v>172</v>
      </c>
      <c r="L5" t="s">
        <v>173</v>
      </c>
      <c r="O5" s="55">
        <f>[1]Sheet1!$E$6</f>
        <v>0.0246945</v>
      </c>
      <c r="S5" t="s">
        <v>174</v>
      </c>
    </row>
    <row r="6" spans="2:15">
      <c r="B6" s="48"/>
      <c r="O6" s="54"/>
    </row>
    <row r="7" spans="6:24">
      <c r="F7" s="49" t="s">
        <v>175</v>
      </c>
      <c r="G7" s="49" t="s">
        <v>176</v>
      </c>
      <c r="H7" s="49" t="s">
        <v>177</v>
      </c>
      <c r="J7" s="49" t="s">
        <v>177</v>
      </c>
      <c r="S7" s="57" t="s">
        <v>178</v>
      </c>
      <c r="X7" s="57" t="s">
        <v>179</v>
      </c>
    </row>
    <row r="8" ht="75" spans="2:26">
      <c r="B8" t="s">
        <v>180</v>
      </c>
      <c r="C8" t="s">
        <v>181</v>
      </c>
      <c r="D8" t="s">
        <v>182</v>
      </c>
      <c r="F8" t="s">
        <v>183</v>
      </c>
      <c r="G8" s="50" t="s">
        <v>184</v>
      </c>
      <c r="H8" s="50" t="s">
        <v>185</v>
      </c>
      <c r="J8" s="50" t="s">
        <v>186</v>
      </c>
      <c r="M8" s="56"/>
      <c r="R8" s="50"/>
      <c r="S8" s="50" t="s">
        <v>187</v>
      </c>
      <c r="U8" s="50" t="s">
        <v>188</v>
      </c>
      <c r="V8" s="56" t="s">
        <v>189</v>
      </c>
      <c r="X8" s="50" t="s">
        <v>190</v>
      </c>
      <c r="Y8" s="50" t="s">
        <v>188</v>
      </c>
      <c r="Z8" s="56" t="s">
        <v>189</v>
      </c>
    </row>
    <row r="9" spans="1:26">
      <c r="A9">
        <v>1</v>
      </c>
      <c r="B9" s="51">
        <v>45292</v>
      </c>
      <c r="C9" s="52">
        <v>61.53</v>
      </c>
      <c r="D9" s="53">
        <v>0.2424</v>
      </c>
      <c r="F9" s="54">
        <f t="shared" ref="F9:F68" si="0">D9</f>
        <v>0.2424</v>
      </c>
      <c r="G9" s="54">
        <f>O$5/12</f>
        <v>0.002057875</v>
      </c>
      <c r="H9" s="54">
        <f t="shared" ref="H9:H68" si="1">F9-G9</f>
        <v>0.240342125</v>
      </c>
      <c r="J9" s="54" t="str">
        <f t="shared" ref="J9:J68" si="2">IF(H9&lt;0,H9,"")</f>
        <v/>
      </c>
      <c r="L9" s="57" t="s">
        <v>20</v>
      </c>
      <c r="O9" s="4" t="s">
        <v>191</v>
      </c>
      <c r="P9" s="4" t="s">
        <v>192</v>
      </c>
      <c r="Q9" s="4" t="s">
        <v>193</v>
      </c>
      <c r="R9" s="54"/>
      <c r="S9" s="54">
        <f>AVERAGE(H9:H68)</f>
        <v>0.0566204583333333</v>
      </c>
      <c r="T9">
        <v>1</v>
      </c>
      <c r="U9" s="54">
        <f t="shared" ref="U9:U68" si="3">(H9-S$9)^2</f>
        <v>0.0337536508027778</v>
      </c>
      <c r="V9" s="54">
        <f>(U70/T68)^(1/2)</f>
        <v>0.14325812494895</v>
      </c>
      <c r="X9" s="54">
        <f>AVERAGE(J9:J68)</f>
        <v>-0.100912875</v>
      </c>
      <c r="Y9" s="54" t="str">
        <f t="shared" ref="Y9:Y68" si="4">IF(J9="","",(J9-X$9)^2)</f>
        <v/>
      </c>
      <c r="Z9" s="54">
        <f>(Y70/(COUNT(Y9:Y69)-1))^(1/2)</f>
        <v>0.0920632933024026</v>
      </c>
    </row>
    <row r="10" spans="1:25">
      <c r="A10">
        <v>2</v>
      </c>
      <c r="B10" s="51">
        <v>45261</v>
      </c>
      <c r="C10" s="52">
        <v>49.52</v>
      </c>
      <c r="D10" s="53">
        <v>0.0588</v>
      </c>
      <c r="F10" s="54">
        <f t="shared" si="0"/>
        <v>0.0588</v>
      </c>
      <c r="G10" s="54">
        <f>O$5/12</f>
        <v>0.002057875</v>
      </c>
      <c r="H10" s="54">
        <f t="shared" si="1"/>
        <v>0.056742125</v>
      </c>
      <c r="J10" s="54" t="str">
        <f t="shared" si="2"/>
        <v/>
      </c>
      <c r="T10">
        <v>2</v>
      </c>
      <c r="U10" s="54">
        <f t="shared" si="3"/>
        <v>1.48027777777776e-8</v>
      </c>
      <c r="Y10" s="54" t="str">
        <f t="shared" si="4"/>
        <v/>
      </c>
    </row>
    <row r="11" spans="1:25">
      <c r="A11">
        <v>3</v>
      </c>
      <c r="B11" s="51">
        <v>45231</v>
      </c>
      <c r="C11" s="52">
        <v>46.77</v>
      </c>
      <c r="D11" s="53">
        <v>0.1469</v>
      </c>
      <c r="F11" s="54">
        <f t="shared" si="0"/>
        <v>0.1469</v>
      </c>
      <c r="G11" s="54">
        <f>O$5/12</f>
        <v>0.002057875</v>
      </c>
      <c r="H11" s="54">
        <f t="shared" si="1"/>
        <v>0.144842125</v>
      </c>
      <c r="J11" s="54" t="str">
        <f t="shared" si="2"/>
        <v/>
      </c>
      <c r="L11" s="58" t="s">
        <v>189</v>
      </c>
      <c r="O11" s="55">
        <f>STDEV.P(H9:H20)</f>
        <v>0.128012463314667</v>
      </c>
      <c r="P11" s="55">
        <f>STDEV.P(H9:H44)</f>
        <v>0.163533088640333</v>
      </c>
      <c r="Q11" s="55">
        <f>STDEV.P(H9:H68)</f>
        <v>0.14325812494895</v>
      </c>
      <c r="T11">
        <v>3</v>
      </c>
      <c r="U11" s="54">
        <f t="shared" si="3"/>
        <v>0.00778306246944445</v>
      </c>
      <c r="Y11" s="54" t="str">
        <f t="shared" si="4"/>
        <v/>
      </c>
    </row>
    <row r="12" spans="1:25">
      <c r="A12">
        <v>4</v>
      </c>
      <c r="B12" s="51">
        <v>45200</v>
      </c>
      <c r="C12" s="52">
        <v>40.78</v>
      </c>
      <c r="D12" s="53">
        <v>-0.0625</v>
      </c>
      <c r="F12" s="54">
        <f t="shared" si="0"/>
        <v>-0.0625</v>
      </c>
      <c r="G12" s="54">
        <f>O$5/12</f>
        <v>0.002057875</v>
      </c>
      <c r="H12" s="54">
        <f t="shared" si="1"/>
        <v>-0.064557875</v>
      </c>
      <c r="J12" s="54">
        <f t="shared" si="2"/>
        <v>-0.064557875</v>
      </c>
      <c r="L12" s="59" t="s">
        <v>194</v>
      </c>
      <c r="O12" s="54">
        <f t="shared" ref="O12:Q12" si="5">(1+O19)^(1/12)-1</f>
        <v>0.0845978144775958</v>
      </c>
      <c r="P12" s="54">
        <f t="shared" si="5"/>
        <v>0.0425874311421022</v>
      </c>
      <c r="Q12" s="54">
        <f t="shared" si="5"/>
        <v>0.0472289998210729</v>
      </c>
      <c r="T12">
        <v>4</v>
      </c>
      <c r="U12" s="54">
        <f t="shared" si="3"/>
        <v>0.0146841884694444</v>
      </c>
      <c r="Y12" s="54">
        <f t="shared" si="4"/>
        <v>0.001321686025</v>
      </c>
    </row>
    <row r="13" spans="1:25">
      <c r="A13">
        <v>5</v>
      </c>
      <c r="B13" s="51">
        <v>45170</v>
      </c>
      <c r="C13" s="52">
        <v>43.5</v>
      </c>
      <c r="D13" s="53">
        <v>-0.1187</v>
      </c>
      <c r="F13" s="54">
        <f t="shared" si="0"/>
        <v>-0.1187</v>
      </c>
      <c r="G13" s="54">
        <f>O$5/12</f>
        <v>0.002057875</v>
      </c>
      <c r="H13" s="54">
        <f t="shared" si="1"/>
        <v>-0.120757875</v>
      </c>
      <c r="J13" s="54">
        <f t="shared" si="2"/>
        <v>-0.120757875</v>
      </c>
      <c r="L13" s="59" t="s">
        <v>195</v>
      </c>
      <c r="O13" s="60">
        <f t="shared" ref="O13:Q13" si="6">O20/12</f>
        <v>0.002057875</v>
      </c>
      <c r="P13" s="60">
        <f t="shared" si="6"/>
        <v>0.002057875</v>
      </c>
      <c r="Q13" s="60">
        <f t="shared" si="6"/>
        <v>0.002057875</v>
      </c>
      <c r="T13">
        <v>5</v>
      </c>
      <c r="U13" s="54">
        <f t="shared" si="3"/>
        <v>0.0314630731361111</v>
      </c>
      <c r="Y13" s="54">
        <f t="shared" si="4"/>
        <v>0.000393824024999999</v>
      </c>
    </row>
    <row r="14" spans="1:25">
      <c r="A14">
        <v>6</v>
      </c>
      <c r="B14" s="51">
        <v>45139</v>
      </c>
      <c r="C14" s="52">
        <v>49.35</v>
      </c>
      <c r="D14" s="53">
        <v>0.0562</v>
      </c>
      <c r="F14" s="54">
        <f t="shared" si="0"/>
        <v>0.0562</v>
      </c>
      <c r="G14" s="54">
        <f>O$5/12</f>
        <v>0.002057875</v>
      </c>
      <c r="H14" s="54">
        <f t="shared" si="1"/>
        <v>0.054142125</v>
      </c>
      <c r="J14" s="54" t="str">
        <f t="shared" si="2"/>
        <v/>
      </c>
      <c r="L14" s="58" t="s">
        <v>196</v>
      </c>
      <c r="O14" s="54">
        <f t="shared" ref="O14:Q14" si="7">O12-O13</f>
        <v>0.0825399394775958</v>
      </c>
      <c r="P14" s="54">
        <f t="shared" si="7"/>
        <v>0.0405295561421022</v>
      </c>
      <c r="Q14" s="54">
        <f t="shared" si="7"/>
        <v>0.0451711248210729</v>
      </c>
      <c r="T14">
        <v>6</v>
      </c>
      <c r="U14" s="54">
        <f t="shared" si="3"/>
        <v>6.14213611111111e-6</v>
      </c>
      <c r="Y14" s="54" t="str">
        <f t="shared" si="4"/>
        <v/>
      </c>
    </row>
    <row r="15" spans="1:25">
      <c r="A15">
        <v>7</v>
      </c>
      <c r="B15" s="51">
        <v>45108</v>
      </c>
      <c r="C15" s="52">
        <v>46.73</v>
      </c>
      <c r="D15" s="53">
        <v>0.1047</v>
      </c>
      <c r="F15" s="54">
        <f t="shared" si="0"/>
        <v>0.1047</v>
      </c>
      <c r="G15" s="54">
        <f>O$5/12</f>
        <v>0.002057875</v>
      </c>
      <c r="H15" s="54">
        <f t="shared" si="1"/>
        <v>0.102642125</v>
      </c>
      <c r="J15" s="54" t="str">
        <f t="shared" si="2"/>
        <v/>
      </c>
      <c r="T15">
        <v>7</v>
      </c>
      <c r="U15" s="54">
        <f t="shared" si="3"/>
        <v>0.00211799380277778</v>
      </c>
      <c r="Y15" s="54" t="str">
        <f t="shared" si="4"/>
        <v/>
      </c>
    </row>
    <row r="16" spans="1:25">
      <c r="A16">
        <v>8</v>
      </c>
      <c r="B16" s="51">
        <v>45078</v>
      </c>
      <c r="C16" s="52">
        <v>42.3</v>
      </c>
      <c r="D16" s="53">
        <v>0.1181</v>
      </c>
      <c r="F16" s="54">
        <f t="shared" si="0"/>
        <v>0.1181</v>
      </c>
      <c r="G16" s="54">
        <f>O$5/12</f>
        <v>0.002057875</v>
      </c>
      <c r="H16" s="54">
        <f t="shared" si="1"/>
        <v>0.116042125</v>
      </c>
      <c r="J16" s="54" t="str">
        <f t="shared" si="2"/>
        <v/>
      </c>
      <c r="L16" s="58" t="s">
        <v>197</v>
      </c>
      <c r="O16" s="61">
        <f t="shared" ref="O16:Q16" si="8">O14/O11</f>
        <v>0.644780495120267</v>
      </c>
      <c r="P16" s="61">
        <f t="shared" si="8"/>
        <v>0.247837037012375</v>
      </c>
      <c r="Q16" s="61">
        <f t="shared" si="8"/>
        <v>0.315312830160033</v>
      </c>
      <c r="T16">
        <v>8</v>
      </c>
      <c r="U16" s="54">
        <f t="shared" si="3"/>
        <v>0.00353093446944444</v>
      </c>
      <c r="Y16" s="54" t="str">
        <f t="shared" si="4"/>
        <v/>
      </c>
    </row>
    <row r="17" spans="1:25">
      <c r="A17">
        <v>9</v>
      </c>
      <c r="B17" s="51">
        <v>45047</v>
      </c>
      <c r="C17" s="52">
        <v>37.83</v>
      </c>
      <c r="D17" s="53">
        <v>0.3634</v>
      </c>
      <c r="F17" s="54">
        <f t="shared" si="0"/>
        <v>0.3634</v>
      </c>
      <c r="G17" s="54">
        <f>O$5/12</f>
        <v>0.002057875</v>
      </c>
      <c r="H17" s="54">
        <f t="shared" si="1"/>
        <v>0.361342125</v>
      </c>
      <c r="J17" s="54" t="str">
        <f t="shared" si="2"/>
        <v/>
      </c>
      <c r="T17">
        <v>9</v>
      </c>
      <c r="U17" s="54">
        <f t="shared" si="3"/>
        <v>0.0928552941361111</v>
      </c>
      <c r="Y17" s="54" t="str">
        <f t="shared" si="4"/>
        <v/>
      </c>
    </row>
    <row r="18" spans="1:25">
      <c r="A18">
        <v>10</v>
      </c>
      <c r="B18" s="51">
        <v>45017</v>
      </c>
      <c r="C18" s="52">
        <v>27.75</v>
      </c>
      <c r="D18" s="53">
        <v>-0.001</v>
      </c>
      <c r="F18" s="54">
        <f t="shared" si="0"/>
        <v>-0.001</v>
      </c>
      <c r="G18" s="54">
        <f>O$5/12</f>
        <v>0.002057875</v>
      </c>
      <c r="H18" s="54">
        <f t="shared" si="1"/>
        <v>-0.003057875</v>
      </c>
      <c r="J18" s="54">
        <f t="shared" si="2"/>
        <v>-0.003057875</v>
      </c>
      <c r="L18" s="58" t="s">
        <v>198</v>
      </c>
      <c r="O18" s="54">
        <f t="shared" ref="O18:Q18" si="9">O11*12^(1/2)</f>
        <v>0.443448180926099</v>
      </c>
      <c r="P18" s="54">
        <f t="shared" si="9"/>
        <v>0.566495236487442</v>
      </c>
      <c r="Q18" s="54">
        <f t="shared" si="9"/>
        <v>0.496260702017263</v>
      </c>
      <c r="T18">
        <v>10</v>
      </c>
      <c r="U18" s="54">
        <f t="shared" si="3"/>
        <v>0.00356150346944444</v>
      </c>
      <c r="Y18" s="54">
        <f t="shared" si="4"/>
        <v>0.009575601025</v>
      </c>
    </row>
    <row r="19" spans="1:25">
      <c r="A19">
        <v>11</v>
      </c>
      <c r="B19" s="51">
        <v>44986</v>
      </c>
      <c r="C19" s="52">
        <v>27.78</v>
      </c>
      <c r="D19" s="53">
        <v>0.1965</v>
      </c>
      <c r="F19" s="54">
        <f t="shared" si="0"/>
        <v>0.1965</v>
      </c>
      <c r="G19" s="54">
        <f>O$5/12</f>
        <v>0.002057875</v>
      </c>
      <c r="H19" s="54">
        <f t="shared" si="1"/>
        <v>0.194442125</v>
      </c>
      <c r="J19" s="54" t="str">
        <f t="shared" si="2"/>
        <v/>
      </c>
      <c r="L19" s="59" t="s">
        <v>199</v>
      </c>
      <c r="O19" s="54">
        <f>($C$9/$C$20)^(1/($A$20/12))-1</f>
        <v>1.64987080103359</v>
      </c>
      <c r="P19" s="54">
        <f>($C$9/$C$44)^(1/($A$44/12))-1</f>
        <v>0.649490505570578</v>
      </c>
      <c r="Q19" s="54">
        <f>($C$9/$C$68)^(1/($A$68/12))-1</f>
        <v>0.739802385900425</v>
      </c>
      <c r="T19">
        <v>11</v>
      </c>
      <c r="U19" s="54">
        <f t="shared" si="3"/>
        <v>0.0189948118027778</v>
      </c>
      <c r="Y19" s="54" t="str">
        <f t="shared" si="4"/>
        <v/>
      </c>
    </row>
    <row r="20" spans="1:25">
      <c r="A20">
        <v>12</v>
      </c>
      <c r="B20" s="51">
        <v>44958</v>
      </c>
      <c r="C20" s="52">
        <v>23.22</v>
      </c>
      <c r="D20" s="53">
        <v>0.1883</v>
      </c>
      <c r="F20" s="54">
        <f t="shared" si="0"/>
        <v>0.1883</v>
      </c>
      <c r="G20" s="54">
        <f>O$5/12</f>
        <v>0.002057875</v>
      </c>
      <c r="H20" s="54">
        <f t="shared" si="1"/>
        <v>0.186242125</v>
      </c>
      <c r="J20" s="54" t="str">
        <f t="shared" si="2"/>
        <v/>
      </c>
      <c r="L20" s="59" t="s">
        <v>200</v>
      </c>
      <c r="O20" s="60">
        <f t="shared" ref="O20:Q20" si="10">$O$5</f>
        <v>0.0246945</v>
      </c>
      <c r="P20" s="60">
        <f t="shared" si="10"/>
        <v>0.0246945</v>
      </c>
      <c r="Q20" s="60">
        <f t="shared" si="10"/>
        <v>0.0246945</v>
      </c>
      <c r="T20">
        <v>12</v>
      </c>
      <c r="U20" s="54">
        <f t="shared" si="3"/>
        <v>0.0168017764694444</v>
      </c>
      <c r="Y20" s="54" t="str">
        <f t="shared" si="4"/>
        <v/>
      </c>
    </row>
    <row r="21" spans="1:25">
      <c r="A21">
        <v>13</v>
      </c>
      <c r="B21" s="51">
        <v>44927</v>
      </c>
      <c r="C21" s="52">
        <v>19.54</v>
      </c>
      <c r="D21" s="53">
        <v>0.3369</v>
      </c>
      <c r="F21" s="54">
        <f t="shared" si="0"/>
        <v>0.3369</v>
      </c>
      <c r="G21" s="54">
        <f>O$5/12</f>
        <v>0.002057875</v>
      </c>
      <c r="H21" s="54">
        <f t="shared" si="1"/>
        <v>0.334842125</v>
      </c>
      <c r="J21" s="54" t="str">
        <f t="shared" si="2"/>
        <v/>
      </c>
      <c r="L21" s="58" t="s">
        <v>196</v>
      </c>
      <c r="O21" s="54">
        <f t="shared" ref="O21:Q21" si="11">O19-O20</f>
        <v>1.62517630103359</v>
      </c>
      <c r="P21" s="54">
        <f t="shared" si="11"/>
        <v>0.624796005570578</v>
      </c>
      <c r="Q21" s="54">
        <f t="shared" si="11"/>
        <v>0.715107885900425</v>
      </c>
      <c r="T21">
        <v>13</v>
      </c>
      <c r="U21" s="54">
        <f t="shared" si="3"/>
        <v>0.0774072958027778</v>
      </c>
      <c r="Y21" s="54" t="str">
        <f t="shared" si="4"/>
        <v/>
      </c>
    </row>
    <row r="22" spans="1:25">
      <c r="A22">
        <v>14</v>
      </c>
      <c r="B22" s="51">
        <v>44896</v>
      </c>
      <c r="C22" s="52">
        <v>14.61</v>
      </c>
      <c r="D22" s="53">
        <v>-0.1364</v>
      </c>
      <c r="F22" s="54">
        <f t="shared" si="0"/>
        <v>-0.1364</v>
      </c>
      <c r="G22" s="54">
        <f>O$5/12</f>
        <v>0.002057875</v>
      </c>
      <c r="H22" s="54">
        <f t="shared" si="1"/>
        <v>-0.138457875</v>
      </c>
      <c r="J22" s="54">
        <f t="shared" si="2"/>
        <v>-0.138457875</v>
      </c>
      <c r="T22">
        <v>14</v>
      </c>
      <c r="U22" s="54">
        <f t="shared" si="3"/>
        <v>0.0380555561361111</v>
      </c>
      <c r="Y22" s="54">
        <f t="shared" si="4"/>
        <v>0.001409627025</v>
      </c>
    </row>
    <row r="23" spans="1:25">
      <c r="A23">
        <v>15</v>
      </c>
      <c r="B23" s="51">
        <v>44866</v>
      </c>
      <c r="C23" s="52">
        <v>16.92</v>
      </c>
      <c r="D23" s="53">
        <v>0.2538</v>
      </c>
      <c r="F23" s="54">
        <f t="shared" si="0"/>
        <v>0.2538</v>
      </c>
      <c r="G23" s="54">
        <f>O$5/12</f>
        <v>0.002057875</v>
      </c>
      <c r="H23" s="54">
        <f t="shared" si="1"/>
        <v>0.251742125</v>
      </c>
      <c r="J23" s="54" t="str">
        <f t="shared" si="2"/>
        <v/>
      </c>
      <c r="L23" s="58" t="s">
        <v>201</v>
      </c>
      <c r="O23" s="61">
        <f t="shared" ref="O23:Q23" si="12">O21/O18</f>
        <v>3.66486180558811</v>
      </c>
      <c r="P23" s="61">
        <f t="shared" si="12"/>
        <v>1.1029148443412</v>
      </c>
      <c r="Q23" s="61">
        <f t="shared" si="12"/>
        <v>1.44099237153691</v>
      </c>
      <c r="T23">
        <v>15</v>
      </c>
      <c r="U23" s="54">
        <f t="shared" si="3"/>
        <v>0.0380724648027778</v>
      </c>
      <c r="Y23" s="54" t="str">
        <f t="shared" si="4"/>
        <v/>
      </c>
    </row>
    <row r="24" ht="15.75" spans="1:25">
      <c r="A24">
        <v>16</v>
      </c>
      <c r="B24" s="51">
        <v>44835</v>
      </c>
      <c r="C24" s="52">
        <v>13.5</v>
      </c>
      <c r="D24" s="53">
        <v>0.1119</v>
      </c>
      <c r="F24" s="54">
        <f t="shared" si="0"/>
        <v>0.1119</v>
      </c>
      <c r="G24" s="54">
        <f>O$5/12</f>
        <v>0.002057875</v>
      </c>
      <c r="H24" s="54">
        <f t="shared" si="1"/>
        <v>0.109842125</v>
      </c>
      <c r="J24" s="54" t="str">
        <f t="shared" si="2"/>
        <v/>
      </c>
      <c r="T24">
        <v>16</v>
      </c>
      <c r="U24" s="54">
        <f t="shared" si="3"/>
        <v>0.00283254580277778</v>
      </c>
      <c r="Y24" s="54" t="str">
        <f t="shared" si="4"/>
        <v/>
      </c>
    </row>
    <row r="25" ht="15.75" spans="1:25">
      <c r="A25">
        <v>17</v>
      </c>
      <c r="B25" s="51">
        <v>44805</v>
      </c>
      <c r="C25" s="52">
        <v>12.14</v>
      </c>
      <c r="D25" s="53">
        <v>-0.1958</v>
      </c>
      <c r="F25" s="54">
        <f t="shared" si="0"/>
        <v>-0.1958</v>
      </c>
      <c r="G25" s="54">
        <f>O$5/12</f>
        <v>0.002057875</v>
      </c>
      <c r="H25" s="54">
        <f t="shared" si="1"/>
        <v>-0.197857875</v>
      </c>
      <c r="J25" s="54">
        <f t="shared" si="2"/>
        <v>-0.197857875</v>
      </c>
      <c r="L25" s="62"/>
      <c r="M25" s="62"/>
      <c r="N25" s="62"/>
      <c r="O25" s="62"/>
      <c r="P25" s="62"/>
      <c r="Q25" s="62"/>
      <c r="T25">
        <v>17</v>
      </c>
      <c r="U25" s="54">
        <f t="shared" si="3"/>
        <v>0.0647592221361111</v>
      </c>
      <c r="Y25" s="54">
        <f t="shared" si="4"/>
        <v>0.009398333025</v>
      </c>
    </row>
    <row r="26" spans="1:25">
      <c r="A26">
        <v>18</v>
      </c>
      <c r="B26" s="51">
        <v>44774</v>
      </c>
      <c r="C26" s="52">
        <v>15.09</v>
      </c>
      <c r="D26" s="53">
        <v>-0.169</v>
      </c>
      <c r="F26" s="54">
        <f t="shared" si="0"/>
        <v>-0.169</v>
      </c>
      <c r="G26" s="54">
        <f>O$5/12</f>
        <v>0.002057875</v>
      </c>
      <c r="H26" s="54">
        <f t="shared" si="1"/>
        <v>-0.171057875</v>
      </c>
      <c r="J26" s="54">
        <f t="shared" si="2"/>
        <v>-0.171057875</v>
      </c>
      <c r="L26" s="57" t="s">
        <v>21</v>
      </c>
      <c r="O26" s="4" t="s">
        <v>191</v>
      </c>
      <c r="P26" s="4" t="s">
        <v>192</v>
      </c>
      <c r="Q26" s="4" t="s">
        <v>193</v>
      </c>
      <c r="T26">
        <v>18</v>
      </c>
      <c r="U26" s="54">
        <f t="shared" si="3"/>
        <v>0.0518374234694444</v>
      </c>
      <c r="Y26" s="54">
        <f t="shared" si="4"/>
        <v>0.004920321025</v>
      </c>
    </row>
    <row r="27" spans="1:25">
      <c r="A27">
        <v>19</v>
      </c>
      <c r="B27" s="51">
        <v>44743</v>
      </c>
      <c r="C27" s="52">
        <v>18.16</v>
      </c>
      <c r="D27" s="53">
        <v>0.1982</v>
      </c>
      <c r="F27" s="54">
        <f t="shared" si="0"/>
        <v>0.1982</v>
      </c>
      <c r="G27" s="54">
        <f>O$5/12</f>
        <v>0.002057875</v>
      </c>
      <c r="H27" s="54">
        <f t="shared" si="1"/>
        <v>0.196142125</v>
      </c>
      <c r="J27" s="54" t="str">
        <f t="shared" si="2"/>
        <v/>
      </c>
      <c r="T27">
        <v>19</v>
      </c>
      <c r="U27" s="54">
        <f t="shared" si="3"/>
        <v>0.0194662954694444</v>
      </c>
      <c r="Y27" s="54" t="str">
        <f t="shared" si="4"/>
        <v/>
      </c>
    </row>
    <row r="28" ht="18.75" spans="1:25">
      <c r="A28">
        <v>20</v>
      </c>
      <c r="B28" s="51">
        <v>44713</v>
      </c>
      <c r="C28" s="52">
        <v>15.16</v>
      </c>
      <c r="D28" s="53">
        <v>-0.1881</v>
      </c>
      <c r="F28" s="54">
        <f t="shared" si="0"/>
        <v>-0.1881</v>
      </c>
      <c r="G28" s="54">
        <f>O$5/12</f>
        <v>0.002057875</v>
      </c>
      <c r="H28" s="54">
        <f t="shared" si="1"/>
        <v>-0.190157875</v>
      </c>
      <c r="J28" s="54">
        <f t="shared" si="2"/>
        <v>-0.190157875</v>
      </c>
      <c r="L28" s="58" t="s">
        <v>202</v>
      </c>
      <c r="O28" s="55">
        <f>_xlfn.STDEV.S(J9:J20)</f>
        <v>0.0588698847742488</v>
      </c>
      <c r="P28" s="55">
        <f>_xlfn.STDEV.S(J9:J44)</f>
        <v>0.0902591373110328</v>
      </c>
      <c r="Q28" s="55">
        <f>_xlfn.STDEV.S(J9:J68)</f>
        <v>0.0920632933024026</v>
      </c>
      <c r="T28">
        <v>20</v>
      </c>
      <c r="U28" s="54">
        <f t="shared" si="3"/>
        <v>0.0608995458027778</v>
      </c>
      <c r="Y28" s="54">
        <f t="shared" si="4"/>
        <v>0.00796467002499999</v>
      </c>
    </row>
    <row r="29" spans="1:25">
      <c r="A29">
        <v>21</v>
      </c>
      <c r="B29" s="51">
        <v>44682</v>
      </c>
      <c r="C29" s="52">
        <v>18.67</v>
      </c>
      <c r="D29" s="53">
        <v>0.0067</v>
      </c>
      <c r="F29" s="54">
        <f t="shared" si="0"/>
        <v>0.0067</v>
      </c>
      <c r="G29" s="54">
        <f>O$5/12</f>
        <v>0.002057875</v>
      </c>
      <c r="H29" s="54">
        <f t="shared" si="1"/>
        <v>0.004642125</v>
      </c>
      <c r="J29" s="54" t="str">
        <f t="shared" si="2"/>
        <v/>
      </c>
      <c r="L29" s="59" t="s">
        <v>194</v>
      </c>
      <c r="O29" s="54">
        <f t="shared" ref="O29:Q29" si="13">(1+O36)^(1/12)-1</f>
        <v>0.0845978144775958</v>
      </c>
      <c r="P29" s="54">
        <f t="shared" si="13"/>
        <v>0.0425874311421022</v>
      </c>
      <c r="Q29" s="54">
        <f t="shared" si="13"/>
        <v>0.0472289998210729</v>
      </c>
      <c r="T29">
        <v>21</v>
      </c>
      <c r="U29" s="54">
        <f t="shared" si="3"/>
        <v>0.00270174713611111</v>
      </c>
      <c r="Y29" s="54" t="str">
        <f t="shared" si="4"/>
        <v/>
      </c>
    </row>
    <row r="30" spans="1:25">
      <c r="A30">
        <v>22</v>
      </c>
      <c r="B30" s="51">
        <v>44652</v>
      </c>
      <c r="C30" s="52">
        <v>18.55</v>
      </c>
      <c r="D30" s="53">
        <v>-0.3203</v>
      </c>
      <c r="F30" s="54">
        <f t="shared" si="0"/>
        <v>-0.3203</v>
      </c>
      <c r="G30" s="54">
        <f>O$5/12</f>
        <v>0.002057875</v>
      </c>
      <c r="H30" s="54">
        <f t="shared" si="1"/>
        <v>-0.322357875</v>
      </c>
      <c r="J30" s="54">
        <f t="shared" si="2"/>
        <v>-0.322357875</v>
      </c>
      <c r="L30" s="59" t="s">
        <v>195</v>
      </c>
      <c r="O30" s="60">
        <f t="shared" ref="O30:Q30" si="14">O37/12</f>
        <v>0.002057875</v>
      </c>
      <c r="P30" s="60">
        <f t="shared" si="14"/>
        <v>0.002057875</v>
      </c>
      <c r="Q30" s="60">
        <f t="shared" si="14"/>
        <v>0.002057875</v>
      </c>
      <c r="T30">
        <v>22</v>
      </c>
      <c r="U30" s="54">
        <f t="shared" si="3"/>
        <v>0.143624577136111</v>
      </c>
      <c r="Y30" s="54">
        <f t="shared" si="4"/>
        <v>0.049037888025</v>
      </c>
    </row>
    <row r="31" spans="1:25">
      <c r="A31">
        <v>23</v>
      </c>
      <c r="B31" s="51">
        <v>44621</v>
      </c>
      <c r="C31" s="52">
        <v>27.29</v>
      </c>
      <c r="D31" s="53">
        <v>0.119</v>
      </c>
      <c r="F31" s="54">
        <f t="shared" si="0"/>
        <v>0.119</v>
      </c>
      <c r="G31" s="54">
        <f>O$5/12</f>
        <v>0.002057875</v>
      </c>
      <c r="H31" s="54">
        <f t="shared" si="1"/>
        <v>0.116942125</v>
      </c>
      <c r="J31" s="54" t="str">
        <f t="shared" si="2"/>
        <v/>
      </c>
      <c r="L31" s="58" t="s">
        <v>196</v>
      </c>
      <c r="O31" s="54">
        <f t="shared" ref="O31:Q31" si="15">O29-O30</f>
        <v>0.0825399394775958</v>
      </c>
      <c r="P31" s="54">
        <f t="shared" si="15"/>
        <v>0.0405295561421022</v>
      </c>
      <c r="Q31" s="54">
        <f t="shared" si="15"/>
        <v>0.0451711248210729</v>
      </c>
      <c r="T31">
        <v>23</v>
      </c>
      <c r="U31" s="54">
        <f t="shared" si="3"/>
        <v>0.00363870346944444</v>
      </c>
      <c r="Y31" s="54" t="str">
        <f t="shared" si="4"/>
        <v/>
      </c>
    </row>
    <row r="32" spans="1:25">
      <c r="A32">
        <v>24</v>
      </c>
      <c r="B32" s="51">
        <v>44593</v>
      </c>
      <c r="C32" s="52">
        <v>24.39</v>
      </c>
      <c r="D32" s="53">
        <v>-0.0041</v>
      </c>
      <c r="F32" s="54">
        <f t="shared" si="0"/>
        <v>-0.0041</v>
      </c>
      <c r="G32" s="54">
        <f>O$5/12</f>
        <v>0.002057875</v>
      </c>
      <c r="H32" s="54">
        <f t="shared" si="1"/>
        <v>-0.006157875</v>
      </c>
      <c r="J32" s="54">
        <f t="shared" si="2"/>
        <v>-0.006157875</v>
      </c>
      <c r="T32">
        <v>24</v>
      </c>
      <c r="U32" s="54">
        <f t="shared" si="3"/>
        <v>0.00394111913611111</v>
      </c>
      <c r="Y32" s="54">
        <f t="shared" si="4"/>
        <v>0.008978510025</v>
      </c>
    </row>
    <row r="33" spans="1:25">
      <c r="A33">
        <v>25</v>
      </c>
      <c r="B33" s="51">
        <v>44562</v>
      </c>
      <c r="C33" s="52">
        <v>24.49</v>
      </c>
      <c r="D33" s="53">
        <v>-0.1675</v>
      </c>
      <c r="F33" s="54">
        <f t="shared" si="0"/>
        <v>-0.1675</v>
      </c>
      <c r="G33" s="54">
        <f>O$5/12</f>
        <v>0.002057875</v>
      </c>
      <c r="H33" s="54">
        <f t="shared" si="1"/>
        <v>-0.169557875</v>
      </c>
      <c r="J33" s="54">
        <f t="shared" si="2"/>
        <v>-0.169557875</v>
      </c>
      <c r="L33" s="58" t="s">
        <v>203</v>
      </c>
      <c r="O33" s="61">
        <f t="shared" ref="O33:Q33" si="16">O31/O28</f>
        <v>1.40207407903236</v>
      </c>
      <c r="P33" s="61">
        <f t="shared" si="16"/>
        <v>0.44903549213458</v>
      </c>
      <c r="Q33" s="61">
        <f t="shared" si="16"/>
        <v>0.490652932354898</v>
      </c>
      <c r="T33">
        <v>25</v>
      </c>
      <c r="U33" s="54">
        <f t="shared" si="3"/>
        <v>0.0511566384694444</v>
      </c>
      <c r="Y33" s="54">
        <f t="shared" si="4"/>
        <v>0.004712136025</v>
      </c>
    </row>
    <row r="34" spans="1:25">
      <c r="A34">
        <v>26</v>
      </c>
      <c r="B34" s="51">
        <v>44531</v>
      </c>
      <c r="C34" s="52">
        <v>29.41</v>
      </c>
      <c r="D34" s="53">
        <v>-0.0999</v>
      </c>
      <c r="F34" s="54">
        <f t="shared" si="0"/>
        <v>-0.0999</v>
      </c>
      <c r="G34" s="54">
        <f>O$5/12</f>
        <v>0.002057875</v>
      </c>
      <c r="H34" s="54">
        <f t="shared" si="1"/>
        <v>-0.101957875</v>
      </c>
      <c r="J34" s="54">
        <f t="shared" si="2"/>
        <v>-0.101957875</v>
      </c>
      <c r="T34">
        <v>26</v>
      </c>
      <c r="U34" s="54">
        <f t="shared" si="3"/>
        <v>0.0251470878027778</v>
      </c>
      <c r="Y34" s="54">
        <f t="shared" si="4"/>
        <v>1.09202499999998e-6</v>
      </c>
    </row>
    <row r="35" spans="1:25">
      <c r="A35">
        <v>27</v>
      </c>
      <c r="B35" s="51">
        <v>44501</v>
      </c>
      <c r="C35" s="52">
        <v>32.68</v>
      </c>
      <c r="D35" s="53">
        <v>0.2781</v>
      </c>
      <c r="F35" s="54">
        <f t="shared" si="0"/>
        <v>0.2781</v>
      </c>
      <c r="G35" s="54">
        <f>O$5/12</f>
        <v>0.002057875</v>
      </c>
      <c r="H35" s="54">
        <f t="shared" si="1"/>
        <v>0.276042125</v>
      </c>
      <c r="J35" s="54" t="str">
        <f t="shared" si="2"/>
        <v/>
      </c>
      <c r="L35" s="58" t="s">
        <v>204</v>
      </c>
      <c r="O35" s="54">
        <f t="shared" ref="O35:Q35" si="17">O28*12^(1/2)</f>
        <v>0.203931262929449</v>
      </c>
      <c r="P35" s="54">
        <f t="shared" si="17"/>
        <v>0.312666823340089</v>
      </c>
      <c r="Q35" s="54">
        <f t="shared" si="17"/>
        <v>0.318916603023754</v>
      </c>
      <c r="T35">
        <v>27</v>
      </c>
      <c r="U35" s="54">
        <f t="shared" si="3"/>
        <v>0.0481458678027778</v>
      </c>
      <c r="Y35" s="54" t="str">
        <f t="shared" si="4"/>
        <v/>
      </c>
    </row>
    <row r="36" spans="1:25">
      <c r="A36">
        <v>28</v>
      </c>
      <c r="B36" s="51">
        <v>44470</v>
      </c>
      <c r="C36" s="52">
        <v>25.57</v>
      </c>
      <c r="D36" s="53">
        <v>0.2342</v>
      </c>
      <c r="F36" s="54">
        <f t="shared" si="0"/>
        <v>0.2342</v>
      </c>
      <c r="G36" s="54">
        <f>O$5/12</f>
        <v>0.002057875</v>
      </c>
      <c r="H36" s="54">
        <f t="shared" si="1"/>
        <v>0.232142125</v>
      </c>
      <c r="J36" s="54" t="str">
        <f t="shared" si="2"/>
        <v/>
      </c>
      <c r="L36" s="59" t="s">
        <v>199</v>
      </c>
      <c r="O36" s="54">
        <f>($C$9/$C$20)^(1/($A$20/12))-1</f>
        <v>1.64987080103359</v>
      </c>
      <c r="P36" s="54">
        <f>($C$9/$C$44)^(1/($A$44/12))-1</f>
        <v>0.649490505570578</v>
      </c>
      <c r="Q36" s="54">
        <f>($C$9/$C$68)^(1/($A$68/12))-1</f>
        <v>0.739802385900425</v>
      </c>
      <c r="T36">
        <v>28</v>
      </c>
      <c r="U36" s="54">
        <f t="shared" si="3"/>
        <v>0.0308078554694445</v>
      </c>
      <c r="Y36" s="54" t="str">
        <f t="shared" si="4"/>
        <v/>
      </c>
    </row>
    <row r="37" spans="1:25">
      <c r="A37">
        <v>29</v>
      </c>
      <c r="B37" s="51">
        <v>44440</v>
      </c>
      <c r="C37" s="52">
        <v>20.72</v>
      </c>
      <c r="D37" s="53">
        <v>-0.0746</v>
      </c>
      <c r="F37" s="54">
        <f t="shared" si="0"/>
        <v>-0.0746</v>
      </c>
      <c r="G37" s="54">
        <f>O$5/12</f>
        <v>0.002057875</v>
      </c>
      <c r="H37" s="54">
        <f t="shared" si="1"/>
        <v>-0.076657875</v>
      </c>
      <c r="J37" s="54">
        <f t="shared" si="2"/>
        <v>-0.076657875</v>
      </c>
      <c r="L37" s="59" t="s">
        <v>200</v>
      </c>
      <c r="O37" s="60">
        <f t="shared" ref="O37:Q37" si="18">$O$5</f>
        <v>0.0246945</v>
      </c>
      <c r="P37" s="60">
        <f t="shared" si="18"/>
        <v>0.0246945</v>
      </c>
      <c r="Q37" s="60">
        <f t="shared" si="18"/>
        <v>0.0246945</v>
      </c>
      <c r="T37">
        <v>29</v>
      </c>
      <c r="U37" s="54">
        <f t="shared" si="3"/>
        <v>0.0177631141361111</v>
      </c>
      <c r="Y37" s="54">
        <f t="shared" si="4"/>
        <v>0.000588305025000001</v>
      </c>
    </row>
    <row r="38" spans="1:25">
      <c r="A38">
        <v>30</v>
      </c>
      <c r="B38" s="51">
        <v>44409</v>
      </c>
      <c r="C38" s="52">
        <v>22.39</v>
      </c>
      <c r="D38" s="53">
        <v>0.148</v>
      </c>
      <c r="F38" s="54">
        <f t="shared" si="0"/>
        <v>0.148</v>
      </c>
      <c r="G38" s="54">
        <f>O$5/12</f>
        <v>0.002057875</v>
      </c>
      <c r="H38" s="54">
        <f t="shared" si="1"/>
        <v>0.145942125</v>
      </c>
      <c r="J38" s="54" t="str">
        <f t="shared" si="2"/>
        <v/>
      </c>
      <c r="L38" s="58" t="s">
        <v>196</v>
      </c>
      <c r="O38" s="54">
        <f t="shared" ref="O38:Q38" si="19">O36-O37</f>
        <v>1.62517630103359</v>
      </c>
      <c r="P38" s="54">
        <f t="shared" si="19"/>
        <v>0.624796005570578</v>
      </c>
      <c r="Q38" s="54">
        <f t="shared" si="19"/>
        <v>0.715107885900425</v>
      </c>
      <c r="T38">
        <v>30</v>
      </c>
      <c r="U38" s="54">
        <f t="shared" si="3"/>
        <v>0.00797836013611111</v>
      </c>
      <c r="Y38" s="54" t="str">
        <f t="shared" si="4"/>
        <v/>
      </c>
    </row>
    <row r="39" spans="1:25">
      <c r="A39">
        <v>31</v>
      </c>
      <c r="B39" s="51">
        <v>44378</v>
      </c>
      <c r="C39" s="52">
        <v>19.5</v>
      </c>
      <c r="D39" s="53">
        <v>-0.0252</v>
      </c>
      <c r="F39" s="54">
        <f t="shared" si="0"/>
        <v>-0.0252</v>
      </c>
      <c r="G39" s="54">
        <f>O$5/12</f>
        <v>0.002057875</v>
      </c>
      <c r="H39" s="54">
        <f t="shared" si="1"/>
        <v>-0.027257875</v>
      </c>
      <c r="J39" s="54">
        <f t="shared" si="2"/>
        <v>-0.027257875</v>
      </c>
      <c r="T39">
        <v>31</v>
      </c>
      <c r="U39" s="54">
        <f t="shared" si="3"/>
        <v>0.00703557480277778</v>
      </c>
      <c r="Y39" s="54">
        <f t="shared" si="4"/>
        <v>0.005425059025</v>
      </c>
    </row>
    <row r="40" ht="18.75" spans="1:25">
      <c r="A40">
        <v>32</v>
      </c>
      <c r="B40" s="51">
        <v>44348</v>
      </c>
      <c r="C40" s="52">
        <v>20</v>
      </c>
      <c r="D40" s="53">
        <v>0.2313</v>
      </c>
      <c r="F40" s="54">
        <f t="shared" si="0"/>
        <v>0.2313</v>
      </c>
      <c r="G40" s="54">
        <f>O$5/12</f>
        <v>0.002057875</v>
      </c>
      <c r="H40" s="54">
        <f t="shared" si="1"/>
        <v>0.229242125</v>
      </c>
      <c r="J40" s="54" t="str">
        <f t="shared" si="2"/>
        <v/>
      </c>
      <c r="L40" s="58" t="s">
        <v>205</v>
      </c>
      <c r="O40" s="61">
        <f t="shared" ref="O40:Q40" si="20">O38/O35</f>
        <v>7.96923570073623</v>
      </c>
      <c r="P40" s="61">
        <f t="shared" si="20"/>
        <v>1.99828046639597</v>
      </c>
      <c r="Q40" s="61">
        <f t="shared" si="20"/>
        <v>2.24230372178887</v>
      </c>
      <c r="T40">
        <v>32</v>
      </c>
      <c r="U40" s="54">
        <f t="shared" si="3"/>
        <v>0.0297982398027778</v>
      </c>
      <c r="Y40" s="54" t="str">
        <f t="shared" si="4"/>
        <v/>
      </c>
    </row>
    <row r="41" spans="1:25">
      <c r="A41">
        <v>33</v>
      </c>
      <c r="B41" s="51">
        <v>44317</v>
      </c>
      <c r="C41" s="52">
        <v>16.24</v>
      </c>
      <c r="D41" s="53">
        <v>0.0823</v>
      </c>
      <c r="E41" s="50"/>
      <c r="F41" s="54">
        <f t="shared" si="0"/>
        <v>0.0823</v>
      </c>
      <c r="G41" s="54">
        <f>O$5/12</f>
        <v>0.002057875</v>
      </c>
      <c r="H41" s="54">
        <f t="shared" si="1"/>
        <v>0.080242125</v>
      </c>
      <c r="J41" s="54" t="str">
        <f t="shared" si="2"/>
        <v/>
      </c>
      <c r="T41">
        <v>33</v>
      </c>
      <c r="U41" s="54">
        <f t="shared" si="3"/>
        <v>0.000557983136111111</v>
      </c>
      <c r="Y41" s="54" t="str">
        <f t="shared" si="4"/>
        <v/>
      </c>
    </row>
    <row r="42" spans="1:25">
      <c r="A42">
        <v>34</v>
      </c>
      <c r="B42" s="51">
        <v>44287</v>
      </c>
      <c r="C42" s="52">
        <v>15.01</v>
      </c>
      <c r="D42" s="53">
        <v>0.1245</v>
      </c>
      <c r="E42" s="50"/>
      <c r="F42" s="54">
        <f t="shared" si="0"/>
        <v>0.1245</v>
      </c>
      <c r="G42" s="54">
        <f>O$5/12</f>
        <v>0.002057875</v>
      </c>
      <c r="H42" s="54">
        <f t="shared" si="1"/>
        <v>0.122442125</v>
      </c>
      <c r="J42" s="54" t="str">
        <f t="shared" si="2"/>
        <v/>
      </c>
      <c r="T42">
        <v>34</v>
      </c>
      <c r="U42" s="54">
        <f t="shared" si="3"/>
        <v>0.00433249180277778</v>
      </c>
      <c r="Y42" s="54" t="str">
        <f t="shared" si="4"/>
        <v/>
      </c>
    </row>
    <row r="43" spans="1:25">
      <c r="A43">
        <v>35</v>
      </c>
      <c r="B43" s="51">
        <v>44256</v>
      </c>
      <c r="C43" s="52">
        <v>13.35</v>
      </c>
      <c r="D43" s="53">
        <v>-0.0267</v>
      </c>
      <c r="E43" s="50"/>
      <c r="F43" s="54">
        <f t="shared" si="0"/>
        <v>-0.0267</v>
      </c>
      <c r="G43" s="54">
        <f>O$5/12</f>
        <v>0.002057875</v>
      </c>
      <c r="H43" s="54">
        <f t="shared" si="1"/>
        <v>-0.028757875</v>
      </c>
      <c r="J43" s="54">
        <f t="shared" si="2"/>
        <v>-0.028757875</v>
      </c>
      <c r="T43">
        <v>35</v>
      </c>
      <c r="U43" s="54">
        <f t="shared" si="3"/>
        <v>0.00728945980277778</v>
      </c>
      <c r="Y43" s="54">
        <f t="shared" si="4"/>
        <v>0.005206344025</v>
      </c>
    </row>
    <row r="44" spans="1:25">
      <c r="A44">
        <v>36</v>
      </c>
      <c r="B44" s="51">
        <v>44228</v>
      </c>
      <c r="C44" s="52">
        <v>13.71</v>
      </c>
      <c r="D44" s="53">
        <v>0.0558</v>
      </c>
      <c r="E44" s="50"/>
      <c r="F44" s="54">
        <f t="shared" si="0"/>
        <v>0.0558</v>
      </c>
      <c r="G44" s="54">
        <f>O$5/12</f>
        <v>0.002057875</v>
      </c>
      <c r="H44" s="54">
        <f t="shared" si="1"/>
        <v>0.053742125</v>
      </c>
      <c r="J44" s="54" t="str">
        <f t="shared" si="2"/>
        <v/>
      </c>
      <c r="T44">
        <v>36</v>
      </c>
      <c r="U44" s="54">
        <f t="shared" si="3"/>
        <v>8.28480277777776e-6</v>
      </c>
      <c r="Y44" s="54" t="str">
        <f t="shared" si="4"/>
        <v/>
      </c>
    </row>
    <row r="45" spans="1:25">
      <c r="A45">
        <v>37</v>
      </c>
      <c r="B45" s="51">
        <v>44197</v>
      </c>
      <c r="C45" s="52">
        <v>12.99</v>
      </c>
      <c r="D45" s="53">
        <v>-0.005</v>
      </c>
      <c r="E45" s="50"/>
      <c r="F45" s="54">
        <f t="shared" si="0"/>
        <v>-0.005</v>
      </c>
      <c r="G45" s="54">
        <f>O$5/12</f>
        <v>0.002057875</v>
      </c>
      <c r="H45" s="54">
        <f t="shared" si="1"/>
        <v>-0.007057875</v>
      </c>
      <c r="J45" s="54">
        <f t="shared" si="2"/>
        <v>-0.007057875</v>
      </c>
      <c r="T45">
        <v>37</v>
      </c>
      <c r="U45" s="54">
        <f t="shared" si="3"/>
        <v>0.00405493013611111</v>
      </c>
      <c r="Y45" s="54">
        <f t="shared" si="4"/>
        <v>0.008808761025</v>
      </c>
    </row>
    <row r="46" spans="1:25">
      <c r="A46">
        <v>38</v>
      </c>
      <c r="B46" s="51">
        <v>44166</v>
      </c>
      <c r="C46" s="52">
        <v>13.06</v>
      </c>
      <c r="D46" s="53">
        <v>-0.0259</v>
      </c>
      <c r="E46" s="50"/>
      <c r="F46" s="54">
        <f t="shared" si="0"/>
        <v>-0.0259</v>
      </c>
      <c r="G46" s="54">
        <f>O$5/12</f>
        <v>0.002057875</v>
      </c>
      <c r="H46" s="54">
        <f t="shared" si="1"/>
        <v>-0.027957875</v>
      </c>
      <c r="J46" s="54">
        <f t="shared" si="2"/>
        <v>-0.027957875</v>
      </c>
      <c r="T46">
        <v>38</v>
      </c>
      <c r="U46" s="54">
        <f t="shared" si="3"/>
        <v>0.00715349446944444</v>
      </c>
      <c r="Y46" s="54">
        <f t="shared" si="4"/>
        <v>0.005322432025</v>
      </c>
    </row>
    <row r="47" spans="1:25">
      <c r="A47">
        <v>39</v>
      </c>
      <c r="B47" s="51">
        <v>44136</v>
      </c>
      <c r="C47" s="52">
        <v>13.4</v>
      </c>
      <c r="D47" s="53">
        <v>0.0692</v>
      </c>
      <c r="E47" s="50"/>
      <c r="F47" s="54">
        <f t="shared" si="0"/>
        <v>0.0692</v>
      </c>
      <c r="G47" s="54">
        <f>O$5/12</f>
        <v>0.002057875</v>
      </c>
      <c r="H47" s="54">
        <f t="shared" si="1"/>
        <v>0.067142125</v>
      </c>
      <c r="J47" s="54" t="str">
        <f t="shared" si="2"/>
        <v/>
      </c>
      <c r="T47">
        <v>39</v>
      </c>
      <c r="U47" s="54">
        <f t="shared" si="3"/>
        <v>0.000110705469444444</v>
      </c>
      <c r="Y47" s="54" t="str">
        <f t="shared" si="4"/>
        <v/>
      </c>
    </row>
    <row r="48" spans="1:25">
      <c r="A48">
        <v>40</v>
      </c>
      <c r="B48" s="51">
        <v>44105</v>
      </c>
      <c r="C48" s="52">
        <v>12.53</v>
      </c>
      <c r="D48" s="53">
        <v>-0.0736</v>
      </c>
      <c r="E48" s="50"/>
      <c r="F48" s="54">
        <f t="shared" si="0"/>
        <v>-0.0736</v>
      </c>
      <c r="G48" s="54">
        <f>O$5/12</f>
        <v>0.002057875</v>
      </c>
      <c r="H48" s="54">
        <f t="shared" si="1"/>
        <v>-0.075657875</v>
      </c>
      <c r="J48" s="54">
        <f t="shared" si="2"/>
        <v>-0.075657875</v>
      </c>
      <c r="T48">
        <v>40</v>
      </c>
      <c r="U48" s="54">
        <f t="shared" si="3"/>
        <v>0.0174975574694444</v>
      </c>
      <c r="Y48" s="54">
        <f t="shared" si="4"/>
        <v>0.000637815025000001</v>
      </c>
    </row>
    <row r="49" spans="1:25">
      <c r="A49">
        <v>41</v>
      </c>
      <c r="B49" s="51">
        <v>44075</v>
      </c>
      <c r="C49" s="52">
        <v>13.53</v>
      </c>
      <c r="D49" s="53">
        <v>0.0117</v>
      </c>
      <c r="E49" s="50"/>
      <c r="F49" s="54">
        <f t="shared" si="0"/>
        <v>0.0117</v>
      </c>
      <c r="G49" s="54">
        <f>O$5/12</f>
        <v>0.002057875</v>
      </c>
      <c r="H49" s="54">
        <f t="shared" si="1"/>
        <v>0.009642125</v>
      </c>
      <c r="J49" s="54" t="str">
        <f t="shared" si="2"/>
        <v/>
      </c>
      <c r="T49">
        <v>41</v>
      </c>
      <c r="U49" s="54">
        <f t="shared" si="3"/>
        <v>0.00220696380277778</v>
      </c>
      <c r="Y49" s="54" t="str">
        <f t="shared" si="4"/>
        <v/>
      </c>
    </row>
    <row r="50" spans="1:25">
      <c r="A50">
        <v>42</v>
      </c>
      <c r="B50" s="51">
        <v>44044</v>
      </c>
      <c r="C50" s="52">
        <v>13.37</v>
      </c>
      <c r="D50" s="53">
        <v>0.26</v>
      </c>
      <c r="E50" s="50"/>
      <c r="F50" s="54">
        <f t="shared" si="0"/>
        <v>0.26</v>
      </c>
      <c r="G50" s="54">
        <f>O$5/12</f>
        <v>0.002057875</v>
      </c>
      <c r="H50" s="54">
        <f t="shared" si="1"/>
        <v>0.257942125</v>
      </c>
      <c r="J50" s="54" t="str">
        <f t="shared" si="2"/>
        <v/>
      </c>
      <c r="T50">
        <v>42</v>
      </c>
      <c r="U50" s="54">
        <f t="shared" si="3"/>
        <v>0.0405304134694444</v>
      </c>
      <c r="Y50" s="54" t="str">
        <f t="shared" si="4"/>
        <v/>
      </c>
    </row>
    <row r="51" spans="1:25">
      <c r="A51">
        <v>43</v>
      </c>
      <c r="B51" s="51">
        <v>44013</v>
      </c>
      <c r="C51" s="52">
        <v>10.61</v>
      </c>
      <c r="D51" s="53">
        <v>0.1176</v>
      </c>
      <c r="E51" s="50"/>
      <c r="F51" s="54">
        <f t="shared" si="0"/>
        <v>0.1176</v>
      </c>
      <c r="G51" s="54">
        <f>O$5/12</f>
        <v>0.002057875</v>
      </c>
      <c r="H51" s="54">
        <f t="shared" si="1"/>
        <v>0.115542125</v>
      </c>
      <c r="J51" s="54" t="str">
        <f t="shared" si="2"/>
        <v/>
      </c>
      <c r="T51">
        <v>43</v>
      </c>
      <c r="U51" s="54">
        <f t="shared" si="3"/>
        <v>0.00347176280277778</v>
      </c>
      <c r="Y51" s="54" t="str">
        <f t="shared" si="4"/>
        <v/>
      </c>
    </row>
    <row r="52" spans="1:25">
      <c r="A52">
        <v>44</v>
      </c>
      <c r="B52" s="51">
        <v>43983</v>
      </c>
      <c r="C52" s="52">
        <v>9.5</v>
      </c>
      <c r="D52" s="53">
        <v>0.0701</v>
      </c>
      <c r="E52" s="50"/>
      <c r="F52" s="54">
        <f t="shared" si="0"/>
        <v>0.0701</v>
      </c>
      <c r="G52" s="54">
        <f>O$5/12</f>
        <v>0.002057875</v>
      </c>
      <c r="H52" s="54">
        <f t="shared" si="1"/>
        <v>0.068042125</v>
      </c>
      <c r="J52" s="54" t="str">
        <f t="shared" si="2"/>
        <v/>
      </c>
      <c r="T52">
        <v>44</v>
      </c>
      <c r="U52" s="54">
        <f t="shared" si="3"/>
        <v>0.000130454469444444</v>
      </c>
      <c r="Y52" s="54" t="str">
        <f t="shared" si="4"/>
        <v/>
      </c>
    </row>
    <row r="53" spans="1:25">
      <c r="A53">
        <v>45</v>
      </c>
      <c r="B53" s="51">
        <v>43952</v>
      </c>
      <c r="C53" s="52">
        <v>8.88</v>
      </c>
      <c r="D53" s="53">
        <v>0.2147</v>
      </c>
      <c r="E53" s="50"/>
      <c r="F53" s="54">
        <f t="shared" si="0"/>
        <v>0.2147</v>
      </c>
      <c r="G53" s="54">
        <f>O$5/12</f>
        <v>0.002057875</v>
      </c>
      <c r="H53" s="54">
        <f t="shared" si="1"/>
        <v>0.212642125</v>
      </c>
      <c r="J53" s="54" t="str">
        <f t="shared" si="2"/>
        <v/>
      </c>
      <c r="T53">
        <v>45</v>
      </c>
      <c r="U53" s="54">
        <f t="shared" si="3"/>
        <v>0.0243427604694444</v>
      </c>
      <c r="Y53" s="54" t="str">
        <f t="shared" si="4"/>
        <v/>
      </c>
    </row>
    <row r="54" spans="1:25">
      <c r="A54">
        <v>46</v>
      </c>
      <c r="B54" s="51">
        <v>43922</v>
      </c>
      <c r="C54" s="52">
        <v>7.31</v>
      </c>
      <c r="D54" s="53">
        <v>0.1088</v>
      </c>
      <c r="E54" s="50"/>
      <c r="F54" s="54">
        <f t="shared" si="0"/>
        <v>0.1088</v>
      </c>
      <c r="G54" s="54">
        <f>O$5/12</f>
        <v>0.002057875</v>
      </c>
      <c r="H54" s="54">
        <f t="shared" si="1"/>
        <v>0.106742125</v>
      </c>
      <c r="J54" s="54" t="str">
        <f t="shared" si="2"/>
        <v/>
      </c>
      <c r="T54">
        <v>46</v>
      </c>
      <c r="U54" s="54">
        <f t="shared" si="3"/>
        <v>0.00251218146944444</v>
      </c>
      <c r="Y54" s="54" t="str">
        <f t="shared" si="4"/>
        <v/>
      </c>
    </row>
    <row r="55" spans="1:25">
      <c r="A55">
        <v>47</v>
      </c>
      <c r="B55" s="51">
        <v>43891</v>
      </c>
      <c r="C55" s="52">
        <v>6.59</v>
      </c>
      <c r="D55" s="53">
        <v>-0.024</v>
      </c>
      <c r="E55" s="50"/>
      <c r="F55" s="54">
        <f t="shared" si="0"/>
        <v>-0.024</v>
      </c>
      <c r="G55" s="54">
        <f>O$5/12</f>
        <v>0.002057875</v>
      </c>
      <c r="H55" s="54">
        <f t="shared" si="1"/>
        <v>-0.026057875</v>
      </c>
      <c r="J55" s="54">
        <f t="shared" si="2"/>
        <v>-0.026057875</v>
      </c>
      <c r="T55">
        <v>47</v>
      </c>
      <c r="U55" s="54">
        <f t="shared" si="3"/>
        <v>0.00683570680277778</v>
      </c>
      <c r="Y55" s="54">
        <f t="shared" si="4"/>
        <v>0.005603271025</v>
      </c>
    </row>
    <row r="56" spans="1:25">
      <c r="A56">
        <v>48</v>
      </c>
      <c r="B56" s="51">
        <v>43862</v>
      </c>
      <c r="C56" s="52">
        <v>6.75</v>
      </c>
      <c r="D56" s="53">
        <v>0.1423</v>
      </c>
      <c r="E56" s="50"/>
      <c r="F56" s="54">
        <f t="shared" si="0"/>
        <v>0.1423</v>
      </c>
      <c r="G56" s="54">
        <f>O$5/12</f>
        <v>0.002057875</v>
      </c>
      <c r="H56" s="54">
        <f t="shared" si="1"/>
        <v>0.140242125</v>
      </c>
      <c r="J56" s="54" t="str">
        <f t="shared" si="2"/>
        <v/>
      </c>
      <c r="T56">
        <v>48</v>
      </c>
      <c r="U56" s="54">
        <f t="shared" si="3"/>
        <v>0.00699258313611112</v>
      </c>
      <c r="Y56" s="54" t="str">
        <f t="shared" si="4"/>
        <v/>
      </c>
    </row>
    <row r="57" spans="1:25">
      <c r="A57">
        <v>49</v>
      </c>
      <c r="B57" s="51">
        <v>43831</v>
      </c>
      <c r="C57" s="52">
        <v>5.91</v>
      </c>
      <c r="D57" s="53">
        <v>0.0048</v>
      </c>
      <c r="E57" s="50"/>
      <c r="F57" s="54">
        <f t="shared" si="0"/>
        <v>0.0048</v>
      </c>
      <c r="G57" s="54">
        <f>O$5/12</f>
        <v>0.002057875</v>
      </c>
      <c r="H57" s="54">
        <f t="shared" si="1"/>
        <v>0.002742125</v>
      </c>
      <c r="J57" s="54" t="str">
        <f t="shared" si="2"/>
        <v/>
      </c>
      <c r="T57">
        <v>49</v>
      </c>
      <c r="U57" s="54">
        <f t="shared" si="3"/>
        <v>0.00290287480277778</v>
      </c>
      <c r="Y57" s="54" t="str">
        <f t="shared" si="4"/>
        <v/>
      </c>
    </row>
    <row r="58" spans="1:25">
      <c r="A58">
        <v>50</v>
      </c>
      <c r="B58" s="51">
        <v>43800</v>
      </c>
      <c r="C58" s="52">
        <v>5.88</v>
      </c>
      <c r="D58" s="53">
        <v>0.0856</v>
      </c>
      <c r="E58" s="50"/>
      <c r="F58" s="54">
        <f t="shared" si="0"/>
        <v>0.0856</v>
      </c>
      <c r="G58" s="54">
        <f>O$5/12</f>
        <v>0.002057875</v>
      </c>
      <c r="H58" s="54">
        <f t="shared" si="1"/>
        <v>0.083542125</v>
      </c>
      <c r="J58" s="54" t="str">
        <f t="shared" si="2"/>
        <v/>
      </c>
      <c r="T58">
        <v>50</v>
      </c>
      <c r="U58" s="54">
        <f t="shared" si="3"/>
        <v>0.000724776136111111</v>
      </c>
      <c r="Y58" s="54" t="str">
        <f t="shared" si="4"/>
        <v/>
      </c>
    </row>
    <row r="59" spans="1:25">
      <c r="A59">
        <v>51</v>
      </c>
      <c r="B59" s="51">
        <v>43770</v>
      </c>
      <c r="C59" s="52">
        <v>5.42</v>
      </c>
      <c r="D59" s="53">
        <v>0.0782</v>
      </c>
      <c r="E59" s="50"/>
      <c r="F59" s="54">
        <f t="shared" si="0"/>
        <v>0.0782</v>
      </c>
      <c r="G59" s="54">
        <f>O$5/12</f>
        <v>0.002057875</v>
      </c>
      <c r="H59" s="54">
        <f t="shared" si="1"/>
        <v>0.076142125</v>
      </c>
      <c r="J59" s="54" t="str">
        <f t="shared" si="2"/>
        <v/>
      </c>
      <c r="T59">
        <v>51</v>
      </c>
      <c r="U59" s="54">
        <f t="shared" si="3"/>
        <v>0.000381095469444445</v>
      </c>
      <c r="Y59" s="54" t="str">
        <f t="shared" si="4"/>
        <v/>
      </c>
    </row>
    <row r="60" spans="1:25">
      <c r="A60">
        <v>52</v>
      </c>
      <c r="B60" s="51">
        <v>43739</v>
      </c>
      <c r="C60" s="52">
        <v>5.03</v>
      </c>
      <c r="D60" s="53">
        <v>0.1548</v>
      </c>
      <c r="E60" s="50"/>
      <c r="F60" s="54">
        <f t="shared" si="0"/>
        <v>0.1548</v>
      </c>
      <c r="G60" s="54">
        <f>O$5/12</f>
        <v>0.002057875</v>
      </c>
      <c r="H60" s="54">
        <f t="shared" si="1"/>
        <v>0.152742125</v>
      </c>
      <c r="J60" s="54" t="str">
        <f t="shared" si="2"/>
        <v/>
      </c>
      <c r="T60">
        <v>52</v>
      </c>
      <c r="U60" s="54">
        <f t="shared" si="3"/>
        <v>0.00923937480277778</v>
      </c>
      <c r="Y60" s="54" t="str">
        <f t="shared" si="4"/>
        <v/>
      </c>
    </row>
    <row r="61" spans="1:25">
      <c r="A61">
        <v>53</v>
      </c>
      <c r="B61" s="51">
        <v>43709</v>
      </c>
      <c r="C61" s="52">
        <v>4.35</v>
      </c>
      <c r="D61" s="53">
        <v>0.0392</v>
      </c>
      <c r="E61" s="50"/>
      <c r="F61" s="54">
        <f t="shared" si="0"/>
        <v>0.0392</v>
      </c>
      <c r="G61" s="54">
        <f>O$5/12</f>
        <v>0.002057875</v>
      </c>
      <c r="H61" s="54">
        <f t="shared" si="1"/>
        <v>0.037142125</v>
      </c>
      <c r="J61" s="54" t="str">
        <f t="shared" si="2"/>
        <v/>
      </c>
      <c r="T61">
        <v>53</v>
      </c>
      <c r="U61" s="54">
        <f t="shared" si="3"/>
        <v>0.000379405469444444</v>
      </c>
      <c r="Y61" s="54" t="str">
        <f t="shared" si="4"/>
        <v/>
      </c>
    </row>
    <row r="62" spans="1:25">
      <c r="A62">
        <v>54</v>
      </c>
      <c r="B62" s="51">
        <v>43678</v>
      </c>
      <c r="C62" s="52">
        <v>4.19</v>
      </c>
      <c r="D62" s="53">
        <v>-0.0072</v>
      </c>
      <c r="E62" s="50"/>
      <c r="F62" s="54">
        <f t="shared" si="0"/>
        <v>-0.0072</v>
      </c>
      <c r="G62" s="54">
        <f>O$5/12</f>
        <v>0.002057875</v>
      </c>
      <c r="H62" s="54">
        <f t="shared" si="1"/>
        <v>-0.009257875</v>
      </c>
      <c r="J62" s="54">
        <f t="shared" si="2"/>
        <v>-0.009257875</v>
      </c>
      <c r="T62">
        <v>54</v>
      </c>
      <c r="U62" s="54">
        <f t="shared" si="3"/>
        <v>0.00433995480277778</v>
      </c>
      <c r="Y62" s="54">
        <f t="shared" si="4"/>
        <v>0.008400639025</v>
      </c>
    </row>
    <row r="63" spans="1:25">
      <c r="A63">
        <v>55</v>
      </c>
      <c r="B63" s="51">
        <v>43647</v>
      </c>
      <c r="C63" s="52">
        <v>4.22</v>
      </c>
      <c r="D63" s="53">
        <v>0.0273</v>
      </c>
      <c r="E63" s="50"/>
      <c r="F63" s="54">
        <f t="shared" si="0"/>
        <v>0.0273</v>
      </c>
      <c r="G63" s="54">
        <f>O$5/12</f>
        <v>0.002057875</v>
      </c>
      <c r="H63" s="54">
        <f t="shared" si="1"/>
        <v>0.025242125</v>
      </c>
      <c r="J63" s="54" t="str">
        <f t="shared" si="2"/>
        <v/>
      </c>
      <c r="T63">
        <v>55</v>
      </c>
      <c r="U63" s="54">
        <f t="shared" si="3"/>
        <v>0.000984599802777777</v>
      </c>
      <c r="Y63" s="54" t="str">
        <f t="shared" si="4"/>
        <v/>
      </c>
    </row>
    <row r="64" spans="1:25">
      <c r="A64">
        <v>56</v>
      </c>
      <c r="B64" s="51">
        <v>43617</v>
      </c>
      <c r="C64" s="52">
        <v>4.11</v>
      </c>
      <c r="D64" s="53">
        <v>0.2124</v>
      </c>
      <c r="E64" s="50"/>
      <c r="F64" s="54">
        <f t="shared" si="0"/>
        <v>0.2124</v>
      </c>
      <c r="G64" s="54">
        <f>O$5/12</f>
        <v>0.002057875</v>
      </c>
      <c r="H64" s="54">
        <f t="shared" si="1"/>
        <v>0.210342125</v>
      </c>
      <c r="J64" s="54" t="str">
        <f t="shared" si="2"/>
        <v/>
      </c>
      <c r="T64">
        <v>56</v>
      </c>
      <c r="U64" s="54">
        <f t="shared" si="3"/>
        <v>0.0236303508027778</v>
      </c>
      <c r="Y64" s="54" t="str">
        <f t="shared" si="4"/>
        <v/>
      </c>
    </row>
    <row r="65" spans="1:25">
      <c r="A65">
        <v>57</v>
      </c>
      <c r="B65" s="51">
        <v>43586</v>
      </c>
      <c r="C65" s="52">
        <v>3.39</v>
      </c>
      <c r="D65" s="53">
        <v>-0.2516</v>
      </c>
      <c r="E65" s="50"/>
      <c r="F65" s="54">
        <f t="shared" si="0"/>
        <v>-0.2516</v>
      </c>
      <c r="G65" s="54">
        <f>O$5/12</f>
        <v>0.002057875</v>
      </c>
      <c r="H65" s="54">
        <f t="shared" si="1"/>
        <v>-0.253657875</v>
      </c>
      <c r="J65" s="54">
        <f t="shared" si="2"/>
        <v>-0.253657875</v>
      </c>
      <c r="T65">
        <v>57</v>
      </c>
      <c r="U65" s="54">
        <f t="shared" si="3"/>
        <v>0.0962726441361111</v>
      </c>
      <c r="Y65" s="54">
        <f t="shared" si="4"/>
        <v>0.023331035025</v>
      </c>
    </row>
    <row r="66" spans="1:25">
      <c r="A66">
        <v>58</v>
      </c>
      <c r="B66" s="51">
        <v>43556</v>
      </c>
      <c r="C66" s="52">
        <v>4.53</v>
      </c>
      <c r="D66" s="53">
        <v>0.008</v>
      </c>
      <c r="E66" s="50"/>
      <c r="F66" s="54">
        <f t="shared" si="0"/>
        <v>0.008</v>
      </c>
      <c r="G66" s="54">
        <f>O$5/12</f>
        <v>0.002057875</v>
      </c>
      <c r="H66" s="54">
        <f t="shared" si="1"/>
        <v>0.005942125</v>
      </c>
      <c r="J66" s="54" t="str">
        <f t="shared" si="2"/>
        <v/>
      </c>
      <c r="T66">
        <v>58</v>
      </c>
      <c r="U66" s="54">
        <f t="shared" si="3"/>
        <v>0.00256829346944444</v>
      </c>
      <c r="Y66" s="54" t="str">
        <f t="shared" si="4"/>
        <v/>
      </c>
    </row>
    <row r="67" spans="1:25">
      <c r="A67">
        <v>59</v>
      </c>
      <c r="B67" s="51">
        <v>43525</v>
      </c>
      <c r="C67" s="52">
        <v>4.49</v>
      </c>
      <c r="D67" s="53">
        <v>0.164</v>
      </c>
      <c r="E67" s="50"/>
      <c r="F67" s="54">
        <f t="shared" si="0"/>
        <v>0.164</v>
      </c>
      <c r="G67" s="54">
        <f>O$5/12</f>
        <v>0.002057875</v>
      </c>
      <c r="H67" s="54">
        <f t="shared" si="1"/>
        <v>0.161942125</v>
      </c>
      <c r="J67" s="54" t="str">
        <f t="shared" si="2"/>
        <v/>
      </c>
      <c r="T67">
        <v>59</v>
      </c>
      <c r="U67" s="54">
        <f t="shared" si="3"/>
        <v>0.0110926534694444</v>
      </c>
      <c r="Y67" s="54" t="str">
        <f t="shared" si="4"/>
        <v/>
      </c>
    </row>
    <row r="68" spans="1:25">
      <c r="A68">
        <v>60</v>
      </c>
      <c r="B68" s="51">
        <v>43497</v>
      </c>
      <c r="C68" s="52">
        <v>3.86</v>
      </c>
      <c r="D68" s="53">
        <v>0.0731</v>
      </c>
      <c r="E68" s="50"/>
      <c r="F68" s="54">
        <f t="shared" si="0"/>
        <v>0.0731</v>
      </c>
      <c r="G68" s="54">
        <f>O$5/12</f>
        <v>0.002057875</v>
      </c>
      <c r="H68" s="54">
        <f t="shared" si="1"/>
        <v>0.071042125</v>
      </c>
      <c r="J68" s="54" t="str">
        <f t="shared" si="2"/>
        <v/>
      </c>
      <c r="T68">
        <v>60</v>
      </c>
      <c r="U68" s="54">
        <f t="shared" si="3"/>
        <v>0.000207984469444444</v>
      </c>
      <c r="Y68" s="54" t="str">
        <f t="shared" si="4"/>
        <v/>
      </c>
    </row>
    <row r="69" spans="5:7">
      <c r="E69" s="50"/>
      <c r="F69" s="50"/>
      <c r="G69" s="54"/>
    </row>
    <row r="70" spans="5:25">
      <c r="E70" s="50"/>
      <c r="F70" s="50"/>
      <c r="G70" s="54"/>
      <c r="U70" s="66">
        <f>SUM(U9:U69)</f>
        <v>1.23137342183333</v>
      </c>
      <c r="Y70" s="66">
        <f>SUM(Y9:Y69)</f>
        <v>0.1610373495</v>
      </c>
    </row>
    <row r="71" spans="2:10">
      <c r="B71" s="63"/>
      <c r="C71" s="64"/>
      <c r="D71" s="65"/>
      <c r="E71" s="50"/>
      <c r="F71" s="50"/>
      <c r="G71" s="50"/>
      <c r="J71" s="54"/>
    </row>
    <row r="72" spans="2:7">
      <c r="B72" s="63"/>
      <c r="C72" s="64"/>
      <c r="D72" s="65"/>
      <c r="E72" s="50"/>
      <c r="F72" s="50"/>
      <c r="G72" s="50"/>
    </row>
    <row r="73" spans="2:7">
      <c r="B73" s="63"/>
      <c r="C73" s="64"/>
      <c r="D73" s="65"/>
      <c r="E73" s="50"/>
      <c r="F73" s="50"/>
      <c r="G73" s="50"/>
    </row>
    <row r="74" spans="2:7">
      <c r="B74" s="63"/>
      <c r="C74" s="64"/>
      <c r="D74" s="65"/>
      <c r="E74" s="50"/>
      <c r="F74" s="50"/>
      <c r="G74" s="50"/>
    </row>
    <row r="75" spans="2:7">
      <c r="B75" s="63"/>
      <c r="C75" s="64"/>
      <c r="D75" s="65"/>
      <c r="E75" s="50"/>
      <c r="F75" s="50"/>
      <c r="G75" s="50"/>
    </row>
    <row r="76" spans="2:7">
      <c r="B76" s="63"/>
      <c r="C76" s="64"/>
      <c r="D76" s="65"/>
      <c r="E76" s="50"/>
      <c r="F76" s="50"/>
      <c r="G76" s="50"/>
    </row>
    <row r="77" spans="2:7">
      <c r="B77" s="63"/>
      <c r="C77" s="64"/>
      <c r="D77" s="65"/>
      <c r="E77" s="50"/>
      <c r="F77" s="50"/>
      <c r="G77" s="50"/>
    </row>
    <row r="78" spans="2:7">
      <c r="B78" s="63"/>
      <c r="C78" s="64"/>
      <c r="D78" s="65"/>
      <c r="E78" s="50"/>
      <c r="F78" s="50"/>
      <c r="G78" s="50"/>
    </row>
    <row r="79" spans="2:7">
      <c r="B79" s="63"/>
      <c r="C79" s="64"/>
      <c r="D79" s="65"/>
      <c r="E79" s="50"/>
      <c r="F79" s="50"/>
      <c r="G79" s="50"/>
    </row>
    <row r="80" spans="2:7">
      <c r="B80" s="63"/>
      <c r="C80" s="64"/>
      <c r="D80" s="65"/>
      <c r="E80" s="50"/>
      <c r="F80" s="50"/>
      <c r="G80" s="50"/>
    </row>
    <row r="81" spans="2:7">
      <c r="B81" s="63"/>
      <c r="C81" s="64"/>
      <c r="D81" s="65"/>
      <c r="E81" s="50"/>
      <c r="F81" s="50"/>
      <c r="G81" s="50"/>
    </row>
    <row r="82" spans="2:7">
      <c r="B82" s="63"/>
      <c r="C82" s="64"/>
      <c r="D82" s="65"/>
      <c r="E82" s="50"/>
      <c r="F82" s="50"/>
      <c r="G82" s="50"/>
    </row>
    <row r="83" spans="2:7">
      <c r="B83" s="63"/>
      <c r="C83" s="64"/>
      <c r="D83" s="65"/>
      <c r="E83" s="50"/>
      <c r="F83" s="50"/>
      <c r="G83" s="50"/>
    </row>
    <row r="84" spans="2:7">
      <c r="B84" s="63"/>
      <c r="C84" s="64"/>
      <c r="D84" s="65"/>
      <c r="E84" s="50"/>
      <c r="F84" s="50"/>
      <c r="G84" s="50"/>
    </row>
    <row r="85" spans="2:7">
      <c r="B85" s="63"/>
      <c r="C85" s="64"/>
      <c r="D85" s="65"/>
      <c r="E85" s="50"/>
      <c r="F85" s="50"/>
      <c r="G85" s="50"/>
    </row>
    <row r="86" spans="2:7">
      <c r="B86" s="63"/>
      <c r="C86" s="64"/>
      <c r="D86" s="65"/>
      <c r="E86" s="50"/>
      <c r="F86" s="50"/>
      <c r="G86" s="50"/>
    </row>
    <row r="87" spans="2:7">
      <c r="B87" s="63"/>
      <c r="C87" s="64"/>
      <c r="D87" s="65"/>
      <c r="E87" s="50"/>
      <c r="F87" s="50"/>
      <c r="G87" s="50"/>
    </row>
    <row r="88" spans="2:7">
      <c r="B88" s="63"/>
      <c r="C88" s="64"/>
      <c r="D88" s="65"/>
      <c r="E88" s="50"/>
      <c r="F88" s="50"/>
      <c r="G88" s="50"/>
    </row>
    <row r="89" spans="2:7">
      <c r="B89" s="63"/>
      <c r="C89" s="64"/>
      <c r="D89" s="65"/>
      <c r="E89" s="50"/>
      <c r="F89" s="50"/>
      <c r="G89" s="50"/>
    </row>
    <row r="90" spans="2:7">
      <c r="B90" s="63"/>
      <c r="C90" s="64"/>
      <c r="D90" s="65"/>
      <c r="E90" s="50"/>
      <c r="F90" s="50"/>
      <c r="G90" s="50"/>
    </row>
    <row r="91" spans="2:7">
      <c r="B91" s="63"/>
      <c r="C91" s="64"/>
      <c r="D91" s="65"/>
      <c r="E91" s="50"/>
      <c r="F91" s="50"/>
      <c r="G91" s="50"/>
    </row>
    <row r="92" spans="2:7">
      <c r="B92" s="63"/>
      <c r="C92" s="64"/>
      <c r="D92" s="65"/>
      <c r="E92" s="50"/>
      <c r="F92" s="50"/>
      <c r="G92" s="50"/>
    </row>
    <row r="93" spans="2:7">
      <c r="B93" s="63"/>
      <c r="C93" s="64"/>
      <c r="D93" s="65"/>
      <c r="E93" s="50"/>
      <c r="F93" s="50"/>
      <c r="G93" s="50"/>
    </row>
    <row r="94" spans="2:7">
      <c r="B94" s="63"/>
      <c r="C94" s="64"/>
      <c r="D94" s="65"/>
      <c r="E94" s="50"/>
      <c r="F94" s="50"/>
      <c r="G94" s="50"/>
    </row>
    <row r="95" spans="2:7">
      <c r="B95" s="63"/>
      <c r="C95" s="64"/>
      <c r="D95" s="65"/>
      <c r="E95" s="50"/>
      <c r="F95" s="50"/>
      <c r="G95" s="50"/>
    </row>
    <row r="96" spans="2:7">
      <c r="B96" s="63"/>
      <c r="C96" s="64"/>
      <c r="D96" s="65"/>
      <c r="E96" s="50"/>
      <c r="F96" s="50"/>
      <c r="G96" s="50"/>
    </row>
    <row r="97" spans="2:7">
      <c r="B97" s="63"/>
      <c r="C97" s="64"/>
      <c r="D97" s="65"/>
      <c r="E97" s="50"/>
      <c r="F97" s="50"/>
      <c r="G97" s="50"/>
    </row>
    <row r="98" spans="2:7">
      <c r="B98" s="63"/>
      <c r="C98" s="64"/>
      <c r="D98" s="65"/>
      <c r="E98" s="50"/>
      <c r="F98" s="50"/>
      <c r="G98" s="50"/>
    </row>
    <row r="99" spans="2:7">
      <c r="B99" s="63"/>
      <c r="C99" s="64"/>
      <c r="D99" s="65"/>
      <c r="E99" s="50"/>
      <c r="F99" s="50"/>
      <c r="G99" s="50"/>
    </row>
    <row r="100" spans="2:7">
      <c r="B100" s="63"/>
      <c r="C100" s="64"/>
      <c r="D100" s="65"/>
      <c r="E100" s="50"/>
      <c r="F100" s="50"/>
      <c r="G100" s="50"/>
    </row>
    <row r="101" spans="2:7">
      <c r="B101" s="63"/>
      <c r="C101" s="64"/>
      <c r="D101" s="65"/>
      <c r="E101" s="50"/>
      <c r="F101" s="50"/>
      <c r="G101" s="50"/>
    </row>
    <row r="102" spans="2:7">
      <c r="B102" s="63"/>
      <c r="C102" s="64"/>
      <c r="D102" s="65"/>
      <c r="E102" s="50"/>
      <c r="F102" s="50"/>
      <c r="G102" s="50"/>
    </row>
    <row r="103" spans="2:7">
      <c r="B103" s="63"/>
      <c r="C103" s="64"/>
      <c r="D103" s="65"/>
      <c r="E103" s="50"/>
      <c r="F103" s="50"/>
      <c r="G103" s="50"/>
    </row>
    <row r="104" spans="2:7">
      <c r="B104" s="63"/>
      <c r="C104" s="64"/>
      <c r="D104" s="65"/>
      <c r="E104" s="50"/>
      <c r="F104" s="50"/>
      <c r="G104" s="50"/>
    </row>
    <row r="105" spans="2:7">
      <c r="B105" s="63"/>
      <c r="C105" s="64"/>
      <c r="D105" s="65"/>
      <c r="E105" s="50"/>
      <c r="F105" s="50"/>
      <c r="G105" s="50"/>
    </row>
    <row r="106" spans="2:7">
      <c r="B106" s="63"/>
      <c r="C106" s="64"/>
      <c r="D106" s="65"/>
      <c r="E106" s="50"/>
      <c r="F106" s="50"/>
      <c r="G106" s="50"/>
    </row>
    <row r="107" spans="2:7">
      <c r="B107" s="63"/>
      <c r="C107" s="64"/>
      <c r="D107" s="65"/>
      <c r="E107" s="50"/>
      <c r="F107" s="50"/>
      <c r="G107" s="50"/>
    </row>
    <row r="108" spans="2:7">
      <c r="B108" s="63"/>
      <c r="C108" s="64"/>
      <c r="D108" s="65"/>
      <c r="E108" s="50"/>
      <c r="F108" s="50"/>
      <c r="G108" s="50"/>
    </row>
    <row r="109" spans="2:7">
      <c r="B109" s="63"/>
      <c r="C109" s="64"/>
      <c r="D109" s="65"/>
      <c r="E109" s="50"/>
      <c r="F109" s="50"/>
      <c r="G109" s="50"/>
    </row>
    <row r="110" spans="2:7">
      <c r="B110" s="63"/>
      <c r="C110" s="64"/>
      <c r="D110" s="65"/>
      <c r="E110" s="50"/>
      <c r="F110" s="50"/>
      <c r="G110" s="50"/>
    </row>
    <row r="111" spans="2:7">
      <c r="B111" s="63"/>
      <c r="C111" s="64"/>
      <c r="D111" s="65"/>
      <c r="E111" s="50"/>
      <c r="F111" s="50"/>
      <c r="G111" s="50"/>
    </row>
    <row r="112" spans="2:7">
      <c r="B112" s="63"/>
      <c r="C112" s="64"/>
      <c r="D112" s="65"/>
      <c r="E112" s="50"/>
      <c r="F112" s="50"/>
      <c r="G112" s="50"/>
    </row>
    <row r="113" spans="2:7">
      <c r="B113" s="63"/>
      <c r="C113" s="64"/>
      <c r="D113" s="65"/>
      <c r="E113" s="50"/>
      <c r="F113" s="50"/>
      <c r="G113" s="50"/>
    </row>
    <row r="114" spans="2:7">
      <c r="B114" s="63"/>
      <c r="C114" s="64"/>
      <c r="D114" s="65"/>
      <c r="E114" s="50"/>
      <c r="F114" s="50"/>
      <c r="G114" s="50"/>
    </row>
    <row r="115" spans="2:7">
      <c r="B115" s="63"/>
      <c r="C115" s="64"/>
      <c r="D115" s="65"/>
      <c r="E115" s="50"/>
      <c r="F115" s="50"/>
      <c r="G115" s="50"/>
    </row>
    <row r="116" spans="2:7">
      <c r="B116" s="63"/>
      <c r="C116" s="64"/>
      <c r="D116" s="65"/>
      <c r="E116" s="50"/>
      <c r="F116" s="50"/>
      <c r="G116" s="50"/>
    </row>
    <row r="117" spans="2:7">
      <c r="B117" s="63"/>
      <c r="C117" s="64"/>
      <c r="D117" s="65"/>
      <c r="E117" s="50"/>
      <c r="F117" s="50"/>
      <c r="G117" s="50"/>
    </row>
    <row r="118" spans="2:7">
      <c r="B118" s="63"/>
      <c r="C118" s="64"/>
      <c r="D118" s="65"/>
      <c r="E118" s="50"/>
      <c r="F118" s="50"/>
      <c r="G118" s="50"/>
    </row>
    <row r="119" spans="2:7">
      <c r="B119" s="63"/>
      <c r="C119" s="64"/>
      <c r="D119" s="65"/>
      <c r="E119" s="50"/>
      <c r="F119" s="50"/>
      <c r="G119" s="50"/>
    </row>
    <row r="120" spans="2:7">
      <c r="B120" s="63"/>
      <c r="C120" s="64"/>
      <c r="D120" s="65"/>
      <c r="E120" s="50"/>
      <c r="F120" s="50"/>
      <c r="G120" s="50"/>
    </row>
    <row r="121" spans="2:7">
      <c r="B121" s="63"/>
      <c r="C121" s="64"/>
      <c r="D121" s="65"/>
      <c r="E121" s="50"/>
      <c r="F121" s="50"/>
      <c r="G121" s="50"/>
    </row>
    <row r="122" spans="2:7">
      <c r="B122" s="63"/>
      <c r="C122" s="64"/>
      <c r="D122" s="65"/>
      <c r="E122" s="50"/>
      <c r="F122" s="50"/>
      <c r="G122" s="50"/>
    </row>
    <row r="123" spans="2:7">
      <c r="B123" s="63"/>
      <c r="C123" s="64"/>
      <c r="D123" s="65"/>
      <c r="E123" s="50"/>
      <c r="F123" s="50"/>
      <c r="G123" s="50"/>
    </row>
    <row r="124" spans="2:7">
      <c r="B124" s="63"/>
      <c r="C124" s="64"/>
      <c r="D124" s="65"/>
      <c r="E124" s="50"/>
      <c r="F124" s="50"/>
      <c r="G124" s="50"/>
    </row>
    <row r="125" spans="2:7">
      <c r="B125" s="63"/>
      <c r="C125" s="64"/>
      <c r="D125" s="65"/>
      <c r="E125" s="50"/>
      <c r="F125" s="50"/>
      <c r="G125" s="50"/>
    </row>
    <row r="126" spans="2:7">
      <c r="B126" s="63"/>
      <c r="C126" s="64"/>
      <c r="D126" s="65"/>
      <c r="E126" s="50"/>
      <c r="F126" s="50"/>
      <c r="G126" s="50"/>
    </row>
    <row r="127" spans="2:7">
      <c r="B127" s="63"/>
      <c r="C127" s="64"/>
      <c r="D127" s="65"/>
      <c r="E127" s="50"/>
      <c r="F127" s="50"/>
      <c r="G127" s="50"/>
    </row>
    <row r="128" spans="2:7">
      <c r="B128" s="63"/>
      <c r="C128" s="64"/>
      <c r="D128" s="65"/>
      <c r="E128" s="50"/>
      <c r="F128" s="50"/>
      <c r="G128" s="50"/>
    </row>
    <row r="129" spans="2:7">
      <c r="B129" s="63"/>
      <c r="C129" s="64"/>
      <c r="D129" s="65"/>
      <c r="E129" s="50"/>
      <c r="F129" s="50"/>
      <c r="G129" s="50"/>
    </row>
    <row r="130" spans="2:7">
      <c r="B130" s="63"/>
      <c r="C130" s="64"/>
      <c r="D130" s="65"/>
      <c r="E130" s="50"/>
      <c r="F130" s="50"/>
      <c r="G130" s="50"/>
    </row>
    <row r="131" spans="2:7">
      <c r="B131" s="63"/>
      <c r="C131" s="64"/>
      <c r="D131" s="65"/>
      <c r="E131" s="50"/>
      <c r="F131" s="50"/>
      <c r="G131" s="50"/>
    </row>
    <row r="132" spans="2:7">
      <c r="B132" s="63"/>
      <c r="C132" s="64"/>
      <c r="D132" s="65"/>
      <c r="E132" s="50"/>
      <c r="F132" s="50"/>
      <c r="G132" s="50"/>
    </row>
    <row r="133" spans="2:7">
      <c r="B133" s="63"/>
      <c r="C133" s="64"/>
      <c r="D133" s="65"/>
      <c r="E133" s="50"/>
      <c r="F133" s="50"/>
      <c r="G133" s="50"/>
    </row>
    <row r="134" spans="2:7">
      <c r="B134" s="63"/>
      <c r="C134" s="64"/>
      <c r="D134" s="65"/>
      <c r="E134" s="50"/>
      <c r="F134" s="50"/>
      <c r="G134" s="50"/>
    </row>
    <row r="135" spans="2:7">
      <c r="B135" s="63"/>
      <c r="C135" s="64"/>
      <c r="D135" s="65"/>
      <c r="E135" s="50"/>
      <c r="F135" s="50"/>
      <c r="G135" s="50"/>
    </row>
    <row r="136" spans="2:7">
      <c r="B136" s="63"/>
      <c r="C136" s="64"/>
      <c r="D136" s="65"/>
      <c r="E136" s="50"/>
      <c r="F136" s="50"/>
      <c r="G136" s="50"/>
    </row>
    <row r="137" spans="2:7">
      <c r="B137" s="63"/>
      <c r="C137" s="64"/>
      <c r="D137" s="65"/>
      <c r="E137" s="50"/>
      <c r="F137" s="50"/>
      <c r="G137" s="50"/>
    </row>
    <row r="138" spans="2:7">
      <c r="B138" s="63"/>
      <c r="C138" s="64"/>
      <c r="D138" s="65"/>
      <c r="E138" s="50"/>
      <c r="F138" s="50"/>
      <c r="G138" s="50"/>
    </row>
    <row r="139" spans="2:7">
      <c r="B139" s="63"/>
      <c r="C139" s="64"/>
      <c r="D139" s="65"/>
      <c r="E139" s="50"/>
      <c r="F139" s="50"/>
      <c r="G139" s="50"/>
    </row>
    <row r="140" spans="2:7">
      <c r="B140" s="63"/>
      <c r="C140" s="64"/>
      <c r="D140" s="65"/>
      <c r="E140" s="50"/>
      <c r="F140" s="50"/>
      <c r="G140" s="50"/>
    </row>
    <row r="141" spans="2:7">
      <c r="B141" s="63"/>
      <c r="C141" s="64"/>
      <c r="D141" s="65"/>
      <c r="E141" s="50"/>
      <c r="F141" s="50"/>
      <c r="G141" s="50"/>
    </row>
    <row r="142" spans="2:7">
      <c r="B142" s="63"/>
      <c r="C142" s="64"/>
      <c r="D142" s="65"/>
      <c r="E142" s="50"/>
      <c r="F142" s="50"/>
      <c r="G142" s="50"/>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C37"/>
  <sheetViews>
    <sheetView workbookViewId="0">
      <pane xSplit="4" ySplit="3" topLeftCell="E4" activePane="bottomRight" state="frozen"/>
      <selection/>
      <selection pane="topRight"/>
      <selection pane="bottomLeft"/>
      <selection pane="bottomRight" activeCell="A1" sqref="A1"/>
    </sheetView>
    <sheetView workbookViewId="1">
      <pane xSplit="4" ySplit="4" topLeftCell="K5" activePane="bottomRight" state="frozen"/>
      <selection/>
      <selection pane="topRight"/>
      <selection pane="bottomLeft"/>
      <selection pane="bottomRight" activeCell="AC22" sqref="AC22"/>
    </sheetView>
  </sheetViews>
  <sheetFormatPr defaultColWidth="9.14285714285714" defaultRowHeight="15"/>
  <cols>
    <col min="2" max="3" width="6.28571428571429" customWidth="1"/>
    <col min="4" max="4" width="39.7142857142857" customWidth="1"/>
    <col min="5" max="5" width="9.14285714285714" style="5"/>
    <col min="6" max="6" width="11.7142857142857" style="6"/>
    <col min="7" max="15" width="10.5714285714286" style="6"/>
    <col min="16" max="16" width="10.5714285714286" style="7"/>
    <col min="17" max="17" width="10.5714285714286" style="5"/>
    <col min="18" max="23" width="10.5714285714286"/>
    <col min="24" max="26" width="10.2857142857143" customWidth="1"/>
    <col min="27" max="27" width="11.7142857142857"/>
  </cols>
  <sheetData>
    <row r="1" spans="6:16">
      <c r="F1" s="8" t="s">
        <v>31</v>
      </c>
      <c r="G1" s="5"/>
      <c r="H1" s="5"/>
      <c r="I1" s="5"/>
      <c r="J1" s="5"/>
      <c r="K1" s="5"/>
      <c r="L1" s="5"/>
      <c r="M1" s="5"/>
      <c r="N1" s="5"/>
      <c r="O1" s="5"/>
      <c r="P1" s="33"/>
    </row>
    <row r="2" s="4" customFormat="1" spans="5:17">
      <c r="E2" s="9"/>
      <c r="F2" s="9" t="s">
        <v>32</v>
      </c>
      <c r="G2" s="9"/>
      <c r="H2" s="9"/>
      <c r="I2" s="9"/>
      <c r="J2" s="9"/>
      <c r="K2" s="9"/>
      <c r="L2" s="9"/>
      <c r="M2" s="9"/>
      <c r="N2" s="9"/>
      <c r="O2" s="9"/>
      <c r="P2" s="34"/>
      <c r="Q2" s="9"/>
    </row>
    <row r="3" s="4" customFormat="1" spans="5:29">
      <c r="E3" s="9"/>
      <c r="F3" s="9">
        <v>2014</v>
      </c>
      <c r="G3" s="9">
        <v>2015</v>
      </c>
      <c r="H3" s="9">
        <v>2016</v>
      </c>
      <c r="I3" s="9">
        <v>2017</v>
      </c>
      <c r="J3" s="9">
        <v>2018</v>
      </c>
      <c r="K3" s="9">
        <v>2019</v>
      </c>
      <c r="L3" s="9">
        <v>2020</v>
      </c>
      <c r="M3" s="9">
        <v>2021</v>
      </c>
      <c r="N3" s="9">
        <v>2022</v>
      </c>
      <c r="O3" s="9">
        <v>2023</v>
      </c>
      <c r="P3" s="34">
        <v>2024</v>
      </c>
      <c r="Q3" s="9">
        <v>2025</v>
      </c>
      <c r="R3" s="9">
        <v>2026</v>
      </c>
      <c r="S3" s="9">
        <v>2027</v>
      </c>
      <c r="T3" s="9">
        <v>2028</v>
      </c>
      <c r="U3" s="9">
        <v>2029</v>
      </c>
      <c r="V3" s="9">
        <v>2030</v>
      </c>
      <c r="W3" s="9">
        <v>2031</v>
      </c>
      <c r="X3" s="9">
        <v>2032</v>
      </c>
      <c r="Y3" s="9">
        <v>2033</v>
      </c>
      <c r="Z3" s="9">
        <v>2034</v>
      </c>
      <c r="AA3" s="9">
        <v>2035</v>
      </c>
      <c r="AC3" s="4" t="s">
        <v>7</v>
      </c>
    </row>
    <row r="6" spans="20:22">
      <c r="T6" s="41" t="s">
        <v>206</v>
      </c>
      <c r="U6" s="42">
        <f>FS!R65</f>
        <v>35.2882619702278</v>
      </c>
      <c r="V6" t="s">
        <v>207</v>
      </c>
    </row>
    <row r="7" ht="15.75" spans="2:2">
      <c r="B7" s="10" t="s">
        <v>64</v>
      </c>
    </row>
    <row r="8" spans="2:27">
      <c r="B8" t="s">
        <v>65</v>
      </c>
      <c r="F8" s="6">
        <v>4130</v>
      </c>
      <c r="G8" s="6">
        <v>4682</v>
      </c>
      <c r="H8" s="6">
        <v>5010</v>
      </c>
      <c r="I8" s="6">
        <v>6910</v>
      </c>
      <c r="J8" s="6">
        <v>9714</v>
      </c>
      <c r="K8" s="6">
        <v>11716</v>
      </c>
      <c r="L8" s="6">
        <v>10918</v>
      </c>
      <c r="M8" s="6">
        <v>16675</v>
      </c>
      <c r="N8" s="6">
        <v>26914</v>
      </c>
      <c r="O8" s="6">
        <v>26974</v>
      </c>
      <c r="P8" s="7">
        <v>60922</v>
      </c>
      <c r="Q8" s="6">
        <f>P8*(1+$U6/100)</f>
        <v>82420.3149575022</v>
      </c>
      <c r="R8" s="6">
        <f>Q8*(1+$U6/100)</f>
        <v>111505.011616392</v>
      </c>
      <c r="S8" s="6">
        <f t="shared" ref="S8:AA8" si="0">R8*(1+$U6/100)</f>
        <v>150853.192225518</v>
      </c>
      <c r="T8" s="6">
        <f t="shared" si="0"/>
        <v>204086.66188851</v>
      </c>
      <c r="U8" s="6">
        <f t="shared" si="0"/>
        <v>276105.29778202</v>
      </c>
      <c r="V8" s="6">
        <f t="shared" si="0"/>
        <v>373538.058577017</v>
      </c>
      <c r="W8" s="6">
        <f t="shared" si="0"/>
        <v>505353.147246178</v>
      </c>
      <c r="X8" s="6">
        <f t="shared" si="0"/>
        <v>683683.489721201</v>
      </c>
      <c r="Y8" s="6">
        <f t="shared" si="0"/>
        <v>924943.510621214</v>
      </c>
      <c r="Z8" s="6">
        <f t="shared" si="0"/>
        <v>1251339.99972585</v>
      </c>
      <c r="AA8" s="6">
        <f t="shared" si="0"/>
        <v>1692916.13696736</v>
      </c>
    </row>
    <row r="9" spans="2:27">
      <c r="B9" t="s">
        <v>66</v>
      </c>
      <c r="F9" s="6">
        <v>1862</v>
      </c>
      <c r="G9" s="6">
        <v>2083</v>
      </c>
      <c r="H9" s="6">
        <v>2199</v>
      </c>
      <c r="I9" s="6">
        <v>2847</v>
      </c>
      <c r="J9" s="6">
        <v>3892</v>
      </c>
      <c r="K9" s="6">
        <v>4545</v>
      </c>
      <c r="L9" s="6">
        <v>4150</v>
      </c>
      <c r="M9" s="6">
        <v>6279</v>
      </c>
      <c r="N9" s="6">
        <v>9439</v>
      </c>
      <c r="O9" s="6">
        <v>11618</v>
      </c>
      <c r="P9" s="7">
        <v>16621</v>
      </c>
      <c r="Q9" s="6">
        <f>Q8-Q10</f>
        <v>32564.7862325638</v>
      </c>
      <c r="R9" s="6">
        <f t="shared" ref="R9:AA9" si="1">R8-R10</f>
        <v>44056.3333083556</v>
      </c>
      <c r="S9" s="6">
        <f t="shared" si="1"/>
        <v>59603.0476206848</v>
      </c>
      <c r="T9" s="6">
        <f t="shared" si="1"/>
        <v>80635.9272073117</v>
      </c>
      <c r="U9" s="6">
        <f t="shared" si="1"/>
        <v>109090.94444235</v>
      </c>
      <c r="V9" s="6">
        <f t="shared" si="1"/>
        <v>147587.242702962</v>
      </c>
      <c r="W9" s="6">
        <f t="shared" si="1"/>
        <v>199668.21554262</v>
      </c>
      <c r="X9" s="6">
        <f t="shared" si="1"/>
        <v>270127.658514578</v>
      </c>
      <c r="Y9" s="6">
        <f t="shared" si="1"/>
        <v>365451.014305245</v>
      </c>
      <c r="Z9" s="6">
        <f t="shared" si="1"/>
        <v>494412.325606135</v>
      </c>
      <c r="AA9" s="6">
        <f t="shared" si="1"/>
        <v>668881.842279123</v>
      </c>
    </row>
    <row r="10" spans="2:27">
      <c r="B10" t="s">
        <v>67</v>
      </c>
      <c r="F10" s="11">
        <f t="shared" ref="F10:P10" si="2">F8-F9</f>
        <v>2268</v>
      </c>
      <c r="G10" s="11">
        <f t="shared" si="2"/>
        <v>2599</v>
      </c>
      <c r="H10" s="11">
        <f t="shared" si="2"/>
        <v>2811</v>
      </c>
      <c r="I10" s="11">
        <f t="shared" si="2"/>
        <v>4063</v>
      </c>
      <c r="J10" s="11">
        <f t="shared" si="2"/>
        <v>5822</v>
      </c>
      <c r="K10" s="11">
        <f t="shared" si="2"/>
        <v>7171</v>
      </c>
      <c r="L10" s="11">
        <f t="shared" si="2"/>
        <v>6768</v>
      </c>
      <c r="M10" s="11">
        <f t="shared" si="2"/>
        <v>10396</v>
      </c>
      <c r="N10" s="11">
        <f t="shared" si="2"/>
        <v>17475</v>
      </c>
      <c r="O10" s="11">
        <f t="shared" si="2"/>
        <v>15356</v>
      </c>
      <c r="P10" s="35">
        <f t="shared" si="2"/>
        <v>44301</v>
      </c>
      <c r="Q10" s="11">
        <f>Q8*($Q11/100)</f>
        <v>49855.5287249384</v>
      </c>
      <c r="R10" s="11">
        <f>R8*($Q11/100)</f>
        <v>67448.6783080368</v>
      </c>
      <c r="S10" s="11">
        <f t="shared" ref="S10:AA10" si="3">S8*($Q11/100)</f>
        <v>91250.1446048331</v>
      </c>
      <c r="T10" s="11">
        <f t="shared" si="3"/>
        <v>123450.734681198</v>
      </c>
      <c r="U10" s="11">
        <f t="shared" si="3"/>
        <v>167014.35333967</v>
      </c>
      <c r="V10" s="11">
        <f t="shared" si="3"/>
        <v>225950.815874055</v>
      </c>
      <c r="W10" s="11">
        <f t="shared" si="3"/>
        <v>305684.931703559</v>
      </c>
      <c r="X10" s="11">
        <f t="shared" si="3"/>
        <v>413555.831206623</v>
      </c>
      <c r="Y10" s="11">
        <f t="shared" si="3"/>
        <v>559492.496315969</v>
      </c>
      <c r="Z10" s="11">
        <f t="shared" si="3"/>
        <v>756927.674119715</v>
      </c>
      <c r="AA10" s="11">
        <f t="shared" si="3"/>
        <v>1024034.29468823</v>
      </c>
    </row>
    <row r="11" ht="15.75" spans="2:17">
      <c r="B11" s="12"/>
      <c r="C11" s="13" t="s">
        <v>68</v>
      </c>
      <c r="D11" s="14"/>
      <c r="E11" s="15"/>
      <c r="F11" s="16">
        <f t="shared" ref="F11:P11" si="4">IFERROR(F10/F8*100,0)</f>
        <v>54.9152542372881</v>
      </c>
      <c r="G11" s="16">
        <f t="shared" si="4"/>
        <v>55.5104656129859</v>
      </c>
      <c r="H11" s="16">
        <f t="shared" si="4"/>
        <v>56.1077844311377</v>
      </c>
      <c r="I11" s="16">
        <f t="shared" si="4"/>
        <v>58.7988422575977</v>
      </c>
      <c r="J11" s="16">
        <f t="shared" si="4"/>
        <v>59.9341157092856</v>
      </c>
      <c r="K11" s="16">
        <f t="shared" si="4"/>
        <v>61.2068965517241</v>
      </c>
      <c r="L11" s="16">
        <f t="shared" si="4"/>
        <v>61.9893753434695</v>
      </c>
      <c r="M11" s="16">
        <f t="shared" si="4"/>
        <v>62.3448275862069</v>
      </c>
      <c r="N11" s="16">
        <f t="shared" si="4"/>
        <v>64.9290332169131</v>
      </c>
      <c r="O11" s="16">
        <f t="shared" si="4"/>
        <v>56.9288944909913</v>
      </c>
      <c r="P11" s="36">
        <f t="shared" si="4"/>
        <v>72.717573290437</v>
      </c>
      <c r="Q11" s="43">
        <f>AVERAGE(E11:P11)</f>
        <v>60.4893693389124</v>
      </c>
    </row>
    <row r="13" spans="2:16">
      <c r="B13" t="s">
        <v>69</v>
      </c>
      <c r="F13" s="6">
        <v>1336</v>
      </c>
      <c r="G13" s="6">
        <v>1360</v>
      </c>
      <c r="H13" s="6">
        <v>1331</v>
      </c>
      <c r="I13" s="6">
        <v>1463</v>
      </c>
      <c r="J13" s="6">
        <v>1797</v>
      </c>
      <c r="K13" s="6">
        <v>2376</v>
      </c>
      <c r="L13" s="6">
        <v>2829</v>
      </c>
      <c r="M13" s="6">
        <v>3924</v>
      </c>
      <c r="N13" s="6">
        <v>5268</v>
      </c>
      <c r="O13" s="6">
        <v>7339</v>
      </c>
      <c r="P13" s="7">
        <v>8675</v>
      </c>
    </row>
    <row r="14" spans="2:16">
      <c r="B14" t="s">
        <v>70</v>
      </c>
      <c r="F14" s="6">
        <v>436</v>
      </c>
      <c r="G14" s="6">
        <v>480</v>
      </c>
      <c r="H14" s="6">
        <v>602</v>
      </c>
      <c r="I14" s="6">
        <v>663</v>
      </c>
      <c r="J14" s="6">
        <v>815</v>
      </c>
      <c r="K14" s="6">
        <v>991</v>
      </c>
      <c r="L14" s="6">
        <v>1093</v>
      </c>
      <c r="M14" s="6">
        <v>1940</v>
      </c>
      <c r="N14" s="6">
        <v>2166</v>
      </c>
      <c r="O14" s="6">
        <f>2440</f>
        <v>2440</v>
      </c>
      <c r="P14" s="7">
        <v>2654</v>
      </c>
    </row>
    <row r="15" spans="2:16">
      <c r="B15" t="s">
        <v>71</v>
      </c>
      <c r="F15" s="6">
        <v>0</v>
      </c>
      <c r="G15" s="6">
        <v>0</v>
      </c>
      <c r="H15" s="6">
        <v>131</v>
      </c>
      <c r="I15" s="6">
        <v>3</v>
      </c>
      <c r="J15" s="6">
        <v>0</v>
      </c>
      <c r="K15" s="6">
        <v>0</v>
      </c>
      <c r="L15" s="6">
        <v>0</v>
      </c>
      <c r="M15" s="6">
        <v>0</v>
      </c>
      <c r="N15" s="6">
        <v>0</v>
      </c>
      <c r="O15" s="6">
        <v>0</v>
      </c>
      <c r="P15" s="7">
        <v>0</v>
      </c>
    </row>
    <row r="16" spans="2:16">
      <c r="B16" t="s">
        <v>72</v>
      </c>
      <c r="F16" s="6">
        <v>0</v>
      </c>
      <c r="G16" s="6">
        <v>0</v>
      </c>
      <c r="H16" s="6">
        <v>0</v>
      </c>
      <c r="I16" s="6">
        <v>0</v>
      </c>
      <c r="J16" s="6">
        <v>0</v>
      </c>
      <c r="K16" s="6">
        <v>0</v>
      </c>
      <c r="L16" s="6">
        <v>0</v>
      </c>
      <c r="M16" s="6">
        <v>0</v>
      </c>
      <c r="N16" s="6">
        <v>0</v>
      </c>
      <c r="O16" s="6">
        <v>1353</v>
      </c>
      <c r="P16" s="7">
        <v>0</v>
      </c>
    </row>
    <row r="17" spans="2:27">
      <c r="B17" t="s">
        <v>73</v>
      </c>
      <c r="F17" s="11">
        <f t="shared" ref="F17:P17" si="5">SUM(F13:F16)</f>
        <v>1772</v>
      </c>
      <c r="G17" s="11">
        <f t="shared" si="5"/>
        <v>1840</v>
      </c>
      <c r="H17" s="11">
        <f t="shared" si="5"/>
        <v>2064</v>
      </c>
      <c r="I17" s="11">
        <f t="shared" si="5"/>
        <v>2129</v>
      </c>
      <c r="J17" s="11">
        <f t="shared" si="5"/>
        <v>2612</v>
      </c>
      <c r="K17" s="11">
        <f t="shared" si="5"/>
        <v>3367</v>
      </c>
      <c r="L17" s="11">
        <f t="shared" si="5"/>
        <v>3922</v>
      </c>
      <c r="M17" s="11">
        <f t="shared" si="5"/>
        <v>5864</v>
      </c>
      <c r="N17" s="11">
        <f t="shared" si="5"/>
        <v>7434</v>
      </c>
      <c r="O17" s="11">
        <f t="shared" si="5"/>
        <v>11132</v>
      </c>
      <c r="P17" s="35">
        <f t="shared" si="5"/>
        <v>11329</v>
      </c>
      <c r="Q17" s="11">
        <f>Q10-Q19</f>
        <v>27604.5026682088</v>
      </c>
      <c r="R17" s="11">
        <f t="shared" ref="R17:AA17" si="6">R10-R19</f>
        <v>37345.6518853449</v>
      </c>
      <c r="S17" s="11">
        <f t="shared" si="6"/>
        <v>50524.2833571347</v>
      </c>
      <c r="T17" s="11">
        <f t="shared" si="6"/>
        <v>68353.4248267806</v>
      </c>
      <c r="U17" s="11">
        <f t="shared" si="6"/>
        <v>92474.1604452777</v>
      </c>
      <c r="V17" s="11">
        <f t="shared" si="6"/>
        <v>125106.684437976</v>
      </c>
      <c r="W17" s="11">
        <f t="shared" si="6"/>
        <v>169254.658984715</v>
      </c>
      <c r="X17" s="11">
        <f t="shared" si="6"/>
        <v>228981.686444057</v>
      </c>
      <c r="Y17" s="11">
        <f t="shared" si="6"/>
        <v>309785.343820282</v>
      </c>
      <c r="Z17" s="11">
        <f t="shared" si="6"/>
        <v>419103.207492954</v>
      </c>
      <c r="AA17" s="11">
        <f t="shared" si="6"/>
        <v>566997.445278695</v>
      </c>
    </row>
    <row r="19" spans="2:27">
      <c r="B19" t="s">
        <v>74</v>
      </c>
      <c r="F19" s="11">
        <f t="shared" ref="F19:P19" si="7">F10-F17</f>
        <v>496</v>
      </c>
      <c r="G19" s="11">
        <f t="shared" si="7"/>
        <v>759</v>
      </c>
      <c r="H19" s="11">
        <f t="shared" si="7"/>
        <v>747</v>
      </c>
      <c r="I19" s="11">
        <f t="shared" si="7"/>
        <v>1934</v>
      </c>
      <c r="J19" s="11">
        <f t="shared" si="7"/>
        <v>3210</v>
      </c>
      <c r="K19" s="11">
        <f t="shared" si="7"/>
        <v>3804</v>
      </c>
      <c r="L19" s="11">
        <f t="shared" si="7"/>
        <v>2846</v>
      </c>
      <c r="M19" s="11">
        <f t="shared" si="7"/>
        <v>4532</v>
      </c>
      <c r="N19" s="11">
        <f t="shared" si="7"/>
        <v>10041</v>
      </c>
      <c r="O19" s="11">
        <f t="shared" si="7"/>
        <v>4224</v>
      </c>
      <c r="P19" s="35">
        <f t="shared" si="7"/>
        <v>32972</v>
      </c>
      <c r="Q19" s="11">
        <f>Q8*($Q20/100)</f>
        <v>22251.0260567296</v>
      </c>
      <c r="R19" s="11">
        <f t="shared" ref="R19:AA19" si="8">R8*($Q20/100)</f>
        <v>30103.0264226919</v>
      </c>
      <c r="S19" s="11">
        <f t="shared" si="8"/>
        <v>40725.8612476984</v>
      </c>
      <c r="T19" s="11">
        <f t="shared" si="8"/>
        <v>55097.3098544177</v>
      </c>
      <c r="U19" s="11">
        <f t="shared" si="8"/>
        <v>74540.1928943927</v>
      </c>
      <c r="V19" s="11">
        <f t="shared" si="8"/>
        <v>100844.131436079</v>
      </c>
      <c r="W19" s="11">
        <f t="shared" si="8"/>
        <v>136430.272718844</v>
      </c>
      <c r="X19" s="11">
        <f t="shared" si="8"/>
        <v>184574.144762565</v>
      </c>
      <c r="Y19" s="11">
        <f t="shared" si="8"/>
        <v>249707.152495687</v>
      </c>
      <c r="Z19" s="11">
        <f t="shared" si="8"/>
        <v>337824.466626761</v>
      </c>
      <c r="AA19" s="11">
        <f t="shared" si="8"/>
        <v>457036.849409538</v>
      </c>
    </row>
    <row r="20" ht="15.75" spans="2:17">
      <c r="B20" s="12"/>
      <c r="C20" s="13" t="s">
        <v>75</v>
      </c>
      <c r="D20" s="14"/>
      <c r="E20" s="15"/>
      <c r="F20" s="16">
        <f t="shared" ref="F20:P20" si="9">IFERROR(F19/F8*100,0)</f>
        <v>12.0096852300242</v>
      </c>
      <c r="G20" s="16">
        <f t="shared" si="9"/>
        <v>16.211020931226</v>
      </c>
      <c r="H20" s="16">
        <f t="shared" si="9"/>
        <v>14.9101796407186</v>
      </c>
      <c r="I20" s="16">
        <f t="shared" si="9"/>
        <v>27.9884225759768</v>
      </c>
      <c r="J20" s="16">
        <f t="shared" si="9"/>
        <v>33.0450895614577</v>
      </c>
      <c r="K20" s="16">
        <f t="shared" si="9"/>
        <v>32.4684192557187</v>
      </c>
      <c r="L20" s="16">
        <f t="shared" si="9"/>
        <v>26.0670452463821</v>
      </c>
      <c r="M20" s="16">
        <f t="shared" si="9"/>
        <v>27.1784107946027</v>
      </c>
      <c r="N20" s="16">
        <f t="shared" si="9"/>
        <v>37.3077208887568</v>
      </c>
      <c r="O20" s="16">
        <f t="shared" si="9"/>
        <v>15.6595239860607</v>
      </c>
      <c r="P20" s="36">
        <f t="shared" si="9"/>
        <v>54.1216637667838</v>
      </c>
      <c r="Q20" s="43">
        <f>AVERAGE(E20:P20)</f>
        <v>26.9970165343371</v>
      </c>
    </row>
    <row r="22" spans="2:27">
      <c r="B22" t="s">
        <v>76</v>
      </c>
      <c r="F22" s="6">
        <f>17-10+7</f>
        <v>14</v>
      </c>
      <c r="G22" s="6">
        <f>28-46+14</f>
        <v>-4</v>
      </c>
      <c r="H22" s="6">
        <f>39-47+4</f>
        <v>-4</v>
      </c>
      <c r="I22" s="6">
        <f>54-58-25</f>
        <v>-29</v>
      </c>
      <c r="J22" s="6">
        <f>69-61-22</f>
        <v>-14</v>
      </c>
      <c r="K22" s="6">
        <f>136-58+14</f>
        <v>92</v>
      </c>
      <c r="L22" s="6">
        <f>178-52-2</f>
        <v>124</v>
      </c>
      <c r="M22" s="6">
        <f>57-184+4</f>
        <v>-123</v>
      </c>
      <c r="N22" s="6">
        <f>29-236+107</f>
        <v>-100</v>
      </c>
      <c r="O22" s="6">
        <f>267-262-48</f>
        <v>-43</v>
      </c>
      <c r="P22" s="7">
        <f>866-257+237</f>
        <v>846</v>
      </c>
      <c r="Q22" s="6">
        <f>Q8*(FS!$R$91/100)</f>
        <v>338.943023069077</v>
      </c>
      <c r="R22" s="6">
        <f>R8*(FS!$R$91/100)</f>
        <v>458.550124979503</v>
      </c>
      <c r="S22" s="6">
        <f>S8*(FS!$R$91/100)</f>
        <v>620.364494347077</v>
      </c>
      <c r="T22" s="6">
        <f>T8*(FS!$R$91/100)</f>
        <v>839.280342282552</v>
      </c>
      <c r="U22" s="6">
        <f>U8*(FS!$R$91/100)</f>
        <v>1135.44778813184</v>
      </c>
      <c r="V22" s="6">
        <f>V8*(FS!$R$91/100)</f>
        <v>1536.12757814297</v>
      </c>
      <c r="W22" s="6">
        <f>W8*(FS!$R$91/100)</f>
        <v>2078.20030211497</v>
      </c>
      <c r="X22" s="6">
        <f>X8*(FS!$R$91/100)</f>
        <v>2811.56106899137</v>
      </c>
      <c r="Y22" s="6">
        <f>Y8*(FS!$R$91/100)</f>
        <v>3803.71210446998</v>
      </c>
      <c r="Z22" s="6">
        <f>Z8*(FS!$R$91/100)</f>
        <v>5145.97599648861</v>
      </c>
      <c r="AA22" s="6">
        <f>AA8*(FS!$R$91/100)</f>
        <v>6961.90148705455</v>
      </c>
    </row>
    <row r="24" spans="2:27">
      <c r="B24" t="s">
        <v>77</v>
      </c>
      <c r="F24" s="11">
        <f t="shared" ref="F24:Q24" si="10">F19+F22</f>
        <v>510</v>
      </c>
      <c r="G24" s="11">
        <f t="shared" si="10"/>
        <v>755</v>
      </c>
      <c r="H24" s="11">
        <f t="shared" si="10"/>
        <v>743</v>
      </c>
      <c r="I24" s="11">
        <f t="shared" si="10"/>
        <v>1905</v>
      </c>
      <c r="J24" s="11">
        <f t="shared" si="10"/>
        <v>3196</v>
      </c>
      <c r="K24" s="11">
        <f t="shared" si="10"/>
        <v>3896</v>
      </c>
      <c r="L24" s="11">
        <f t="shared" si="10"/>
        <v>2970</v>
      </c>
      <c r="M24" s="11">
        <f t="shared" si="10"/>
        <v>4409</v>
      </c>
      <c r="N24" s="11">
        <f t="shared" si="10"/>
        <v>9941</v>
      </c>
      <c r="O24" s="11">
        <f t="shared" si="10"/>
        <v>4181</v>
      </c>
      <c r="P24" s="35">
        <f t="shared" si="10"/>
        <v>33818</v>
      </c>
      <c r="Q24" s="11">
        <f t="shared" si="10"/>
        <v>22589.9690797986</v>
      </c>
      <c r="R24" s="11">
        <f t="shared" ref="R24:AA24" si="11">R19+R22</f>
        <v>30561.5765476715</v>
      </c>
      <c r="S24" s="11">
        <f t="shared" si="11"/>
        <v>41346.2257420455</v>
      </c>
      <c r="T24" s="11">
        <f t="shared" si="11"/>
        <v>55936.5901967002</v>
      </c>
      <c r="U24" s="11">
        <f t="shared" si="11"/>
        <v>75675.6406825246</v>
      </c>
      <c r="V24" s="11">
        <f t="shared" si="11"/>
        <v>102380.259014222</v>
      </c>
      <c r="W24" s="11">
        <f t="shared" si="11"/>
        <v>138508.473020959</v>
      </c>
      <c r="X24" s="11">
        <f t="shared" si="11"/>
        <v>187385.705831557</v>
      </c>
      <c r="Y24" s="11">
        <f t="shared" si="11"/>
        <v>253510.864600157</v>
      </c>
      <c r="Z24" s="11">
        <f t="shared" si="11"/>
        <v>342970.44262325</v>
      </c>
      <c r="AA24" s="11">
        <f t="shared" si="11"/>
        <v>463998.750896592</v>
      </c>
    </row>
    <row r="26" spans="2:27">
      <c r="B26" t="s">
        <v>78</v>
      </c>
      <c r="F26" s="6">
        <v>70</v>
      </c>
      <c r="G26" s="6">
        <v>124</v>
      </c>
      <c r="H26" s="6">
        <v>129</v>
      </c>
      <c r="I26" s="6">
        <v>239</v>
      </c>
      <c r="J26" s="6">
        <v>149</v>
      </c>
      <c r="K26" s="6">
        <v>-245</v>
      </c>
      <c r="L26" s="6">
        <v>174</v>
      </c>
      <c r="M26" s="6">
        <v>77</v>
      </c>
      <c r="N26" s="6">
        <v>189</v>
      </c>
      <c r="O26" s="6">
        <v>-187</v>
      </c>
      <c r="P26" s="7">
        <v>4058</v>
      </c>
      <c r="Q26" s="6">
        <f>Q24-Q28</f>
        <v>1604.77929976047</v>
      </c>
      <c r="R26" s="6">
        <f t="shared" ref="R26:AA26" si="12">R24-R28</f>
        <v>2171.07802310392</v>
      </c>
      <c r="S26" s="6">
        <f t="shared" si="12"/>
        <v>2937.21372347488</v>
      </c>
      <c r="T26" s="6">
        <f t="shared" si="12"/>
        <v>3973.70539684018</v>
      </c>
      <c r="U26" s="6">
        <f t="shared" si="12"/>
        <v>5375.95696720223</v>
      </c>
      <c r="V26" s="6">
        <f t="shared" si="12"/>
        <v>7273.03874519527</v>
      </c>
      <c r="W26" s="6">
        <f t="shared" si="12"/>
        <v>9839.56771079593</v>
      </c>
      <c r="X26" s="6">
        <f t="shared" si="12"/>
        <v>13311.7801413196</v>
      </c>
      <c r="Y26" s="6">
        <f t="shared" si="12"/>
        <v>18009.2759904891</v>
      </c>
      <c r="Z26" s="6">
        <f t="shared" si="12"/>
        <v>24364.4364809543</v>
      </c>
      <c r="AA26" s="6">
        <f t="shared" si="12"/>
        <v>32962.2226539232</v>
      </c>
    </row>
    <row r="28" spans="2:27">
      <c r="B28" t="s">
        <v>79</v>
      </c>
      <c r="F28" s="11">
        <f t="shared" ref="F28:P28" si="13">F24-F26</f>
        <v>440</v>
      </c>
      <c r="G28" s="11">
        <f t="shared" si="13"/>
        <v>631</v>
      </c>
      <c r="H28" s="11">
        <f t="shared" si="13"/>
        <v>614</v>
      </c>
      <c r="I28" s="11">
        <f t="shared" si="13"/>
        <v>1666</v>
      </c>
      <c r="J28" s="11">
        <f t="shared" si="13"/>
        <v>3047</v>
      </c>
      <c r="K28" s="11">
        <f t="shared" si="13"/>
        <v>4141</v>
      </c>
      <c r="L28" s="11">
        <f t="shared" si="13"/>
        <v>2796</v>
      </c>
      <c r="M28" s="11">
        <f t="shared" si="13"/>
        <v>4332</v>
      </c>
      <c r="N28" s="11">
        <f t="shared" si="13"/>
        <v>9752</v>
      </c>
      <c r="O28" s="11">
        <f t="shared" si="13"/>
        <v>4368</v>
      </c>
      <c r="P28" s="35">
        <f t="shared" si="13"/>
        <v>29760</v>
      </c>
      <c r="Q28" s="11">
        <f>Q8*($Q29/100)</f>
        <v>20985.1897800382</v>
      </c>
      <c r="R28" s="11">
        <f t="shared" ref="R28:AA28" si="14">R8*($Q29/100)</f>
        <v>28390.4985245675</v>
      </c>
      <c r="S28" s="11">
        <f t="shared" si="14"/>
        <v>38409.0120185706</v>
      </c>
      <c r="T28" s="11">
        <f t="shared" si="14"/>
        <v>51962.88479986</v>
      </c>
      <c r="U28" s="11">
        <f t="shared" si="14"/>
        <v>70299.6837153223</v>
      </c>
      <c r="V28" s="11">
        <f t="shared" si="14"/>
        <v>95107.2202690269</v>
      </c>
      <c r="W28" s="11">
        <f t="shared" si="14"/>
        <v>128668.905310163</v>
      </c>
      <c r="X28" s="11">
        <f t="shared" si="14"/>
        <v>174073.925690237</v>
      </c>
      <c r="Y28" s="11">
        <f t="shared" si="14"/>
        <v>235501.588609668</v>
      </c>
      <c r="Z28" s="11">
        <f t="shared" si="14"/>
        <v>318606.006142296</v>
      </c>
      <c r="AA28" s="11">
        <f t="shared" si="14"/>
        <v>431036.528242669</v>
      </c>
    </row>
    <row r="29" ht="15.75" spans="3:17">
      <c r="C29" s="13" t="s">
        <v>80</v>
      </c>
      <c r="D29" s="17"/>
      <c r="F29" s="16">
        <f t="shared" ref="F29:P29" si="15">IFERROR(F28/F8*100,0)</f>
        <v>10.6537530266344</v>
      </c>
      <c r="G29" s="16">
        <f t="shared" si="15"/>
        <v>13.4771465185818</v>
      </c>
      <c r="H29" s="16">
        <f t="shared" si="15"/>
        <v>12.2554890219561</v>
      </c>
      <c r="I29" s="16">
        <f t="shared" si="15"/>
        <v>24.10998552822</v>
      </c>
      <c r="J29" s="16">
        <f t="shared" si="15"/>
        <v>31.3670990323245</v>
      </c>
      <c r="K29" s="16">
        <f t="shared" si="15"/>
        <v>35.3448275862069</v>
      </c>
      <c r="L29" s="16">
        <f t="shared" si="15"/>
        <v>25.6090859131709</v>
      </c>
      <c r="M29" s="16">
        <f t="shared" si="15"/>
        <v>25.9790104947526</v>
      </c>
      <c r="N29" s="16">
        <f t="shared" si="15"/>
        <v>36.2339302965</v>
      </c>
      <c r="O29" s="16">
        <f t="shared" si="15"/>
        <v>16.1933713946764</v>
      </c>
      <c r="P29" s="36">
        <f t="shared" si="15"/>
        <v>48.8493483470667</v>
      </c>
      <c r="Q29" s="43">
        <f>AVERAGE(E29:P29)</f>
        <v>25.4611861054627</v>
      </c>
    </row>
    <row r="33" ht="15.75" spans="3:4">
      <c r="C33" s="18" t="s">
        <v>81</v>
      </c>
      <c r="D33" s="17"/>
    </row>
    <row r="34" spans="2:27">
      <c r="B34" s="19"/>
      <c r="C34" s="20" t="s">
        <v>208</v>
      </c>
      <c r="D34" s="20"/>
      <c r="E34" s="21"/>
      <c r="F34" s="22">
        <f>568*10*4</f>
        <v>22720</v>
      </c>
      <c r="G34" s="22">
        <f>545*10*4</f>
        <v>21800</v>
      </c>
      <c r="H34" s="22">
        <f>539*10*4</f>
        <v>21560</v>
      </c>
      <c r="I34" s="22">
        <f>585*10*4</f>
        <v>23400</v>
      </c>
      <c r="J34" s="22">
        <f>606*10*4</f>
        <v>24240</v>
      </c>
      <c r="K34" s="22">
        <f>2423*10</f>
        <v>24230</v>
      </c>
      <c r="L34" s="22">
        <f>2450*10</f>
        <v>24500</v>
      </c>
      <c r="M34" s="22">
        <f>2479*10</f>
        <v>24790</v>
      </c>
      <c r="N34" s="22">
        <f>2506*10</f>
        <v>25060</v>
      </c>
      <c r="O34" s="22">
        <f>2466*10</f>
        <v>24660</v>
      </c>
      <c r="P34" s="37">
        <f>2464*10</f>
        <v>24640</v>
      </c>
      <c r="Q34" s="44">
        <f t="shared" ref="P34:R34" si="16">2464*10</f>
        <v>24640</v>
      </c>
      <c r="R34" s="44">
        <f t="shared" si="16"/>
        <v>24640</v>
      </c>
      <c r="S34" s="44">
        <f t="shared" ref="S34:AA34" si="17">2464*10</f>
        <v>24640</v>
      </c>
      <c r="T34" s="44">
        <f t="shared" si="17"/>
        <v>24640</v>
      </c>
      <c r="U34" s="44">
        <f t="shared" si="17"/>
        <v>24640</v>
      </c>
      <c r="V34" s="44">
        <f t="shared" si="17"/>
        <v>24640</v>
      </c>
      <c r="W34" s="44">
        <f t="shared" si="17"/>
        <v>24640</v>
      </c>
      <c r="X34" s="44">
        <f t="shared" si="17"/>
        <v>24640</v>
      </c>
      <c r="Y34" s="44">
        <f t="shared" si="17"/>
        <v>24640</v>
      </c>
      <c r="Z34" s="44">
        <f t="shared" si="17"/>
        <v>24640</v>
      </c>
      <c r="AA34" s="44">
        <f t="shared" si="17"/>
        <v>24640</v>
      </c>
    </row>
    <row r="35" spans="2:29">
      <c r="B35" s="23"/>
      <c r="C35" s="24" t="s">
        <v>84</v>
      </c>
      <c r="D35" s="25"/>
      <c r="E35" s="26"/>
      <c r="F35" s="26">
        <v>0.39</v>
      </c>
      <c r="G35" s="26">
        <v>0.48</v>
      </c>
      <c r="H35" s="26">
        <v>0.73</v>
      </c>
      <c r="I35" s="26">
        <v>2.73</v>
      </c>
      <c r="J35" s="26">
        <v>6.14</v>
      </c>
      <c r="K35" s="26">
        <v>3.59</v>
      </c>
      <c r="L35" s="26">
        <v>5.91</v>
      </c>
      <c r="M35" s="26">
        <v>12.99</v>
      </c>
      <c r="N35" s="26">
        <v>24.49</v>
      </c>
      <c r="O35" s="26">
        <v>19.54</v>
      </c>
      <c r="P35" s="38">
        <v>61.53</v>
      </c>
      <c r="Q35" s="26">
        <f>Q36*$Q37</f>
        <v>40.327828278302</v>
      </c>
      <c r="R35" s="26">
        <f t="shared" ref="R35:AA35" si="18">R36*$Q37</f>
        <v>54.5588179680528</v>
      </c>
      <c r="S35" s="26">
        <f t="shared" si="18"/>
        <v>73.811676580479</v>
      </c>
      <c r="T35" s="26">
        <f t="shared" si="18"/>
        <v>99.8585343768157</v>
      </c>
      <c r="U35" s="26">
        <f t="shared" si="18"/>
        <v>135.096875587336</v>
      </c>
      <c r="V35" s="26">
        <f t="shared" si="18"/>
        <v>182.770214958188</v>
      </c>
      <c r="W35" s="26">
        <f t="shared" si="18"/>
        <v>247.266647216183</v>
      </c>
      <c r="X35" s="26">
        <f t="shared" si="18"/>
        <v>334.522749450828</v>
      </c>
      <c r="Y35" s="26">
        <f t="shared" si="18"/>
        <v>452.570013627045</v>
      </c>
      <c r="Z35" s="26">
        <f t="shared" si="18"/>
        <v>612.274105634452</v>
      </c>
      <c r="AA35" s="26">
        <f t="shared" si="18"/>
        <v>828.334996006607</v>
      </c>
      <c r="AC35" s="23">
        <f>((AA35/P35)^(1/($AA$3-$P$3))-1)*100</f>
        <v>26.6622476621808</v>
      </c>
    </row>
    <row r="36" spans="2:27">
      <c r="B36" s="27"/>
      <c r="C36" s="24" t="s">
        <v>12</v>
      </c>
      <c r="D36" s="24"/>
      <c r="E36" s="28"/>
      <c r="F36" s="28">
        <f t="shared" ref="F36:P36" si="19">IFERROR(F28/F34,0)</f>
        <v>0.0193661971830986</v>
      </c>
      <c r="G36" s="28">
        <f t="shared" si="19"/>
        <v>0.0289449541284404</v>
      </c>
      <c r="H36" s="28">
        <f t="shared" si="19"/>
        <v>0.0284786641929499</v>
      </c>
      <c r="I36" s="28">
        <f t="shared" si="19"/>
        <v>0.0711965811965812</v>
      </c>
      <c r="J36" s="28">
        <f t="shared" si="19"/>
        <v>0.125701320132013</v>
      </c>
      <c r="K36" s="28">
        <f t="shared" si="19"/>
        <v>0.170903838217086</v>
      </c>
      <c r="L36" s="28">
        <f t="shared" si="19"/>
        <v>0.114122448979592</v>
      </c>
      <c r="M36" s="28">
        <f t="shared" si="19"/>
        <v>0.174747882210569</v>
      </c>
      <c r="N36" s="28">
        <f t="shared" si="19"/>
        <v>0.389146049481245</v>
      </c>
      <c r="O36" s="28">
        <f t="shared" si="19"/>
        <v>0.17712895377129</v>
      </c>
      <c r="P36" s="39">
        <f t="shared" si="19"/>
        <v>1.20779220779221</v>
      </c>
      <c r="Q36" s="45">
        <f t="shared" ref="Q36:AA36" si="20">IFERROR(Q28/Q34,0)</f>
        <v>0.8516716631509</v>
      </c>
      <c r="R36" s="45">
        <f t="shared" si="20"/>
        <v>1.15221179076979</v>
      </c>
      <c r="S36" s="45">
        <f t="shared" si="20"/>
        <v>1.55880730594848</v>
      </c>
      <c r="T36" s="45">
        <f t="shared" si="20"/>
        <v>2.10888331168263</v>
      </c>
      <c r="U36" s="45">
        <f t="shared" si="20"/>
        <v>2.85307157935561</v>
      </c>
      <c r="V36" s="45">
        <f t="shared" si="20"/>
        <v>3.85987095247674</v>
      </c>
      <c r="W36" s="45">
        <f t="shared" si="20"/>
        <v>5.22195232589946</v>
      </c>
      <c r="X36" s="45">
        <f t="shared" si="20"/>
        <v>7.06468854262326</v>
      </c>
      <c r="Y36" s="45">
        <f t="shared" si="20"/>
        <v>9.55769434292483</v>
      </c>
      <c r="Z36" s="45">
        <f t="shared" si="20"/>
        <v>12.9304385609698</v>
      </c>
      <c r="AA36" s="45">
        <f t="shared" si="20"/>
        <v>17.4933655942642</v>
      </c>
    </row>
    <row r="37" spans="2:17">
      <c r="B37" s="29"/>
      <c r="C37" s="30" t="s">
        <v>85</v>
      </c>
      <c r="D37" s="31"/>
      <c r="E37" s="32"/>
      <c r="F37" s="32">
        <f t="shared" ref="F37:P37" si="21">F35/F36</f>
        <v>20.1381818181818</v>
      </c>
      <c r="G37" s="32">
        <f t="shared" si="21"/>
        <v>16.5832012678288</v>
      </c>
      <c r="H37" s="32">
        <f t="shared" si="21"/>
        <v>25.6332247557003</v>
      </c>
      <c r="I37" s="32">
        <f t="shared" si="21"/>
        <v>38.3445378151261</v>
      </c>
      <c r="J37" s="32">
        <f t="shared" si="21"/>
        <v>48.8459468329504</v>
      </c>
      <c r="K37" s="32">
        <f t="shared" si="21"/>
        <v>21.0059647428157</v>
      </c>
      <c r="L37" s="32">
        <f t="shared" si="21"/>
        <v>51.7864806866953</v>
      </c>
      <c r="M37" s="32">
        <f t="shared" si="21"/>
        <v>74.3356648199446</v>
      </c>
      <c r="N37" s="32">
        <f t="shared" si="21"/>
        <v>62.932670221493</v>
      </c>
      <c r="O37" s="32">
        <f t="shared" si="21"/>
        <v>110.31510989011</v>
      </c>
      <c r="P37" s="40">
        <f t="shared" si="21"/>
        <v>50.9441935483871</v>
      </c>
      <c r="Q37" s="46">
        <f>AVERAGE(E37:P37)</f>
        <v>47.3513796726576</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O85"/>
  <sheetViews>
    <sheetView workbookViewId="0">
      <selection activeCell="C4" sqref="C4"/>
    </sheetView>
    <sheetView workbookViewId="1">
      <selection activeCell="Y13" sqref="Y13"/>
    </sheetView>
  </sheetViews>
  <sheetFormatPr defaultColWidth="9.14285714285714" defaultRowHeight="15.75"/>
  <cols>
    <col min="2" max="2" width="6" style="1" customWidth="1"/>
    <col min="3" max="3" width="7.85714285714286" customWidth="1"/>
  </cols>
  <sheetData>
    <row r="2" spans="15:15">
      <c r="O2" t="s">
        <v>209</v>
      </c>
    </row>
    <row r="3" spans="2:2">
      <c r="B3" s="1" t="s">
        <v>210</v>
      </c>
    </row>
    <row r="4" spans="3:3">
      <c r="C4" t="s">
        <v>44</v>
      </c>
    </row>
    <row r="5" spans="4:4">
      <c r="D5" s="102" t="s">
        <v>211</v>
      </c>
    </row>
    <row r="6" spans="4:4">
      <c r="D6" s="102" t="s">
        <v>212</v>
      </c>
    </row>
    <row r="7" spans="5:5">
      <c r="E7" s="102" t="s">
        <v>213</v>
      </c>
    </row>
    <row r="8" spans="5:15">
      <c r="E8" s="102" t="s">
        <v>214</v>
      </c>
      <c r="O8" t="s">
        <v>215</v>
      </c>
    </row>
    <row r="9" spans="5:5">
      <c r="E9" s="102" t="s">
        <v>216</v>
      </c>
    </row>
    <row r="10" spans="5:15">
      <c r="E10" s="102" t="s">
        <v>217</v>
      </c>
      <c r="G10"/>
      <c r="O10" s="2"/>
    </row>
    <row r="11" spans="4:4">
      <c r="D11" s="102" t="s">
        <v>218</v>
      </c>
    </row>
    <row r="12" spans="5:5">
      <c r="E12" s="102" t="s">
        <v>219</v>
      </c>
    </row>
    <row r="13" spans="15:15">
      <c r="O13" s="3"/>
    </row>
    <row r="14" spans="3:3">
      <c r="C14" t="s">
        <v>45</v>
      </c>
    </row>
    <row r="15" spans="4:4">
      <c r="D15" s="102" t="s">
        <v>220</v>
      </c>
    </row>
    <row r="16" spans="4:4">
      <c r="D16" s="102" t="s">
        <v>221</v>
      </c>
    </row>
    <row r="17" spans="4:4">
      <c r="D17" s="102" t="s">
        <v>222</v>
      </c>
    </row>
    <row r="18" spans="4:15">
      <c r="D18" s="102" t="s">
        <v>223</v>
      </c>
      <c r="O18" s="102" t="s">
        <v>224</v>
      </c>
    </row>
    <row r="20" spans="3:3">
      <c r="C20" t="s">
        <v>46</v>
      </c>
    </row>
    <row r="21" spans="4:5">
      <c r="D21" s="102" t="s">
        <v>225</v>
      </c>
      <c r="E21"/>
    </row>
    <row r="23" spans="3:3">
      <c r="C23" t="s">
        <v>47</v>
      </c>
    </row>
    <row r="24" spans="4:5">
      <c r="D24" s="102" t="s">
        <v>226</v>
      </c>
      <c r="E24"/>
    </row>
    <row r="26" spans="3:3">
      <c r="C26" t="s">
        <v>227</v>
      </c>
    </row>
    <row r="27" spans="4:15">
      <c r="D27" s="102" t="s">
        <v>228</v>
      </c>
      <c r="O27" t="s">
        <v>229</v>
      </c>
    </row>
    <row r="28" spans="4:4">
      <c r="D28" s="102" t="s">
        <v>230</v>
      </c>
    </row>
    <row r="29" spans="4:4">
      <c r="D29" s="102" t="s">
        <v>231</v>
      </c>
    </row>
    <row r="30" spans="4:4">
      <c r="D30" s="102" t="s">
        <v>232</v>
      </c>
    </row>
    <row r="31" spans="5:5">
      <c r="E31" t="s">
        <v>233</v>
      </c>
    </row>
    <row r="32" spans="6:15">
      <c r="F32" s="102" t="s">
        <v>234</v>
      </c>
      <c r="O32" t="s">
        <v>235</v>
      </c>
    </row>
    <row r="33" spans="6:6">
      <c r="F33" s="102" t="s">
        <v>236</v>
      </c>
    </row>
    <row r="34" spans="5:5">
      <c r="E34" t="s">
        <v>237</v>
      </c>
    </row>
    <row r="35" spans="6:6">
      <c r="F35" s="102" t="s">
        <v>238</v>
      </c>
    </row>
    <row r="36" spans="6:15">
      <c r="F36" s="102" t="s">
        <v>239</v>
      </c>
      <c r="O36" t="s">
        <v>240</v>
      </c>
    </row>
    <row r="37" spans="5:5">
      <c r="E37" t="s">
        <v>241</v>
      </c>
    </row>
    <row r="38" spans="6:6">
      <c r="F38" s="102" t="s">
        <v>242</v>
      </c>
    </row>
    <row r="39" spans="6:6">
      <c r="F39" s="102" t="s">
        <v>243</v>
      </c>
    </row>
    <row r="40" spans="6:6">
      <c r="F40" s="102" t="s">
        <v>244</v>
      </c>
    </row>
    <row r="43" spans="2:2">
      <c r="B43" s="1" t="s">
        <v>245</v>
      </c>
    </row>
    <row r="47" spans="2:2">
      <c r="B47" s="1" t="s">
        <v>246</v>
      </c>
    </row>
    <row r="48" spans="3:3">
      <c r="C48" t="s">
        <v>247</v>
      </c>
    </row>
    <row r="49" spans="4:6">
      <c r="D49" s="102" t="s">
        <v>248</v>
      </c>
      <c r="F49"/>
    </row>
    <row r="50" spans="4:5">
      <c r="D50" s="102" t="s">
        <v>249</v>
      </c>
      <c r="E50"/>
    </row>
    <row r="53" spans="2:2">
      <c r="B53" s="1" t="s">
        <v>250</v>
      </c>
    </row>
    <row r="54" spans="3:3">
      <c r="C54" t="s">
        <v>251</v>
      </c>
    </row>
    <row r="55" spans="4:4">
      <c r="D55" s="102" t="s">
        <v>252</v>
      </c>
    </row>
    <row r="56" spans="4:4">
      <c r="D56" s="102" t="s">
        <v>253</v>
      </c>
    </row>
    <row r="57" spans="4:4">
      <c r="D57" s="102" t="s">
        <v>254</v>
      </c>
    </row>
    <row r="59" spans="3:3">
      <c r="C59" t="s">
        <v>255</v>
      </c>
    </row>
    <row r="60" spans="4:4">
      <c r="D60" s="102" t="s">
        <v>256</v>
      </c>
    </row>
    <row r="61" spans="4:4">
      <c r="D61" s="102" t="s">
        <v>257</v>
      </c>
    </row>
    <row r="62" spans="4:4">
      <c r="D62" s="102" t="s">
        <v>258</v>
      </c>
    </row>
    <row r="63" spans="4:4">
      <c r="D63" s="102" t="s">
        <v>259</v>
      </c>
    </row>
    <row r="64" spans="4:4">
      <c r="D64" s="102" t="s">
        <v>260</v>
      </c>
    </row>
    <row r="65" spans="4:4">
      <c r="D65" s="102" t="s">
        <v>261</v>
      </c>
    </row>
    <row r="67" spans="3:3">
      <c r="C67" t="s">
        <v>262</v>
      </c>
    </row>
    <row r="68" spans="4:4">
      <c r="D68" s="102" t="s">
        <v>263</v>
      </c>
    </row>
    <row r="69" spans="4:4">
      <c r="D69" s="102" t="s">
        <v>264</v>
      </c>
    </row>
    <row r="70" spans="4:4">
      <c r="D70" s="102" t="s">
        <v>265</v>
      </c>
    </row>
    <row r="71" spans="4:4">
      <c r="D71" s="102" t="s">
        <v>254</v>
      </c>
    </row>
    <row r="72" spans="4:4">
      <c r="D72" s="102" t="s">
        <v>266</v>
      </c>
    </row>
    <row r="73" spans="4:4">
      <c r="D73" s="102" t="s">
        <v>267</v>
      </c>
    </row>
    <row r="74" spans="4:4">
      <c r="D74" s="102" t="s">
        <v>268</v>
      </c>
    </row>
    <row r="76" spans="3:3">
      <c r="C76" t="s">
        <v>269</v>
      </c>
    </row>
    <row r="77" spans="4:4">
      <c r="D77" s="102" t="s">
        <v>264</v>
      </c>
    </row>
    <row r="78" spans="4:4">
      <c r="D78" s="102" t="s">
        <v>270</v>
      </c>
    </row>
    <row r="79" spans="4:4">
      <c r="D79" s="102" t="s">
        <v>265</v>
      </c>
    </row>
    <row r="80" spans="4:4">
      <c r="D80" s="102" t="s">
        <v>271</v>
      </c>
    </row>
    <row r="81" spans="4:4">
      <c r="D81" s="102" t="s">
        <v>272</v>
      </c>
    </row>
    <row r="82" spans="4:4">
      <c r="D82" s="102" t="s">
        <v>261</v>
      </c>
    </row>
    <row r="83" spans="4:4">
      <c r="D83" s="102" t="s">
        <v>254</v>
      </c>
    </row>
    <row r="84" spans="4:4">
      <c r="D84" s="102" t="s">
        <v>273</v>
      </c>
    </row>
    <row r="85" spans="4:4">
      <c r="D85" s="102" t="s">
        <v>274</v>
      </c>
    </row>
  </sheetData>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5</vt:i4>
      </vt:variant>
    </vt:vector>
  </HeadingPairs>
  <TitlesOfParts>
    <vt:vector size="5" baseType="lpstr">
      <vt:lpstr>Overall</vt:lpstr>
      <vt:lpstr>FS</vt:lpstr>
      <vt:lpstr>Sharpe, Sortino</vt:lpstr>
      <vt:lpstr>Projection</vt:lpstr>
      <vt:lpstr>SWOT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core2quad</dc:creator>
  <cp:lastModifiedBy>core2quad</cp:lastModifiedBy>
  <dcterms:created xsi:type="dcterms:W3CDTF">2024-08-28T13:58:00Z</dcterms:created>
  <dcterms:modified xsi:type="dcterms:W3CDTF">2025-01-10T16:14:35Z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FC00C39987CC494C9BFD9134ABC94A73_11</vt:lpwstr>
  </property>
  <property fmtid="{D5CDD505-2E9C-101B-9397-08002B2CF9AE}" pid="3" name="KSOProductBuildVer">
    <vt:lpwstr>1033-12.2.0.19307</vt:lpwstr>
  </property>
  <property fmtid="{D5CDD505-2E9C-101B-9397-08002B2CF9AE}" pid="4" name="KSOReadingLayout">
    <vt:bool>true</vt:bool>
  </property>
</Properties>
</file>