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9210" windowHeight="6570"/>
    <workbookView windowWidth="28800" windowHeight="11850" activeTab="1"/>
  </bookViews>
  <sheets>
    <sheet name="Overall" sheetId="8" r:id="rId1"/>
    <sheet name="FS" sheetId="3" r:id="rId2"/>
    <sheet name="Sharpe, Sortino" sheetId="9"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14" authorId="0">
      <text>
        <r>
          <rPr>
            <b/>
            <sz val="9"/>
            <rFont val="Times New Roman"/>
            <charset val="0"/>
          </rPr>
          <t xml:space="preserve">core2quad:
</t>
        </r>
        <r>
          <rPr>
            <sz val="9"/>
            <rFont val="Times New Roman"/>
            <charset val="0"/>
          </rPr>
          <t xml:space="preserve">
Includes product sales and digital media content where we record revenue gross. 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t>
        </r>
      </text>
    </comment>
    <comment ref="D15" authorId="0">
      <text>
        <r>
          <rPr>
            <b/>
            <sz val="9"/>
            <rFont val="Times New Roman"/>
            <charset val="0"/>
          </rPr>
          <t xml:space="preserve">core2quad:
</t>
        </r>
        <r>
          <rPr>
            <sz val="9"/>
            <rFont val="Times New Roman"/>
            <charset val="0"/>
          </rPr>
          <t xml:space="preserve">
Includes product sales where our customers physically select items in a store. Sales to customers who order goods online for delivery or pickup at our physical stores are included in “Online stores.”</t>
        </r>
      </text>
    </comment>
    <comment ref="D16" authorId="0">
      <text>
        <r>
          <rPr>
            <b/>
            <sz val="9"/>
            <rFont val="Times New Roman"/>
            <charset val="0"/>
          </rPr>
          <t>core2quad:</t>
        </r>
        <r>
          <rPr>
            <sz val="9"/>
            <rFont val="Times New Roman"/>
            <charset val="0"/>
          </rPr>
          <t xml:space="preserve">
Includes commissions and any related fulfillment and shipping fees, and other third-party seller services.</t>
        </r>
      </text>
    </comment>
    <comment ref="D17" authorId="0">
      <text>
        <r>
          <rPr>
            <b/>
            <sz val="9"/>
            <rFont val="Times New Roman"/>
            <charset val="0"/>
          </rPr>
          <t>core2quad:</t>
        </r>
        <r>
          <rPr>
            <sz val="9"/>
            <rFont val="Times New Roman"/>
            <charset val="0"/>
          </rPr>
          <t xml:space="preserve">
Includes sales of advertising services to sellers, vendors, publishers, authors, and others, through programs such as
sponsored ads, display, and video advertising</t>
        </r>
      </text>
    </comment>
    <comment ref="D18" authorId="0">
      <text>
        <r>
          <rPr>
            <b/>
            <sz val="9"/>
            <rFont val="Times New Roman"/>
            <charset val="0"/>
          </rPr>
          <t>core2quad:</t>
        </r>
        <r>
          <rPr>
            <sz val="9"/>
            <rFont val="Times New Roman"/>
            <charset val="0"/>
          </rPr>
          <t xml:space="preserve">
ncludes annual and monthly fees associated with Amazon Prime memberships, as well as digital video, audiobook, digital
music, e-book, and other non-AWS subscription services.</t>
        </r>
      </text>
    </comment>
    <comment ref="D20" authorId="0">
      <text>
        <r>
          <rPr>
            <b/>
            <sz val="9"/>
            <rFont val="Times New Roman"/>
            <charset val="0"/>
          </rPr>
          <t>core2quad:</t>
        </r>
        <r>
          <rPr>
            <sz val="9"/>
            <rFont val="Times New Roman"/>
            <charset val="0"/>
          </rPr>
          <t xml:space="preserve">
ncludes sales related to various other offerings, such as certain licensing and distribution of video content, health care
services, and shipping services, and our co-branded credit card agreements</t>
        </r>
      </text>
    </comment>
    <comment ref="D32" authorId="0">
      <text>
        <r>
          <rPr>
            <b/>
            <sz val="9"/>
            <rFont val="Times New Roman"/>
            <charset val="0"/>
          </rPr>
          <t>core2quad:</t>
        </r>
        <r>
          <rPr>
            <sz val="9"/>
            <rFont val="Times New Roman"/>
            <charset val="0"/>
          </rPr>
          <t xml:space="preserve">
The AWS segment consists of amounts earned from global sales of compute, storage, database, and other services for
start-ups, enterprises, government agencies, and academic institutions</t>
        </r>
      </text>
    </comment>
    <comment ref="D45" authorId="0">
      <text>
        <r>
          <rPr>
            <b/>
            <sz val="9"/>
            <rFont val="Times New Roman"/>
            <charset val="0"/>
          </rPr>
          <t>core2quad:</t>
        </r>
        <r>
          <rPr>
            <sz val="9"/>
            <rFont val="Times New Roman"/>
            <charset val="0"/>
          </rPr>
          <t xml:space="preserve">
Compute &amp; Networking segment includes our :- 
-- Data Center accelerated computing platform; 
-- Networking; 
-- Automotive artificial intelligence, or AI, Cockpit,
autonomous driving development agreements, and autonomous vehicle solutions; 
-- Electric vehicle computing platforms; 
-- Jetson for robotics and other embedded platforms; 
-- NVIDIA AI Enterprise and other software; and 
-- DGX Cloud</t>
        </r>
      </text>
    </comment>
    <comment ref="D50" authorId="0">
      <text>
        <r>
          <rPr>
            <b/>
            <sz val="9"/>
            <rFont val="Times New Roman"/>
            <charset val="0"/>
          </rPr>
          <t>core2quad:</t>
        </r>
        <r>
          <rPr>
            <sz val="9"/>
            <rFont val="Times New Roman"/>
            <charset val="0"/>
          </rPr>
          <t xml:space="preserve">
Graphics segment includes :- 
-- GeForce GPUs for gaming and PCs, the GeForce NOW game streaming service and related infrastructure, and solutions for
gaming platforms; 
-- Quadro/NVIDIA RTX GPUs for enterprise workstation graphics; 
-- virtual GPU software for cloud-based visual and virtual computing; 
-- automotive platforms for infotainment systems; and
-- Omniverse Enterprise software for building and operating 3D internet applications</t>
        </r>
      </text>
    </comment>
    <comment ref="D51" authorId="0">
      <text>
        <r>
          <rPr>
            <b/>
            <sz val="9"/>
            <rFont val="Times New Roman"/>
            <charset val="0"/>
          </rPr>
          <t>core2quad:</t>
        </r>
        <r>
          <rPr>
            <sz val="9"/>
            <rFont val="Times New Roman"/>
            <charset val="0"/>
          </rPr>
          <t xml:space="preserve">
-- Stock-based compensation expense
-- Unallocates cost of revenue and operation expenses
-- IP-related and legal settlement costs
-- Restucturing costs and other
-- Acquisition termination cost
-- Other</t>
        </r>
      </text>
    </comment>
    <comment ref="D89" authorId="0">
      <text>
        <r>
          <rPr>
            <b/>
            <sz val="9"/>
            <rFont val="Times New Roman"/>
            <charset val="0"/>
          </rPr>
          <t>core2quad:</t>
        </r>
        <r>
          <rPr>
            <sz val="9"/>
            <rFont val="Times New Roman"/>
            <charset val="0"/>
          </rPr>
          <t xml:space="preserve">
Cost of sales primarily consists of the purchase price of consumer products, inbound and outbound shipping costs, including costs related to sortation and delivery centers and where we are the transportation service provider, and digital media content costs where we record revenue gross, including video and music. Shipping costs to receive products from our suppliers are included in our inventory, and recognized as cost of sales upon sale of products to our customers. Payment processing and related transaction costs, including those associated with seller transactions, are classified in “Fulfillment” on our consolidated statements of operations.</t>
        </r>
      </text>
    </comment>
    <comment ref="D93" authorId="0">
      <text>
        <r>
          <rPr>
            <b/>
            <sz val="9"/>
            <rFont val="Times New Roman"/>
            <charset val="0"/>
          </rPr>
          <t>core2quad:</t>
        </r>
        <r>
          <rPr>
            <sz val="9"/>
            <rFont val="Times New Roman"/>
            <charset val="0"/>
          </rPr>
          <t xml:space="preserve">
Fulfillment by Amazon (FBA) is a program that lets you outsource order fulfillment to Amazon and offer customers free, two-day shipping through Prime.
Fulfillment costs primarily consist of those costs incurred in operating and staffing our North America and International segments’ fulfillment centers, physical stores, and customer service centers, including facilities and equipment expenses, such as depreciation and amortization, and rent; costs attributable to buying, receiving, inspecting, and warehousing inventories; picking, packaging, and preparing customer orders for shipment; payment processing and related transaction costs, including costs associated with our guarantee for certain seller transactions; responding to inquiries from customers; and supply chain management for our manufactured electronic devices. Fulfillment costs also include amounts paid to third parties that assist us in fulfillment and customer service operations</t>
        </r>
      </text>
    </comment>
    <comment ref="D94" authorId="0">
      <text>
        <r>
          <rPr>
            <b/>
            <sz val="9"/>
            <rFont val="Times New Roman"/>
            <charset val="0"/>
          </rPr>
          <t>core2quad:</t>
        </r>
        <r>
          <rPr>
            <sz val="9"/>
            <rFont val="Times New Roman"/>
            <charset val="0"/>
          </rPr>
          <t xml:space="preserve">
Technology and infrastructure costs include payroll and related expenses for employees involved in the research and development of new and existing products and services, development, design, and maintenance of our stores, curation and display of products and services made available in our online stores, and infrastructure costs. 
Infrastructure costs include servers, networking equipment, and data center related depreciation and amortization, rent, utilities, and other expenses necessary to support AWS and other Amazon businesses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<sst xmlns="http://schemas.openxmlformats.org/spreadsheetml/2006/main" count="302" uniqueCount="207">
  <si>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</si>
  <si>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</si>
  <si>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</si>
  <si>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</si>
  <si>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</si>
  <si>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</si>
  <si>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</si>
  <si>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</si>
  <si>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</si>
  <si>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</si>
  <si>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</si>
  <si>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</si>
  <si>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</si>
  <si>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</si>
  <si>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</si>
  <si>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</si>
  <si>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</si>
  <si>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</si>
  <si>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</si>
  <si>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</si>
  <si>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</si>
  <si>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</si>
  <si>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</si>
  <si>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</si>
  <si>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</si>
  <si>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</si>
  <si>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</si>
  <si>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</si>
  <si>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</si>
  <si>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</si>
  <si>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31/12</t>
  </si>
  <si>
    <t>&lt; Figures are in millions &gt;</t>
  </si>
  <si>
    <t>Y/E 31/12</t>
  </si>
  <si>
    <t>Annualized</t>
  </si>
  <si>
    <t>Average</t>
  </si>
  <si>
    <t>Median</t>
  </si>
  <si>
    <t>Std Dev</t>
  </si>
  <si>
    <t>Revenue by Geography</t>
  </si>
  <si>
    <t>United States</t>
  </si>
  <si>
    <t>Germany</t>
  </si>
  <si>
    <t>United Kingdom</t>
  </si>
  <si>
    <t>Japan</t>
  </si>
  <si>
    <t>Rest of World</t>
  </si>
  <si>
    <t>Total Revenues</t>
  </si>
  <si>
    <t>Revenue By Specific Segments</t>
  </si>
  <si>
    <t>Online Stores</t>
  </si>
  <si>
    <t>Physical Stores</t>
  </si>
  <si>
    <t>Third Party seller services</t>
  </si>
  <si>
    <t>Advertising services</t>
  </si>
  <si>
    <t>Subscription services</t>
  </si>
  <si>
    <t>AWS</t>
  </si>
  <si>
    <t>Other</t>
  </si>
  <si>
    <t>Revenue By Broad Segments</t>
  </si>
  <si>
    <t>North America</t>
  </si>
  <si>
    <t>International</t>
  </si>
  <si>
    <t>AWS (Global)</t>
  </si>
  <si>
    <t>Operating Income/(loss)</t>
  </si>
  <si>
    <t>Total Operating Income</t>
  </si>
  <si>
    <t>Guessed figures</t>
  </si>
  <si>
    <t>Composition By Geography</t>
  </si>
  <si>
    <t>Composition By Specific Segments</t>
  </si>
  <si>
    <t>Thrid Party seller services</t>
  </si>
  <si>
    <t>Composition By Broad Segments</t>
  </si>
  <si>
    <t>Revenue Growth By Specific Segments (%)</t>
  </si>
  <si>
    <t>Revenue Growth by Broad Segments (%)</t>
  </si>
  <si>
    <t>TOTAL REVENUE GROWTH (%)</t>
  </si>
  <si>
    <t>Operating Income Growth (%)</t>
  </si>
  <si>
    <t>OPERATING INCOME GROWTH (%)</t>
  </si>
  <si>
    <t>P&amp;L</t>
  </si>
  <si>
    <t>Revenue</t>
  </si>
  <si>
    <t>Net product sales</t>
  </si>
  <si>
    <t>Net service sales</t>
  </si>
  <si>
    <t>Cost of sales</t>
  </si>
  <si>
    <t>Gross Profit</t>
  </si>
  <si>
    <t>GP margin (%)</t>
  </si>
  <si>
    <t>Fulfillment</t>
  </si>
  <si>
    <t>Technology &amp; Infrastructure</t>
  </si>
  <si>
    <t>Sales &amp; marketing</t>
  </si>
  <si>
    <t>General &amp; administrative</t>
  </si>
  <si>
    <t>Other operating expense / (income)</t>
  </si>
  <si>
    <t>Total Cost &amp; Expenses</t>
  </si>
  <si>
    <t>Operating Income</t>
  </si>
  <si>
    <t>Operating margin (%)</t>
  </si>
  <si>
    <t>Other Income / (expense), Net</t>
  </si>
  <si>
    <t>Income before taxation</t>
  </si>
  <si>
    <t>Income tax benefit / (provision)</t>
  </si>
  <si>
    <t>Net Income / (Loss)</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</si>
  <si>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</si>
  <si>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</si>
  <si>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</si>
  <si>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</si>
  <si>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</si>
  <si>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</si>
  <si>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</si>
  <si>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</si>
  <si>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</si>
  <si>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</si>
  <si>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</si>
  <si>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</si>
  <si>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Dividend / Share (Pre-Split)</t>
  </si>
  <si>
    <t>Dividend yield</t>
  </si>
  <si>
    <t>Balance Sheet</t>
  </si>
  <si>
    <t>Current Assets</t>
  </si>
  <si>
    <t>Cash &amp; Cash Equivalents</t>
  </si>
  <si>
    <t>Marketable Securities</t>
  </si>
  <si>
    <t>Inventories</t>
  </si>
  <si>
    <t>Accounts Receivables</t>
  </si>
  <si>
    <t>Total Current Assets</t>
  </si>
  <si>
    <t>Non-Current Assets</t>
  </si>
  <si>
    <t>Property &amp; Equipment</t>
  </si>
  <si>
    <t>Operating Leases</t>
  </si>
  <si>
    <t>Goodwill</t>
  </si>
  <si>
    <t>Other Non-Current Assets</t>
  </si>
  <si>
    <t>Total Non-Current Assets</t>
  </si>
  <si>
    <t>Total Assets</t>
  </si>
  <si>
    <t>Current Liabilities</t>
  </si>
  <si>
    <t>Accounts Payable</t>
  </si>
  <si>
    <t>Accrued and other current liabilities</t>
  </si>
  <si>
    <t>Unearned revenue</t>
  </si>
  <si>
    <t>Total Current Liabilities</t>
  </si>
  <si>
    <t>Non-Current Liabilities</t>
  </si>
  <si>
    <t>Long-Term lease liabilities</t>
  </si>
  <si>
    <t>Long-Term Debt</t>
  </si>
  <si>
    <t>Other long-term liabilities</t>
  </si>
  <si>
    <t>Total Non-Current Liabilities</t>
  </si>
  <si>
    <t>Total Liabilities</t>
  </si>
  <si>
    <t>Equity</t>
  </si>
  <si>
    <t>Share Capital</t>
  </si>
  <si>
    <t>Treasury stock</t>
  </si>
  <si>
    <t>Additional paid-in capital (share premium)</t>
  </si>
  <si>
    <t>Accumulated other comprehensive income / (loss)</t>
  </si>
  <si>
    <t>Retained Earnings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</si>
  <si>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</si>
  <si>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</si>
  <si>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</si>
  <si>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</si>
  <si>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</si>
  <si>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</si>
  <si>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</si>
  <si>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</si>
  <si>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</si>
  <si>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</si>
  <si>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Net Income</t>
  </si>
  <si>
    <t>Depreciation &amp; Amortization</t>
  </si>
  <si>
    <t>Stock-based compensation expense</t>
  </si>
  <si>
    <t>Non-operating expense (income), net</t>
  </si>
  <si>
    <t>Deferred Income Taxes</t>
  </si>
  <si>
    <t>Changes in Assets &amp; Liabilities</t>
  </si>
  <si>
    <t>Cash Flow from Operating Activities</t>
  </si>
  <si>
    <t>Investing Activities</t>
  </si>
  <si>
    <t>Purchases of PPE (CapEx)</t>
  </si>
  <si>
    <t>Proceeds from property &amp; equipment sales &amp; incentives</t>
  </si>
  <si>
    <t>Acquisitions, net of cash acquired</t>
  </si>
  <si>
    <t>Maturities &amp; Sales of Marketable Securities</t>
  </si>
  <si>
    <t>Purchases of marketable securities</t>
  </si>
  <si>
    <t>Cash Flow from Investing Activities</t>
  </si>
  <si>
    <t>Financing Activities</t>
  </si>
  <si>
    <t>Repurchases of stock (buybacks)</t>
  </si>
  <si>
    <t>Proceeds of debt issuance</t>
  </si>
  <si>
    <t>Debt repayment</t>
  </si>
  <si>
    <t>Principal repayments of finance leases &amp; obligations</t>
  </si>
  <si>
    <t>Dividends</t>
  </si>
  <si>
    <t>Cash Flow from Financing Activities</t>
  </si>
  <si>
    <t>Effect of Exchange Rate Changes</t>
  </si>
  <si>
    <t>Net Increase / (Decrease) in cash and cash equivalents</t>
  </si>
  <si>
    <t>Cash &amp; cash equivalents at the beginning of the period</t>
  </si>
  <si>
    <t>Cash &amp; cash equivalents at the end of the period</t>
  </si>
  <si>
    <t>Free Cash Flow (FCF)</t>
  </si>
  <si>
    <t>FCF / share</t>
  </si>
  <si>
    <t>AMZN Monthly Price Changes (5 years)</t>
  </si>
  <si>
    <t>United States 10-Year Bond Yield</t>
  </si>
  <si>
    <t>https://www.investing.com/equities/amazon-com-inc-historical-data</t>
  </si>
  <si>
    <t>https://www.investing.com/rates-bonds/u.s.-10-year-bond-yield-historical-data</t>
  </si>
  <si>
    <t>Jan'19 - Dec'23</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</si>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</sst>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 numFmtId="178" formatCode="_(* #,##0.00_);_(* \(#,##0.00\);_(* &quot;-&quot;_);_(@_)"/>
  </numFmts>
  <fonts count="29">
    <font>
      <sz val="11"/>
      <color theme="1"/>
      <name val="Calibri"/>
      <charset val="134"/>
      <scheme val="minor"/>
    </font>
    <font>
      <b/>
      <sz val="11"/>
      <color theme="1"/>
      <name val="Calibri"/>
      <charset val="134"/>
      <scheme val="minor"/>
    </font>
    <font>
      <b/>
      <i/>
      <u/>
      <sz val="11"/>
      <color theme="1"/>
      <name val="Calibri"/>
      <charset val="134"/>
      <scheme val="minor"/>
    </font>
    <font>
      <b/>
      <i/>
      <sz val="11"/>
      <color theme="1"/>
      <name val="Calibri"/>
      <charset val="134"/>
      <scheme val="minor"/>
    </font>
    <font>
      <i/>
      <sz val="11"/>
      <color theme="1"/>
      <name val="Calibri"/>
      <charset val="134"/>
      <scheme val="minor"/>
    </font>
    <font>
      <b/>
      <u/>
      <sz val="12"/>
      <color theme="1"/>
      <name val="Calibri"/>
      <charset val="134"/>
      <scheme val="minor"/>
    </font>
    <font>
      <b/>
      <i/>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b/>
      <sz val="9"/>
      <name val="Times New Roman"/>
      <charset val="0"/>
    </font>
    <font>
      <sz val="9"/>
      <name val="Times New Roman"/>
      <charset val="0"/>
    </font>
  </fonts>
  <fills count="36">
    <fill>
      <patternFill patternType="none"/>
    </fill>
    <fill>
      <patternFill patternType="gray125"/>
    </fill>
    <fill>
      <patternFill patternType="solid">
        <fgColor rgb="FFFFFF00"/>
        <bgColor indexed="64"/>
      </patternFill>
    </fill>
    <fill>
      <patternFill patternType="solid">
        <fgColor theme="5" tint="0.4"/>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double">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89">
    <xf numFmtId="0" fontId="0" fillId="0" borderId="0" xfId="0">
      <alignment vertical="center"/>
    </xf>
    <xf numFmtId="0" fontId="1" fillId="0" borderId="0" xfId="0" applyFont="1" applyAlignment="1">
      <alignment horizontal="righ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vertical="center" wrapText="1"/>
    </xf>
    <xf numFmtId="15" fontId="0" fillId="2" borderId="0" xfId="0" applyNumberFormat="1" applyFill="1" applyAlignment="1">
      <alignment vertical="center" wrapText="1"/>
    </xf>
    <xf numFmtId="0" fontId="0" fillId="2" borderId="0" xfId="0" applyFill="1" applyAlignment="1">
      <alignment vertical="center" wrapText="1" readingOrder="1"/>
    </xf>
    <xf numFmtId="10" fontId="0" fillId="2" borderId="0" xfId="0" applyNumberFormat="1" applyFill="1" applyAlignment="1">
      <alignment vertical="center" wrapText="1" readingOrder="1"/>
    </xf>
    <xf numFmtId="10" fontId="0" fillId="0" borderId="0" xfId="0" applyNumberFormat="1">
      <alignment vertical="center"/>
    </xf>
    <xf numFmtId="10" fontId="0" fillId="2" borderId="0" xfId="0" applyNumberFormat="1" applyFill="1">
      <alignment vertical="center"/>
    </xf>
    <xf numFmtId="0" fontId="0" fillId="0" borderId="0" xfId="0" applyFont="1" applyAlignment="1">
      <alignment vertical="center" wrapText="1"/>
    </xf>
    <xf numFmtId="0" fontId="2" fillId="0" borderId="0" xfId="0" applyFont="1">
      <alignment vertical="center"/>
    </xf>
    <xf numFmtId="0" fontId="0" fillId="0" borderId="0" xfId="0" applyAlignment="1">
      <alignment horizontal="center"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43" fontId="3" fillId="0" borderId="0" xfId="0" applyNumberFormat="1" applyFont="1">
      <alignment vertical="center"/>
    </xf>
    <xf numFmtId="0" fontId="0" fillId="0" borderId="1" xfId="0" applyBorder="1">
      <alignment vertical="center"/>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10" fontId="0" fillId="0" borderId="2" xfId="0" applyNumberFormat="1" applyBorder="1">
      <alignment vertical="center"/>
    </xf>
    <xf numFmtId="43" fontId="4" fillId="0" borderId="0" xfId="0" applyNumberFormat="1" applyFont="1">
      <alignment vertical="center"/>
    </xf>
    <xf numFmtId="39" fontId="1" fillId="0" borderId="0" xfId="0" applyNumberFormat="1" applyFont="1">
      <alignment vertical="center"/>
    </xf>
    <xf numFmtId="39" fontId="0" fillId="0" borderId="0" xfId="0" applyNumberFormat="1">
      <alignment vertical="center"/>
    </xf>
    <xf numFmtId="0" fontId="3" fillId="0" borderId="0" xfId="0" applyFont="1">
      <alignment vertical="center"/>
    </xf>
    <xf numFmtId="0" fontId="4" fillId="0" borderId="0" xfId="0" applyFont="1">
      <alignment vertical="center"/>
    </xf>
    <xf numFmtId="43" fontId="0" fillId="0" borderId="0" xfId="0" applyNumberFormat="1">
      <alignment vertical="center"/>
    </xf>
    <xf numFmtId="41" fontId="1" fillId="0" borderId="0" xfId="0" applyNumberFormat="1" applyFont="1">
      <alignment vertical="center"/>
    </xf>
    <xf numFmtId="43" fontId="0" fillId="0" borderId="0" xfId="0" applyNumberFormat="1" applyFont="1">
      <alignment vertical="center"/>
    </xf>
    <xf numFmtId="41" fontId="0" fillId="0" borderId="0" xfId="0" applyNumberFormat="1">
      <alignment vertical="center"/>
    </xf>
    <xf numFmtId="0" fontId="0" fillId="0" borderId="0" xfId="0" applyFill="1">
      <alignment vertical="center"/>
    </xf>
    <xf numFmtId="41" fontId="0" fillId="0" borderId="0" xfId="0" applyNumberFormat="1" applyFill="1">
      <alignment vertical="center"/>
    </xf>
    <xf numFmtId="43" fontId="0" fillId="0" borderId="0" xfId="0" applyNumberFormat="1" applyFill="1">
      <alignment vertical="center"/>
    </xf>
    <xf numFmtId="41" fontId="3"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41" fontId="0" fillId="0" borderId="2" xfId="0" applyNumberFormat="1" applyFill="1" applyBorder="1">
      <alignment vertical="center"/>
    </xf>
    <xf numFmtId="41" fontId="0" fillId="3" borderId="0" xfId="0" applyNumberFormat="1" applyFill="1">
      <alignment vertical="center"/>
    </xf>
    <xf numFmtId="41" fontId="0" fillId="0" borderId="0" xfId="0" applyNumberFormat="1" applyFill="1" applyAlignment="1">
      <alignment vertical="center"/>
    </xf>
    <xf numFmtId="41" fontId="0" fillId="3" borderId="0" xfId="0" applyNumberFormat="1" applyFill="1" applyAlignment="1">
      <alignment vertical="center"/>
    </xf>
    <xf numFmtId="178" fontId="0" fillId="3" borderId="0" xfId="0" applyNumberFormat="1" applyFill="1">
      <alignment vertical="center"/>
    </xf>
    <xf numFmtId="178" fontId="0" fillId="0" borderId="0" xfId="0" applyNumberFormat="1" applyFill="1">
      <alignment vertical="center"/>
    </xf>
    <xf numFmtId="0" fontId="5" fillId="4" borderId="0" xfId="0" applyFont="1" applyFill="1">
      <alignment vertical="center"/>
    </xf>
    <xf numFmtId="0" fontId="0" fillId="4" borderId="0" xfId="0" applyFill="1">
      <alignment vertical="center"/>
    </xf>
    <xf numFmtId="43" fontId="4" fillId="0" borderId="0" xfId="0" applyNumberFormat="1" applyFont="1" applyFill="1">
      <alignment vertical="center"/>
    </xf>
    <xf numFmtId="43" fontId="4" fillId="0" borderId="2" xfId="0" applyNumberFormat="1" applyFont="1" applyFill="1" applyBorder="1">
      <alignment vertical="center"/>
    </xf>
    <xf numFmtId="43" fontId="0" fillId="0" borderId="0" xfId="0" applyNumberFormat="1" applyFont="1" applyFill="1">
      <alignment vertical="center"/>
    </xf>
    <xf numFmtId="43" fontId="4" fillId="4" borderId="0" xfId="0" applyNumberFormat="1" applyFont="1" applyFill="1">
      <alignment vertical="center"/>
    </xf>
    <xf numFmtId="39" fontId="0" fillId="0" borderId="0" xfId="0" applyNumberFormat="1" applyFill="1">
      <alignment vertical="center"/>
    </xf>
    <xf numFmtId="41" fontId="0" fillId="0" borderId="0" xfId="0" applyNumberFormat="1" applyFill="1" applyAlignment="1">
      <alignment horizontal="center" vertical="center"/>
    </xf>
    <xf numFmtId="43" fontId="0" fillId="0" borderId="0" xfId="0" applyNumberFormat="1" applyFill="1" applyAlignment="1">
      <alignment horizontal="center" vertical="center"/>
    </xf>
    <xf numFmtId="39" fontId="0" fillId="0" borderId="0" xfId="0" applyNumberFormat="1" applyFont="1" applyFill="1" applyBorder="1">
      <alignment vertical="center"/>
    </xf>
    <xf numFmtId="43" fontId="0" fillId="0" borderId="0" xfId="0" applyNumberFormat="1" applyFill="1" applyBorder="1">
      <alignment vertical="center"/>
    </xf>
    <xf numFmtId="41" fontId="0" fillId="0" borderId="0" xfId="0" applyNumberFormat="1" applyFill="1" applyBorder="1">
      <alignment vertical="center"/>
    </xf>
    <xf numFmtId="41" fontId="0" fillId="0" borderId="0" xfId="0" applyNumberFormat="1" applyFill="1" applyBorder="1" applyAlignment="1">
      <alignment horizontal="center" vertical="center"/>
    </xf>
    <xf numFmtId="39" fontId="1" fillId="4" borderId="0" xfId="0" applyNumberFormat="1" applyFont="1" applyFill="1">
      <alignment vertical="center"/>
    </xf>
    <xf numFmtId="39" fontId="1" fillId="0" borderId="0" xfId="0" applyNumberFormat="1" applyFont="1" applyFill="1">
      <alignment vertical="center"/>
    </xf>
    <xf numFmtId="0" fontId="1" fillId="4" borderId="0" xfId="0" applyFont="1" applyFill="1">
      <alignment vertical="center"/>
    </xf>
    <xf numFmtId="0" fontId="1" fillId="0" borderId="0" xfId="0" applyFont="1" applyFill="1">
      <alignment vertical="center"/>
    </xf>
    <xf numFmtId="41" fontId="1" fillId="0" borderId="0" xfId="0" applyNumberFormat="1" applyFont="1" applyFill="1">
      <alignment vertical="center"/>
    </xf>
    <xf numFmtId="0" fontId="6" fillId="4" borderId="0" xfId="0" applyFont="1" applyFill="1">
      <alignment vertical="center"/>
    </xf>
    <xf numFmtId="0" fontId="3" fillId="4" borderId="0" xfId="0" applyFont="1" applyFill="1">
      <alignment vertical="center"/>
    </xf>
    <xf numFmtId="0" fontId="3" fillId="0" borderId="0" xfId="0" applyFont="1" applyFill="1">
      <alignment vertical="center"/>
    </xf>
    <xf numFmtId="43" fontId="3" fillId="0" borderId="0" xfId="0" applyNumberFormat="1" applyFont="1" applyFill="1">
      <alignment vertical="center"/>
    </xf>
    <xf numFmtId="0" fontId="4" fillId="4" borderId="0" xfId="0" applyFont="1" applyFill="1">
      <alignment vertical="center"/>
    </xf>
    <xf numFmtId="41" fontId="4" fillId="0" borderId="0" xfId="0" applyNumberFormat="1" applyFont="1" applyFill="1">
      <alignment vertical="center"/>
    </xf>
    <xf numFmtId="0" fontId="4" fillId="0" borderId="0" xfId="0" applyFont="1" applyFill="1">
      <alignment vertical="center"/>
    </xf>
    <xf numFmtId="43" fontId="0" fillId="4" borderId="0" xfId="0" applyNumberFormat="1" applyFill="1">
      <alignment vertical="center"/>
    </xf>
    <xf numFmtId="41" fontId="3" fillId="4" borderId="0" xfId="0" applyNumberFormat="1" applyFont="1" applyFill="1">
      <alignment vertical="center"/>
    </xf>
    <xf numFmtId="41" fontId="1" fillId="4" borderId="0" xfId="0" applyNumberFormat="1" applyFont="1" applyFill="1">
      <alignment vertical="center"/>
    </xf>
    <xf numFmtId="43" fontId="0" fillId="4" borderId="0" xfId="0" applyNumberFormat="1" applyFont="1" applyFill="1">
      <alignment vertical="center"/>
    </xf>
    <xf numFmtId="41" fontId="4" fillId="4" borderId="0" xfId="0" applyNumberFormat="1" applyFont="1" applyFill="1">
      <alignment vertical="center"/>
    </xf>
    <xf numFmtId="41" fontId="0" fillId="4" borderId="0" xfId="0" applyNumberFormat="1" applyFill="1">
      <alignment vertical="center"/>
    </xf>
    <xf numFmtId="37" fontId="3" fillId="4" borderId="0" xfId="0" applyNumberFormat="1" applyFont="1" applyFill="1">
      <alignment vertical="center"/>
    </xf>
    <xf numFmtId="37" fontId="1" fillId="4" borderId="0" xfId="0" applyNumberFormat="1" applyFont="1" applyFill="1">
      <alignment vertical="center"/>
    </xf>
    <xf numFmtId="43" fontId="1" fillId="0" borderId="0" xfId="0" applyNumberFormat="1" applyFont="1" applyFill="1">
      <alignment vertical="center"/>
    </xf>
    <xf numFmtId="41" fontId="0" fillId="0" borderId="0" xfId="0" applyNumberFormat="1" applyFont="1" applyFill="1">
      <alignment vertical="center"/>
    </xf>
    <xf numFmtId="39" fontId="0" fillId="0" borderId="0" xfId="0" applyNumberFormat="1" applyFont="1" applyFill="1">
      <alignment vertical="center"/>
    </xf>
    <xf numFmtId="41" fontId="0" fillId="3" borderId="2" xfId="0" applyNumberFormat="1" applyFill="1" applyBorder="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right" vertical="center"/>
    </xf>
    <xf numFmtId="0" fontId="0" fillId="2"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0" fontId="1"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M17" sqref="M17"/>
    </sheetView>
    <sheetView workbookViewId="1">
      <selection activeCell="A1" sqref="A1"/>
    </sheetView>
  </sheetViews>
  <sheetFormatPr defaultColWidth="9.14285714285714" defaultRowHeight="15"/>
  <cols>
    <col min="3" max="3" width="4.42857142857143" customWidth="1"/>
    <col min="6" max="6" width="10.5714285714286"/>
  </cols>
  <sheetData>
    <row r="2" spans="2:2">
      <c r="B2" s="2" t="s">
        <v>0</v>
      </c>
    </row>
    <row r="3" spans="2:49">
      <c r="B3" s="81"/>
      <c r="E3" s="81"/>
      <c r="F3" s="81"/>
      <c r="G3" s="81"/>
      <c r="H3" s="81" t="s">
        <v>1</v>
      </c>
      <c r="J3" s="81"/>
      <c r="K3" s="81" t="s">
        <v>2</v>
      </c>
      <c r="L3" s="81"/>
      <c r="M3" s="81"/>
      <c r="N3" s="81"/>
      <c r="O3" s="81"/>
      <c r="P3" s="81"/>
      <c r="Q3" s="81"/>
      <c r="R3" s="81"/>
      <c r="S3" s="81"/>
      <c r="T3" s="81" t="s">
        <v>3</v>
      </c>
      <c r="U3" s="81"/>
      <c r="V3" s="81"/>
      <c r="W3" s="81"/>
      <c r="X3" s="81"/>
      <c r="Y3" s="81"/>
      <c r="Z3" s="81"/>
      <c r="AA3" s="81"/>
      <c r="AB3" s="81"/>
      <c r="AC3" s="81" t="s">
        <v>4</v>
      </c>
      <c r="AD3" s="81"/>
      <c r="AE3" s="81"/>
      <c r="AF3" s="81"/>
      <c r="AG3" s="81"/>
      <c r="AH3" s="81"/>
      <c r="AI3" s="81"/>
      <c r="AJ3" s="81"/>
      <c r="AK3" s="81"/>
      <c r="AL3" s="81" t="s">
        <v>5</v>
      </c>
      <c r="AM3" s="81"/>
      <c r="AN3" s="81"/>
      <c r="AO3" s="81"/>
      <c r="AP3" s="81"/>
      <c r="AQ3" s="81"/>
      <c r="AR3" s="81"/>
      <c r="AS3" s="81"/>
      <c r="AT3" s="81"/>
      <c r="AU3" s="81" t="s">
        <v>6</v>
      </c>
      <c r="AV3" s="81"/>
      <c r="AW3" s="81"/>
    </row>
    <row r="4" spans="2:50">
      <c r="B4" s="81"/>
      <c r="E4" s="81"/>
      <c r="F4" s="81"/>
      <c r="G4" s="81"/>
      <c r="H4" s="81" t="s">
        <v>7</v>
      </c>
      <c r="J4" s="4"/>
      <c r="K4" s="4" t="s">
        <v>8</v>
      </c>
      <c r="L4" s="81"/>
      <c r="M4" s="81"/>
      <c r="N4" s="4" t="s">
        <v>9</v>
      </c>
      <c r="O4" s="81"/>
      <c r="P4" s="81"/>
      <c r="Q4" s="4" t="s">
        <v>10</v>
      </c>
      <c r="R4" s="81"/>
      <c r="S4" s="81"/>
      <c r="T4" s="4" t="s">
        <v>11</v>
      </c>
      <c r="U4" s="81"/>
      <c r="V4" s="81"/>
      <c r="W4" s="4" t="s">
        <v>12</v>
      </c>
      <c r="X4" s="81"/>
      <c r="Y4" s="81"/>
      <c r="Z4" s="81" t="s">
        <v>13</v>
      </c>
      <c r="AA4" s="81"/>
      <c r="AB4" s="81"/>
      <c r="AC4" s="81" t="s">
        <v>14</v>
      </c>
      <c r="AD4" s="81"/>
      <c r="AE4" s="81"/>
      <c r="AF4" s="81" t="s">
        <v>15</v>
      </c>
      <c r="AG4" s="81"/>
      <c r="AH4" s="81"/>
      <c r="AI4" s="81" t="s">
        <v>16</v>
      </c>
      <c r="AJ4" s="81"/>
      <c r="AK4" s="81"/>
      <c r="AL4" s="81" t="s">
        <v>17</v>
      </c>
      <c r="AM4" s="81"/>
      <c r="AN4" s="81"/>
      <c r="AO4" s="81" t="s">
        <v>18</v>
      </c>
      <c r="AP4" s="81"/>
      <c r="AQ4" s="81"/>
      <c r="AR4" s="81" t="s">
        <v>19</v>
      </c>
      <c r="AS4" s="81"/>
      <c r="AT4" s="81"/>
      <c r="AU4" s="81" t="s">
        <v>20</v>
      </c>
      <c r="AV4" s="81"/>
      <c r="AW4" s="81"/>
      <c r="AX4" t="s">
        <v>21</v>
      </c>
    </row>
    <row r="5" ht="45" spans="2:52">
      <c r="B5" s="82" t="s">
        <v>22</v>
      </c>
      <c r="D5" s="82" t="s">
        <v>23</v>
      </c>
      <c r="E5" s="82" t="s">
        <v>24</v>
      </c>
      <c r="F5" s="82" t="s">
        <v>25</v>
      </c>
      <c r="G5" s="82" t="s">
        <v>26</v>
      </c>
      <c r="H5" s="82" t="s">
        <v>27</v>
      </c>
      <c r="I5" s="82" t="s">
        <v>28</v>
      </c>
      <c r="J5" s="82" t="s">
        <v>29</v>
      </c>
      <c r="K5" s="82" t="s">
        <v>27</v>
      </c>
      <c r="L5" s="82" t="s">
        <v>28</v>
      </c>
      <c r="M5" s="82" t="s">
        <v>29</v>
      </c>
      <c r="N5" s="82" t="s">
        <v>27</v>
      </c>
      <c r="O5" s="82" t="s">
        <v>28</v>
      </c>
      <c r="P5" s="82" t="s">
        <v>29</v>
      </c>
      <c r="Q5" s="82" t="s">
        <v>27</v>
      </c>
      <c r="R5" s="82" t="s">
        <v>28</v>
      </c>
      <c r="S5" s="82" t="s">
        <v>29</v>
      </c>
      <c r="T5" s="82" t="s">
        <v>27</v>
      </c>
      <c r="U5" s="82" t="s">
        <v>28</v>
      </c>
      <c r="V5" s="82" t="s">
        <v>29</v>
      </c>
      <c r="W5" s="82" t="s">
        <v>27</v>
      </c>
      <c r="X5" s="82" t="s">
        <v>28</v>
      </c>
      <c r="Y5" s="82" t="s">
        <v>29</v>
      </c>
      <c r="Z5" s="82" t="s">
        <v>27</v>
      </c>
      <c r="AA5" s="82" t="s">
        <v>28</v>
      </c>
      <c r="AB5" s="82" t="s">
        <v>29</v>
      </c>
      <c r="AC5" s="82" t="s">
        <v>27</v>
      </c>
      <c r="AD5" s="82" t="s">
        <v>28</v>
      </c>
      <c r="AE5" s="82" t="s">
        <v>29</v>
      </c>
      <c r="AF5" s="82" t="s">
        <v>27</v>
      </c>
      <c r="AG5" s="82" t="s">
        <v>28</v>
      </c>
      <c r="AH5" s="82" t="s">
        <v>29</v>
      </c>
      <c r="AI5" s="82" t="s">
        <v>27</v>
      </c>
      <c r="AJ5" s="82" t="s">
        <v>28</v>
      </c>
      <c r="AK5" s="82" t="s">
        <v>29</v>
      </c>
      <c r="AL5" s="82" t="s">
        <v>27</v>
      </c>
      <c r="AM5" s="82" t="s">
        <v>28</v>
      </c>
      <c r="AN5" s="82" t="s">
        <v>29</v>
      </c>
      <c r="AO5" s="82" t="s">
        <v>27</v>
      </c>
      <c r="AP5" s="82" t="s">
        <v>28</v>
      </c>
      <c r="AQ5" s="82" t="s">
        <v>29</v>
      </c>
      <c r="AR5" s="82" t="s">
        <v>27</v>
      </c>
      <c r="AS5" s="82" t="s">
        <v>28</v>
      </c>
      <c r="AT5" s="82" t="s">
        <v>29</v>
      </c>
      <c r="AU5" s="88" t="s">
        <v>27</v>
      </c>
      <c r="AV5" s="88" t="s">
        <v>28</v>
      </c>
      <c r="AW5" s="88" t="s">
        <v>29</v>
      </c>
      <c r="AX5" s="88" t="s">
        <v>27</v>
      </c>
      <c r="AY5" s="88" t="s">
        <v>28</v>
      </c>
      <c r="AZ5" s="88" t="s">
        <v>29</v>
      </c>
    </row>
    <row r="6" spans="2:52">
      <c r="B6" s="81">
        <v>2023</v>
      </c>
      <c r="D6" s="83" t="s">
        <v>30</v>
      </c>
      <c r="E6" s="84">
        <v>2023</v>
      </c>
      <c r="F6" s="50">
        <f ca="1">OFFSET(FS!P123,0,E$6-B$6)</f>
        <v>1655842.12</v>
      </c>
      <c r="G6" s="51">
        <f ca="1">OFFSET(FS!P117,0,E$6-B$6)</f>
        <v>151.94</v>
      </c>
      <c r="H6" s="85">
        <f ca="1">((OFFSET(FS!P$117,0,E$6-B$6)/OFFSET(FS!P$117,0,-1+E$6-B$6))^(1/1)-1)*100</f>
        <v>80.8809523809524</v>
      </c>
      <c r="I6" s="85">
        <f ca="1">((OFFSET(FS!P$117,0,E$6-B$6)/OFFSET(FS!P$117,0,-2+E$6-B$6))^(1/3)-1)*100</f>
        <v>-3.41629906879928</v>
      </c>
      <c r="J6" s="85">
        <f ca="1">((OFFSET(FS!P$117,0,E$6-B$6)/OFFSET(FS!P$117,0,-4+E$6-B$6))^(1/5)-1)*100</f>
        <v>10.4730769530623</v>
      </c>
      <c r="K6" s="86">
        <f ca="1">OFFSET(FS!P$91,0,0+E$6-B$6)</f>
        <v>46.9820889550006</v>
      </c>
      <c r="L6" s="86">
        <f ca="1">AVERAGE(OFFSET(FS!P$91,0,-2+E$6-B$6):OFFSET(FS!P$91,0,E$6-B$6))</f>
        <v>44.2733144206555</v>
      </c>
      <c r="M6" s="86">
        <f ca="1">AVERAGE(OFFSET(FS!P$91,0,-4+E$6-B$6):OFFSET(FS!P$91,0,E$6-B$6))</f>
        <v>42.6755493218546</v>
      </c>
      <c r="N6" s="86">
        <f ca="1">OFFSET(FS!P$101,0,0+E$6-B$6)</f>
        <v>6.41144079960333</v>
      </c>
      <c r="O6" s="86">
        <f ca="1">AVERAGE(OFFSET(FS!P$101,0,-2+E$6-B$6):OFFSET(FS!P$101,0,E$6-B$6))</f>
        <v>4.69660291391817</v>
      </c>
      <c r="P6" s="86">
        <f ca="1">AVERAGE(OFFSET(FS!P$101,0,-4+E$6-B$6):OFFSET(FS!P$101,0,E$6-B$6))</f>
        <v>5.04095187662921</v>
      </c>
      <c r="Q6" s="86">
        <f ca="1">OFFSET(FS!P$110,0,0+E$6-B$6)</f>
        <v>5.29328357559783</v>
      </c>
      <c r="R6" s="86">
        <f ca="1">AVERAGE(OFFSET(FS!P$110,0,-2+E$6-B$6):OFFSET(FS!P$110,0,E$6-B$6))</f>
        <v>3.95503565035685</v>
      </c>
      <c r="S6" s="86">
        <f ca="1">AVERAGE(OFFSET(FS!P$110,0,-4+E$6-B$6):OFFSET(FS!P$110,0,E$6-B$6))</f>
        <v>4.3042453913349</v>
      </c>
      <c r="T6" s="87">
        <f ca="1">OFFSET(FS!P$119,0,0+E$6-B$6)</f>
        <v>54.4237344289236</v>
      </c>
      <c r="U6" s="87">
        <f ca="1">AVERAGE(OFFSET(FS!P$119,0,-2+E$6-B$6):OFFSET(FS!P$119,0,E$6-B$6))</f>
        <v>36.0747875503198</v>
      </c>
      <c r="V6" s="87">
        <f ca="1">AVERAGE(OFFSET(FS!P$119,0,-4+E$6-B$6):OFFSET(FS!P$119,0,E$6-B$6))</f>
        <v>54.4870917305671</v>
      </c>
      <c r="W6" s="86">
        <f ca="1">OFFSET(FS!P$118,0,0+E$6-B$6)</f>
        <v>2.7917966599376</v>
      </c>
      <c r="X6" s="86">
        <f ca="1">AVERAGE(OFFSET(FS!P$118,0,-2+E$6-B$6):OFFSET(FS!P$118,0,E$6-B$6))</f>
        <v>1.89109600651914</v>
      </c>
      <c r="Y6" s="86">
        <f ca="1">AVERAGE(OFFSET(FS!P$118,0,-4+E$6-B$6):OFFSET(FS!P$118,0,E$6-B$6))</f>
        <v>1.76183883836427</v>
      </c>
      <c r="Z6" s="86">
        <f ca="1">OFFSET(FS!P$129,0,0+E$6-B$6)</f>
        <v>0</v>
      </c>
      <c r="AA6" s="86">
        <f ca="1">AVERAGE(OFFSET(FS!P$129,0,-2+E$6-B$6):OFFSET(FS!P$129,0,E$6-B$6))</f>
        <v>0</v>
      </c>
      <c r="AB6" s="86">
        <f ca="1">AVERAGE(OFFSET(FS!P$129,0,-4+E$6-B$6):OFFSET(FS!P$129,0,E$6-B$6))</f>
        <v>0</v>
      </c>
      <c r="AC6" s="86">
        <f ca="1">OFFSET(FS!P$175,0,0+E$6-B$6)</f>
        <v>0.617555233075813</v>
      </c>
      <c r="AD6" s="86">
        <f ca="1">AVERAGE(OFFSET(FS!P$175,0,-2+E$6-B$6):OFFSET(FS!P$175,0,E$6-B$6))</f>
        <v>0.657726982662981</v>
      </c>
      <c r="AE6" s="86">
        <f ca="1">AVERAGE(OFFSET(FS!P$175,0,-4+E$6-B$6):OFFSET(FS!P$175,0,E$6-B$6))</f>
        <v>0.681372174083431</v>
      </c>
      <c r="AF6" s="86">
        <f ca="1">OFFSET(FS!P$176,0,0+E$6-B$6)</f>
        <v>1.61475665634675</v>
      </c>
      <c r="AG6" s="86">
        <f ca="1">AVERAGE(OFFSET(FS!P$176,0,-2+E$6-B$6):OFFSET(FS!P$176,0,E$6-B$6))</f>
        <v>1.94162873779552</v>
      </c>
      <c r="AH6" s="86">
        <f ca="1">AVERAGE(OFFSET(FS!P$176,0,-4+E$6-B$6):OFFSET(FS!P$176,0,E$6-B$6))</f>
        <v>2.17863547834888</v>
      </c>
      <c r="AI6" s="86">
        <f ca="1">OFFSET(FS!P$177,0,0+E$6-B$6)</f>
        <v>0.567132058073888</v>
      </c>
      <c r="AJ6" s="86">
        <f ca="1">AVERAGE(OFFSET(FS!P$177,0,-2+E$6-B$6):OFFSET(FS!P$177,0,E$6-B$6))</f>
        <v>0.594680790234898</v>
      </c>
      <c r="AK6" s="86">
        <f ca="1">AVERAGE(OFFSET(FS!P$177,0,-4+E$6-B$6):OFFSET(FS!P$177,0,E$6-B$6))</f>
        <v>0.591161288148287</v>
      </c>
      <c r="AL6" s="86">
        <f ca="1">OFFSET(FS!P$180,0,0+E$6-B$6)</f>
        <v>9.14637733357344</v>
      </c>
      <c r="AM6" s="86">
        <f ca="1">AVERAGE(OFFSET(FS!P$180,0,-2+E$6-B$6):OFFSET(FS!P$180,0,E$6-B$6))</f>
        <v>8.62842655825814</v>
      </c>
      <c r="AN6" s="86">
        <f ca="1">AVERAGE(OFFSET(FS!P$180,0,-4+E$6-B$6):OFFSET(FS!P$180,0,E$6-B$6))</f>
        <v>8.75325266946848</v>
      </c>
      <c r="AO6" s="86">
        <f ca="1">OFFSET(FS!P$181,0,0+E$6-B$6)</f>
        <v>11.0000382753143</v>
      </c>
      <c r="AP6" s="86">
        <f ca="1">AVERAGE(OFFSET(FS!P$181,0,-2+E$6-B$6):OFFSET(FS!P$181,0,E$6-B$6))</f>
        <v>12.4726457342404</v>
      </c>
      <c r="AQ6" s="86">
        <f ca="1">AVERAGE(OFFSET(FS!P$181,0,-4+E$6-B$6):OFFSET(FS!P$181,0,E$6-B$6))</f>
        <v>13.3249905496538</v>
      </c>
      <c r="AR6" s="86">
        <f ca="1">OFFSET(FS!P$182,0,0+E$6-B$6)</f>
        <v>3.58596627481437</v>
      </c>
      <c r="AS6" s="86">
        <f ca="1">AVERAGE(OFFSET(FS!P$182,0,-2+E$6-B$6):OFFSET(FS!P$182,0,E$6-B$6))</f>
        <v>3.55887126182622</v>
      </c>
      <c r="AT6" s="86">
        <f ca="1">AVERAGE(OFFSET(FS!P$182,0,-4+E$6-B$6):OFFSET(FS!P$182,0,E$6-B$6))</f>
        <v>3.48025869635951</v>
      </c>
      <c r="AU6" s="27">
        <f>'Sharpe, Sortino'!O23</f>
        <v>1.56118803453725</v>
      </c>
      <c r="AV6" s="27">
        <f>'Sharpe, Sortino'!P23</f>
        <v>-0.122956546192707</v>
      </c>
      <c r="AW6" s="27">
        <f>'Sharpe, Sortino'!Q23</f>
        <v>0.292973561661489</v>
      </c>
      <c r="AX6" s="27">
        <f>'Sharpe, Sortino'!O40</f>
        <v>24.7482123861846</v>
      </c>
      <c r="AY6" s="27">
        <f>'Sharpe, Sortino'!P40</f>
        <v>-0.226803112926971</v>
      </c>
      <c r="AZ6" s="27">
        <f>'Sharpe, Sortino'!Q40</f>
        <v>0.572959278215728</v>
      </c>
    </row>
    <row r="11" spans="3:3">
      <c r="C11" s="3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221"/>
  <sheetViews>
    <sheetView workbookViewId="0">
      <pane xSplit="4" ySplit="3" topLeftCell="E105" activePane="bottomRight" state="frozen"/>
      <selection/>
      <selection pane="topRight"/>
      <selection pane="bottomLeft"/>
      <selection pane="bottomRight" activeCell="P123" sqref="P123"/>
    </sheetView>
    <sheetView tabSelected="1" workbookViewId="1">
      <pane xSplit="4" ySplit="3" topLeftCell="E100" activePane="bottomRight" state="frozen"/>
      <selection/>
      <selection pane="topRight"/>
      <selection pane="bottomLeft"/>
      <selection pane="bottomRight" activeCell="S123" sqref="S123"/>
    </sheetView>
  </sheetViews>
  <sheetFormatPr defaultColWidth="9.14285714285714" defaultRowHeight="15"/>
  <cols>
    <col min="2" max="3" width="6.28571428571429" customWidth="1"/>
    <col min="4" max="4" width="39.7142857142857" customWidth="1"/>
    <col min="5" max="5" width="9.14285714285714" style="31"/>
    <col min="6" max="12" width="11.7142857142857" style="32"/>
    <col min="13" max="16" width="10.5714285714286" style="32"/>
    <col min="17" max="17" width="9.14285714285714" style="31"/>
    <col min="18" max="18" width="9.14285714285714" style="32"/>
    <col min="19" max="21" width="9.14285714285714" style="33"/>
    <col min="22" max="22" width="9.14285714285714" style="32"/>
    <col min="23" max="23" width="9.14285714285714" style="31"/>
  </cols>
  <sheetData>
    <row r="1" spans="6:16">
      <c r="F1" s="34" t="s">
        <v>31</v>
      </c>
      <c r="G1" s="34"/>
      <c r="H1" s="34"/>
      <c r="I1" s="34"/>
      <c r="J1" s="34"/>
      <c r="K1" s="34"/>
      <c r="M1" s="31"/>
      <c r="N1" s="31"/>
      <c r="O1" s="31"/>
      <c r="P1" s="31"/>
    </row>
    <row r="2" s="12" customFormat="1" spans="5:23">
      <c r="E2" s="35"/>
      <c r="F2" s="35" t="s">
        <v>32</v>
      </c>
      <c r="G2" s="35"/>
      <c r="H2" s="35"/>
      <c r="I2" s="35"/>
      <c r="J2" s="35"/>
      <c r="K2" s="35"/>
      <c r="M2" s="35"/>
      <c r="N2" s="35"/>
      <c r="O2" s="35"/>
      <c r="P2" s="35"/>
      <c r="Q2" s="35"/>
      <c r="R2" s="50"/>
      <c r="S2" s="51"/>
      <c r="T2" s="51"/>
      <c r="U2" s="51" t="s">
        <v>33</v>
      </c>
      <c r="V2" s="50"/>
      <c r="W2" s="35"/>
    </row>
    <row r="3" s="12" customFormat="1" spans="5:23">
      <c r="E3" s="35"/>
      <c r="F3" s="35">
        <v>2013</v>
      </c>
      <c r="G3" s="35">
        <v>2014</v>
      </c>
      <c r="H3" s="35">
        <v>2015</v>
      </c>
      <c r="I3" s="35">
        <v>2016</v>
      </c>
      <c r="J3" s="35">
        <v>2017</v>
      </c>
      <c r="K3" s="35">
        <v>2018</v>
      </c>
      <c r="L3" s="35">
        <v>2019</v>
      </c>
      <c r="M3" s="35">
        <v>2020</v>
      </c>
      <c r="N3" s="35">
        <v>2021</v>
      </c>
      <c r="O3" s="35">
        <v>2022</v>
      </c>
      <c r="P3" s="35">
        <v>2023</v>
      </c>
      <c r="Q3" s="35"/>
      <c r="R3" s="50" t="s">
        <v>34</v>
      </c>
      <c r="S3" s="51" t="s">
        <v>35</v>
      </c>
      <c r="T3" s="51" t="s">
        <v>7</v>
      </c>
      <c r="U3" s="51" t="s">
        <v>36</v>
      </c>
      <c r="V3" s="50"/>
      <c r="W3" s="35"/>
    </row>
    <row r="5" ht="15.75" spans="2:2">
      <c r="B5" s="36" t="s">
        <v>37</v>
      </c>
    </row>
    <row r="6" spans="3:18">
      <c r="C6" t="s">
        <v>38</v>
      </c>
      <c r="F6" s="32">
        <v>43959</v>
      </c>
      <c r="G6" s="32">
        <v>54717</v>
      </c>
      <c r="H6" s="32">
        <v>70537</v>
      </c>
      <c r="I6" s="32">
        <v>90349</v>
      </c>
      <c r="J6" s="32">
        <v>120486</v>
      </c>
      <c r="K6" s="32">
        <v>160146</v>
      </c>
      <c r="L6" s="32">
        <v>193636</v>
      </c>
      <c r="M6" s="32">
        <v>263520</v>
      </c>
      <c r="N6" s="32">
        <v>314006</v>
      </c>
      <c r="O6" s="32">
        <v>356113</v>
      </c>
      <c r="P6" s="32">
        <v>395637</v>
      </c>
      <c r="R6" s="52"/>
    </row>
    <row r="7" spans="3:18">
      <c r="C7" t="s">
        <v>39</v>
      </c>
      <c r="F7" s="32">
        <v>10535</v>
      </c>
      <c r="G7" s="32">
        <v>11919</v>
      </c>
      <c r="H7" s="32">
        <v>11816</v>
      </c>
      <c r="I7" s="32">
        <v>14148</v>
      </c>
      <c r="J7" s="32">
        <v>16951</v>
      </c>
      <c r="K7" s="32">
        <v>19881</v>
      </c>
      <c r="L7" s="32">
        <v>22232</v>
      </c>
      <c r="M7" s="32">
        <v>29565</v>
      </c>
      <c r="N7" s="32">
        <v>37326</v>
      </c>
      <c r="O7" s="32">
        <v>33598</v>
      </c>
      <c r="P7" s="32">
        <v>37588</v>
      </c>
      <c r="R7" s="52"/>
    </row>
    <row r="8" spans="3:18">
      <c r="C8" t="s">
        <v>40</v>
      </c>
      <c r="F8" s="32">
        <v>7291</v>
      </c>
      <c r="G8" s="32">
        <v>8341</v>
      </c>
      <c r="H8" s="32">
        <v>9033</v>
      </c>
      <c r="I8" s="32">
        <v>9547</v>
      </c>
      <c r="J8" s="32">
        <v>11372</v>
      </c>
      <c r="K8" s="32">
        <v>14524</v>
      </c>
      <c r="L8" s="32">
        <v>17527</v>
      </c>
      <c r="M8" s="32">
        <v>26483</v>
      </c>
      <c r="N8" s="32">
        <v>31914</v>
      </c>
      <c r="O8" s="32">
        <v>30074</v>
      </c>
      <c r="P8" s="32">
        <v>33591</v>
      </c>
      <c r="R8" s="52"/>
    </row>
    <row r="9" spans="3:18">
      <c r="C9" t="s">
        <v>41</v>
      </c>
      <c r="F9" s="32">
        <v>7639</v>
      </c>
      <c r="G9" s="32">
        <v>7912</v>
      </c>
      <c r="H9" s="32">
        <v>8264</v>
      </c>
      <c r="I9" s="32">
        <v>10797</v>
      </c>
      <c r="J9" s="32">
        <v>11907</v>
      </c>
      <c r="K9" s="32">
        <v>13829</v>
      </c>
      <c r="L9" s="32">
        <v>16002</v>
      </c>
      <c r="M9" s="32">
        <v>20461</v>
      </c>
      <c r="N9" s="32">
        <v>23071</v>
      </c>
      <c r="O9" s="32">
        <v>24396</v>
      </c>
      <c r="P9" s="32">
        <v>26002</v>
      </c>
      <c r="R9" s="52"/>
    </row>
    <row r="10" spans="3:18">
      <c r="C10" t="s">
        <v>42</v>
      </c>
      <c r="F10" s="32">
        <v>5028</v>
      </c>
      <c r="G10" s="32">
        <v>6099</v>
      </c>
      <c r="H10" s="32">
        <v>7356</v>
      </c>
      <c r="I10" s="32">
        <v>11146</v>
      </c>
      <c r="J10" s="32">
        <v>17150</v>
      </c>
      <c r="K10" s="32">
        <v>24507</v>
      </c>
      <c r="L10" s="32">
        <v>31125</v>
      </c>
      <c r="M10" s="32">
        <v>46035</v>
      </c>
      <c r="N10" s="32">
        <v>63505</v>
      </c>
      <c r="O10" s="32">
        <v>69802</v>
      </c>
      <c r="P10" s="32">
        <v>81967</v>
      </c>
      <c r="R10" s="52"/>
    </row>
    <row r="11" spans="2:18">
      <c r="B11" t="s">
        <v>43</v>
      </c>
      <c r="F11" s="37">
        <f>SUM(F6:F10)</f>
        <v>74452</v>
      </c>
      <c r="G11" s="37">
        <f t="shared" ref="G11:P11" si="0">SUM(G6:G10)</f>
        <v>88988</v>
      </c>
      <c r="H11" s="37">
        <f t="shared" si="0"/>
        <v>107006</v>
      </c>
      <c r="I11" s="37">
        <f t="shared" si="0"/>
        <v>135987</v>
      </c>
      <c r="J11" s="37">
        <f t="shared" si="0"/>
        <v>177866</v>
      </c>
      <c r="K11" s="37">
        <f t="shared" si="0"/>
        <v>232887</v>
      </c>
      <c r="L11" s="37">
        <f t="shared" si="0"/>
        <v>280522</v>
      </c>
      <c r="M11" s="37">
        <f t="shared" si="0"/>
        <v>386064</v>
      </c>
      <c r="N11" s="37">
        <f t="shared" si="0"/>
        <v>469822</v>
      </c>
      <c r="O11" s="37">
        <f t="shared" si="0"/>
        <v>513983</v>
      </c>
      <c r="P11" s="37">
        <f t="shared" si="0"/>
        <v>574785</v>
      </c>
      <c r="R11" s="53"/>
    </row>
    <row r="12" spans="18:18">
      <c r="R12" s="54"/>
    </row>
    <row r="13" ht="15.75" spans="2:2">
      <c r="B13" s="36" t="s">
        <v>44</v>
      </c>
    </row>
    <row r="14" spans="3:16">
      <c r="C14" t="s">
        <v>45</v>
      </c>
      <c r="D14"/>
      <c r="F14" s="38">
        <f>48802+21716</f>
        <v>70518</v>
      </c>
      <c r="G14" s="32">
        <v>68513</v>
      </c>
      <c r="H14" s="32">
        <v>76863</v>
      </c>
      <c r="I14" s="32">
        <v>91431</v>
      </c>
      <c r="J14" s="32">
        <v>108354</v>
      </c>
      <c r="K14" s="32">
        <v>122987</v>
      </c>
      <c r="L14" s="32">
        <v>141247</v>
      </c>
      <c r="M14" s="32">
        <v>197346</v>
      </c>
      <c r="N14" s="32">
        <v>222075</v>
      </c>
      <c r="O14" s="32">
        <v>220004</v>
      </c>
      <c r="P14" s="32">
        <v>231872</v>
      </c>
    </row>
    <row r="15" spans="3:16">
      <c r="C15" t="s">
        <v>46</v>
      </c>
      <c r="D15"/>
      <c r="F15" s="38">
        <v>0</v>
      </c>
      <c r="G15" s="32">
        <v>0</v>
      </c>
      <c r="H15" s="32">
        <v>0</v>
      </c>
      <c r="I15" s="32">
        <v>0</v>
      </c>
      <c r="J15" s="32">
        <v>5798</v>
      </c>
      <c r="K15" s="32">
        <v>17224</v>
      </c>
      <c r="L15" s="32">
        <v>17192</v>
      </c>
      <c r="M15" s="32">
        <v>16227</v>
      </c>
      <c r="N15" s="32">
        <v>17075</v>
      </c>
      <c r="O15" s="32">
        <v>18963</v>
      </c>
      <c r="P15" s="32">
        <v>20030</v>
      </c>
    </row>
    <row r="16" spans="3:16">
      <c r="C16" t="s">
        <v>47</v>
      </c>
      <c r="D16"/>
      <c r="F16" s="38">
        <v>0</v>
      </c>
      <c r="G16" s="32">
        <v>11747</v>
      </c>
      <c r="H16" s="32">
        <v>16086</v>
      </c>
      <c r="I16" s="32">
        <v>22993</v>
      </c>
      <c r="J16" s="32">
        <v>31881</v>
      </c>
      <c r="K16" s="32">
        <v>42745</v>
      </c>
      <c r="L16" s="32">
        <v>53762</v>
      </c>
      <c r="M16" s="32">
        <v>80461</v>
      </c>
      <c r="N16" s="32">
        <v>103366</v>
      </c>
      <c r="O16" s="32">
        <v>117716</v>
      </c>
      <c r="P16" s="32">
        <v>140053</v>
      </c>
    </row>
    <row r="17" spans="3:16">
      <c r="C17" t="s">
        <v>48</v>
      </c>
      <c r="D17"/>
      <c r="F17" s="38">
        <v>826</v>
      </c>
      <c r="G17" s="32">
        <v>1322</v>
      </c>
      <c r="H17" s="32">
        <v>1710</v>
      </c>
      <c r="I17" s="32">
        <v>2950</v>
      </c>
      <c r="J17" s="32">
        <v>4653</v>
      </c>
      <c r="K17" s="32">
        <v>10108</v>
      </c>
      <c r="L17" s="32">
        <v>19210</v>
      </c>
      <c r="M17" s="32">
        <v>25207</v>
      </c>
      <c r="N17" s="32">
        <v>31160</v>
      </c>
      <c r="O17" s="32">
        <v>37739</v>
      </c>
      <c r="P17" s="32">
        <v>46906</v>
      </c>
    </row>
    <row r="18" spans="3:16">
      <c r="C18" t="s">
        <v>49</v>
      </c>
      <c r="D18"/>
      <c r="F18" s="38">
        <v>0</v>
      </c>
      <c r="G18" s="32">
        <v>2762</v>
      </c>
      <c r="H18" s="32">
        <v>4467</v>
      </c>
      <c r="I18" s="32">
        <v>6394</v>
      </c>
      <c r="J18" s="32">
        <v>9721</v>
      </c>
      <c r="K18" s="32">
        <v>14168</v>
      </c>
      <c r="L18" s="32">
        <v>12625</v>
      </c>
      <c r="M18" s="32">
        <v>19773</v>
      </c>
      <c r="N18" s="32">
        <v>31768</v>
      </c>
      <c r="O18" s="32">
        <v>35218</v>
      </c>
      <c r="P18" s="32">
        <v>40209</v>
      </c>
    </row>
    <row r="19" spans="3:16">
      <c r="C19" t="s">
        <v>50</v>
      </c>
      <c r="F19" s="38">
        <v>3108</v>
      </c>
      <c r="G19" s="32">
        <v>4644</v>
      </c>
      <c r="H19" s="32">
        <v>7880</v>
      </c>
      <c r="I19" s="32">
        <v>12219</v>
      </c>
      <c r="J19" s="32">
        <v>17459</v>
      </c>
      <c r="K19" s="32">
        <v>25655</v>
      </c>
      <c r="L19" s="32">
        <v>35026</v>
      </c>
      <c r="M19" s="32">
        <v>45370</v>
      </c>
      <c r="N19" s="32">
        <v>62202</v>
      </c>
      <c r="O19" s="32">
        <v>80096</v>
      </c>
      <c r="P19" s="32">
        <v>90757</v>
      </c>
    </row>
    <row r="20" spans="3:16">
      <c r="C20" t="s">
        <v>51</v>
      </c>
      <c r="D20"/>
      <c r="G20" s="32">
        <v>0</v>
      </c>
      <c r="H20" s="32">
        <v>0</v>
      </c>
      <c r="I20" s="32">
        <v>0</v>
      </c>
      <c r="J20" s="32">
        <v>0</v>
      </c>
      <c r="K20" s="32">
        <v>0</v>
      </c>
      <c r="L20" s="32">
        <v>1460</v>
      </c>
      <c r="M20" s="32">
        <v>1680</v>
      </c>
      <c r="N20" s="32">
        <v>2176</v>
      </c>
      <c r="O20" s="32">
        <v>4247</v>
      </c>
      <c r="P20" s="32">
        <v>4958</v>
      </c>
    </row>
    <row r="21" spans="2:16">
      <c r="B21" t="s">
        <v>43</v>
      </c>
      <c r="F21" s="37">
        <f>SUM(F14:F20)</f>
        <v>74452</v>
      </c>
      <c r="G21" s="37">
        <f t="shared" ref="G21:P21" si="1">SUM(G14:G20)</f>
        <v>88988</v>
      </c>
      <c r="H21" s="37">
        <f t="shared" si="1"/>
        <v>107006</v>
      </c>
      <c r="I21" s="37">
        <f t="shared" si="1"/>
        <v>135987</v>
      </c>
      <c r="J21" s="37">
        <f t="shared" si="1"/>
        <v>177866</v>
      </c>
      <c r="K21" s="37">
        <f t="shared" si="1"/>
        <v>232887</v>
      </c>
      <c r="L21" s="37">
        <f t="shared" si="1"/>
        <v>280522</v>
      </c>
      <c r="M21" s="37">
        <f t="shared" si="1"/>
        <v>386064</v>
      </c>
      <c r="N21" s="37">
        <f t="shared" si="1"/>
        <v>469822</v>
      </c>
      <c r="O21" s="37">
        <f t="shared" si="1"/>
        <v>513983</v>
      </c>
      <c r="P21" s="37">
        <f t="shared" si="1"/>
        <v>574785</v>
      </c>
    </row>
    <row r="23" ht="15.75" spans="2:2">
      <c r="B23" s="36" t="s">
        <v>52</v>
      </c>
    </row>
    <row r="24" spans="3:16">
      <c r="C24" t="s">
        <v>53</v>
      </c>
      <c r="F24" s="32">
        <v>41410</v>
      </c>
      <c r="G24" s="32">
        <v>50834</v>
      </c>
      <c r="H24" s="32">
        <v>63708</v>
      </c>
      <c r="I24" s="32">
        <v>79785</v>
      </c>
      <c r="J24" s="32">
        <v>106110</v>
      </c>
      <c r="K24" s="32">
        <v>141366</v>
      </c>
      <c r="L24" s="32">
        <v>170773</v>
      </c>
      <c r="M24" s="32">
        <v>236282</v>
      </c>
      <c r="N24" s="32">
        <v>279833</v>
      </c>
      <c r="O24" s="32">
        <v>315880</v>
      </c>
      <c r="P24" s="32">
        <v>352828</v>
      </c>
    </row>
    <row r="25" spans="3:16">
      <c r="C25" t="s">
        <v>54</v>
      </c>
      <c r="F25" s="39">
        <v>29934</v>
      </c>
      <c r="G25" s="39">
        <v>33510</v>
      </c>
      <c r="H25" s="32">
        <v>35418</v>
      </c>
      <c r="I25" s="32">
        <v>43983</v>
      </c>
      <c r="J25" s="32">
        <v>54297</v>
      </c>
      <c r="K25" s="32">
        <v>65866</v>
      </c>
      <c r="L25" s="32">
        <v>74723</v>
      </c>
      <c r="M25" s="32">
        <v>104412</v>
      </c>
      <c r="N25" s="32">
        <v>127787</v>
      </c>
      <c r="O25" s="32">
        <v>118007</v>
      </c>
      <c r="P25" s="32">
        <v>131200</v>
      </c>
    </row>
    <row r="26" spans="3:16">
      <c r="C26" t="s">
        <v>55</v>
      </c>
      <c r="F26" s="39">
        <v>3108</v>
      </c>
      <c r="G26" s="39">
        <v>4644</v>
      </c>
      <c r="H26" s="32">
        <v>7880</v>
      </c>
      <c r="I26" s="32">
        <v>12219</v>
      </c>
      <c r="J26" s="32">
        <v>17459</v>
      </c>
      <c r="K26" s="32">
        <v>25655</v>
      </c>
      <c r="L26" s="32">
        <v>35026</v>
      </c>
      <c r="M26" s="32">
        <v>45370</v>
      </c>
      <c r="N26" s="32">
        <v>62202</v>
      </c>
      <c r="O26" s="32">
        <v>80096</v>
      </c>
      <c r="P26" s="32">
        <v>90757</v>
      </c>
    </row>
    <row r="27" spans="2:16">
      <c r="B27" t="s">
        <v>43</v>
      </c>
      <c r="F27" s="37">
        <f t="shared" ref="F27:P27" si="2">SUM(F24:F26)</f>
        <v>74452</v>
      </c>
      <c r="G27" s="37">
        <f t="shared" si="2"/>
        <v>88988</v>
      </c>
      <c r="H27" s="37">
        <f t="shared" si="2"/>
        <v>107006</v>
      </c>
      <c r="I27" s="37">
        <f t="shared" si="2"/>
        <v>135987</v>
      </c>
      <c r="J27" s="37">
        <f t="shared" si="2"/>
        <v>177866</v>
      </c>
      <c r="K27" s="37">
        <f t="shared" si="2"/>
        <v>232887</v>
      </c>
      <c r="L27" s="37">
        <f t="shared" si="2"/>
        <v>280522</v>
      </c>
      <c r="M27" s="37">
        <f t="shared" si="2"/>
        <v>386064</v>
      </c>
      <c r="N27" s="37">
        <f t="shared" si="2"/>
        <v>469822</v>
      </c>
      <c r="O27" s="37">
        <f t="shared" si="2"/>
        <v>513983</v>
      </c>
      <c r="P27" s="37">
        <f t="shared" si="2"/>
        <v>574785</v>
      </c>
    </row>
    <row r="29" ht="15.75" spans="2:18">
      <c r="B29" s="36" t="s">
        <v>56</v>
      </c>
      <c r="R29" s="54"/>
    </row>
    <row r="30" spans="3:22">
      <c r="C30" t="s">
        <v>53</v>
      </c>
      <c r="F30" s="40">
        <f>1166-731+350</f>
        <v>785</v>
      </c>
      <c r="G30" s="39">
        <v>360</v>
      </c>
      <c r="H30" s="39">
        <v>1425</v>
      </c>
      <c r="I30" s="39">
        <v>2361</v>
      </c>
      <c r="J30" s="39">
        <v>2837</v>
      </c>
      <c r="K30" s="39">
        <v>7267</v>
      </c>
      <c r="L30" s="32">
        <v>7033</v>
      </c>
      <c r="M30" s="32">
        <v>8651</v>
      </c>
      <c r="N30" s="32">
        <v>7271</v>
      </c>
      <c r="O30" s="32">
        <v>-2847</v>
      </c>
      <c r="P30" s="32">
        <v>14877</v>
      </c>
      <c r="R30" s="55"/>
      <c r="S30" s="51"/>
      <c r="T30" s="51"/>
      <c r="U30" s="51"/>
      <c r="V30" s="50"/>
    </row>
    <row r="31" spans="3:22">
      <c r="C31" t="s">
        <v>54</v>
      </c>
      <c r="F31" s="40">
        <f>154-96-700</f>
        <v>-642</v>
      </c>
      <c r="G31" s="39">
        <v>-640</v>
      </c>
      <c r="H31" s="39">
        <v>-699</v>
      </c>
      <c r="I31" s="39">
        <v>-1283</v>
      </c>
      <c r="J31" s="39">
        <v>-3062</v>
      </c>
      <c r="K31" s="39">
        <v>-2142</v>
      </c>
      <c r="L31" s="32">
        <v>-1693</v>
      </c>
      <c r="M31" s="32">
        <v>717</v>
      </c>
      <c r="N31" s="32">
        <v>-924</v>
      </c>
      <c r="O31" s="32">
        <v>-7746</v>
      </c>
      <c r="P31" s="32">
        <v>-2656</v>
      </c>
      <c r="R31" s="50"/>
      <c r="S31" s="51"/>
      <c r="T31" s="51"/>
      <c r="U31" s="51"/>
      <c r="V31" s="50"/>
    </row>
    <row r="32" spans="3:16">
      <c r="C32" t="s">
        <v>55</v>
      </c>
      <c r="D32"/>
      <c r="F32" s="38">
        <f>673-421+350</f>
        <v>602</v>
      </c>
      <c r="G32" s="32">
        <v>458</v>
      </c>
      <c r="H32" s="32">
        <v>1507</v>
      </c>
      <c r="I32" s="32">
        <v>3108</v>
      </c>
      <c r="J32" s="32">
        <v>4331</v>
      </c>
      <c r="K32" s="32">
        <v>7296</v>
      </c>
      <c r="L32" s="32">
        <v>9201</v>
      </c>
      <c r="M32" s="32">
        <v>13531</v>
      </c>
      <c r="N32" s="32">
        <v>18532</v>
      </c>
      <c r="O32" s="32">
        <v>22841</v>
      </c>
      <c r="P32" s="32">
        <v>24631</v>
      </c>
    </row>
    <row r="33" spans="2:16">
      <c r="B33" t="s">
        <v>57</v>
      </c>
      <c r="F33" s="37">
        <f t="shared" ref="F33:P33" si="3">SUM(F30:F32)</f>
        <v>745</v>
      </c>
      <c r="G33" s="37">
        <f t="shared" si="3"/>
        <v>178</v>
      </c>
      <c r="H33" s="37">
        <f t="shared" si="3"/>
        <v>2233</v>
      </c>
      <c r="I33" s="37">
        <f t="shared" si="3"/>
        <v>4186</v>
      </c>
      <c r="J33" s="37">
        <f t="shared" si="3"/>
        <v>4106</v>
      </c>
      <c r="K33" s="37">
        <f t="shared" si="3"/>
        <v>12421</v>
      </c>
      <c r="L33" s="37">
        <f t="shared" si="3"/>
        <v>14541</v>
      </c>
      <c r="M33" s="37">
        <f t="shared" si="3"/>
        <v>22899</v>
      </c>
      <c r="N33" s="37">
        <f t="shared" si="3"/>
        <v>24879</v>
      </c>
      <c r="O33" s="37">
        <f t="shared" si="3"/>
        <v>12248</v>
      </c>
      <c r="P33" s="37">
        <f t="shared" si="3"/>
        <v>36852</v>
      </c>
    </row>
    <row r="35" spans="6:16">
      <c r="F35" s="38" t="s">
        <v>58</v>
      </c>
      <c r="G35" s="41"/>
      <c r="H35" s="42"/>
      <c r="I35" s="42"/>
      <c r="J35" s="42"/>
      <c r="K35" s="42"/>
      <c r="L35" s="42"/>
      <c r="M35" s="42"/>
      <c r="N35" s="42"/>
      <c r="O35" s="42"/>
      <c r="P35" s="42"/>
    </row>
    <row r="36" ht="15.75" spans="3:4">
      <c r="C36" s="43" t="s">
        <v>59</v>
      </c>
      <c r="D36" s="44"/>
    </row>
    <row r="37" spans="3:18">
      <c r="C37" s="44" t="s">
        <v>38</v>
      </c>
      <c r="D37" s="44"/>
      <c r="F37" s="45">
        <f t="shared" ref="F37:P37" si="4">F6/F$11*100</f>
        <v>59.0434105195294</v>
      </c>
      <c r="G37" s="45">
        <f t="shared" si="4"/>
        <v>61.4880658066256</v>
      </c>
      <c r="H37" s="45">
        <f t="shared" si="4"/>
        <v>65.918733528961</v>
      </c>
      <c r="I37" s="45">
        <f t="shared" si="4"/>
        <v>66.4394390640282</v>
      </c>
      <c r="J37" s="45">
        <f t="shared" si="4"/>
        <v>67.7397591445245</v>
      </c>
      <c r="K37" s="45">
        <f t="shared" si="4"/>
        <v>68.7655386517925</v>
      </c>
      <c r="L37" s="45">
        <f t="shared" si="4"/>
        <v>69.0270281831728</v>
      </c>
      <c r="M37" s="45">
        <f t="shared" si="4"/>
        <v>68.2581126445356</v>
      </c>
      <c r="N37" s="45">
        <f t="shared" si="4"/>
        <v>66.8350992503544</v>
      </c>
      <c r="O37" s="45">
        <f t="shared" si="4"/>
        <v>69.2849763513579</v>
      </c>
      <c r="P37" s="45">
        <f t="shared" si="4"/>
        <v>68.8321720295415</v>
      </c>
      <c r="R37" s="47">
        <f>AVERAGEIF(E37:Q37,"&lt;&gt;0")</f>
        <v>66.5120304704021</v>
      </c>
    </row>
    <row r="38" spans="3:18">
      <c r="C38" s="44" t="s">
        <v>39</v>
      </c>
      <c r="D38" s="44"/>
      <c r="F38" s="45">
        <f t="shared" ref="F38:P38" si="5">F7/F$11*100</f>
        <v>14.150056412185</v>
      </c>
      <c r="G38" s="45">
        <f t="shared" si="5"/>
        <v>13.393940756057</v>
      </c>
      <c r="H38" s="45">
        <f t="shared" si="5"/>
        <v>11.0423714558062</v>
      </c>
      <c r="I38" s="45">
        <f t="shared" si="5"/>
        <v>10.4039356703214</v>
      </c>
      <c r="J38" s="45">
        <f t="shared" si="5"/>
        <v>9.5302081342134</v>
      </c>
      <c r="K38" s="45">
        <f t="shared" si="5"/>
        <v>8.53675817027142</v>
      </c>
      <c r="L38" s="45">
        <f t="shared" si="5"/>
        <v>7.92522511603368</v>
      </c>
      <c r="M38" s="45">
        <f t="shared" si="5"/>
        <v>7.65805669526296</v>
      </c>
      <c r="N38" s="45">
        <f t="shared" si="5"/>
        <v>7.9447109756461</v>
      </c>
      <c r="O38" s="45">
        <f t="shared" si="5"/>
        <v>6.53679207288957</v>
      </c>
      <c r="P38" s="45">
        <f t="shared" si="5"/>
        <v>6.53948867837539</v>
      </c>
      <c r="R38" s="47">
        <f>AVERAGEIF(E38:Q38,"&lt;&gt;0")</f>
        <v>9.42377673973293</v>
      </c>
    </row>
    <row r="39" spans="3:18">
      <c r="C39" s="44" t="s">
        <v>40</v>
      </c>
      <c r="D39" s="44"/>
      <c r="F39" s="45">
        <f t="shared" ref="F39:P39" si="6">F8/F$11*100</f>
        <v>9.79288669209692</v>
      </c>
      <c r="G39" s="45">
        <f t="shared" si="6"/>
        <v>9.37317391108914</v>
      </c>
      <c r="H39" s="45">
        <f t="shared" si="6"/>
        <v>8.44158271498794</v>
      </c>
      <c r="I39" s="45">
        <f t="shared" si="6"/>
        <v>7.02052402067845</v>
      </c>
      <c r="J39" s="45">
        <f t="shared" si="6"/>
        <v>6.39357718732079</v>
      </c>
      <c r="K39" s="45">
        <f t="shared" si="6"/>
        <v>6.23650096398683</v>
      </c>
      <c r="L39" s="45">
        <f t="shared" si="6"/>
        <v>6.24799480967625</v>
      </c>
      <c r="M39" s="45">
        <f t="shared" si="6"/>
        <v>6.85974346222388</v>
      </c>
      <c r="N39" s="45">
        <f t="shared" si="6"/>
        <v>6.79278535275062</v>
      </c>
      <c r="O39" s="45">
        <f t="shared" si="6"/>
        <v>5.85116628370977</v>
      </c>
      <c r="P39" s="45">
        <f t="shared" si="6"/>
        <v>5.84409822803309</v>
      </c>
      <c r="R39" s="47"/>
    </row>
    <row r="40" spans="3:18">
      <c r="C40" s="44" t="s">
        <v>41</v>
      </c>
      <c r="D40" s="44"/>
      <c r="F40" s="45">
        <f t="shared" ref="F40:P40" si="7">F9/F$11*100</f>
        <v>10.2603019395046</v>
      </c>
      <c r="G40" s="45">
        <f t="shared" si="7"/>
        <v>8.89108643862094</v>
      </c>
      <c r="H40" s="45">
        <f t="shared" si="7"/>
        <v>7.72293142440611</v>
      </c>
      <c r="I40" s="45">
        <f t="shared" si="7"/>
        <v>7.93972953297006</v>
      </c>
      <c r="J40" s="45">
        <f t="shared" si="7"/>
        <v>6.69436542115975</v>
      </c>
      <c r="K40" s="45">
        <f t="shared" si="7"/>
        <v>5.93807297101169</v>
      </c>
      <c r="L40" s="45">
        <f t="shared" si="7"/>
        <v>5.70436543301417</v>
      </c>
      <c r="M40" s="45">
        <f t="shared" si="7"/>
        <v>5.2998984624311</v>
      </c>
      <c r="N40" s="45">
        <f t="shared" si="7"/>
        <v>4.91058315702543</v>
      </c>
      <c r="O40" s="45">
        <f t="shared" si="7"/>
        <v>4.7464604860472</v>
      </c>
      <c r="P40" s="45">
        <f t="shared" si="7"/>
        <v>4.52377845629235</v>
      </c>
      <c r="R40" s="47">
        <f>AVERAGEIF(E40:Q40,"&lt;&gt;0")</f>
        <v>6.60287033840759</v>
      </c>
    </row>
    <row r="41" spans="3:18">
      <c r="C41" s="44" t="s">
        <v>42</v>
      </c>
      <c r="D41" s="44"/>
      <c r="F41" s="45">
        <f t="shared" ref="F41:P41" si="8">F10/F$11*100</f>
        <v>6.75334443668404</v>
      </c>
      <c r="G41" s="45">
        <f t="shared" si="8"/>
        <v>6.85373308760732</v>
      </c>
      <c r="H41" s="45">
        <f t="shared" si="8"/>
        <v>6.87438087583874</v>
      </c>
      <c r="I41" s="45">
        <f t="shared" si="8"/>
        <v>8.19637171200188</v>
      </c>
      <c r="J41" s="45">
        <f t="shared" si="8"/>
        <v>9.64209011278153</v>
      </c>
      <c r="K41" s="45">
        <f t="shared" si="8"/>
        <v>10.5231292429376</v>
      </c>
      <c r="L41" s="45">
        <f t="shared" si="8"/>
        <v>11.0953864581031</v>
      </c>
      <c r="M41" s="45">
        <f t="shared" si="8"/>
        <v>11.9241887355464</v>
      </c>
      <c r="N41" s="45">
        <f t="shared" si="8"/>
        <v>13.5168212642235</v>
      </c>
      <c r="O41" s="45">
        <f t="shared" si="8"/>
        <v>13.5806048059955</v>
      </c>
      <c r="P41" s="45">
        <f t="shared" si="8"/>
        <v>14.2604626077577</v>
      </c>
      <c r="R41" s="47">
        <f>AVERAGEIF(E41:Q41,"&lt;&gt;0")</f>
        <v>10.2927739399525</v>
      </c>
    </row>
    <row r="42" spans="6:16">
      <c r="F42" s="46">
        <f t="shared" ref="F42:P42" si="9">SUM(F37:F41)</f>
        <v>100</v>
      </c>
      <c r="G42" s="46">
        <f t="shared" si="9"/>
        <v>100</v>
      </c>
      <c r="H42" s="46">
        <f t="shared" si="9"/>
        <v>100</v>
      </c>
      <c r="I42" s="46">
        <f t="shared" si="9"/>
        <v>100</v>
      </c>
      <c r="J42" s="46">
        <f t="shared" si="9"/>
        <v>100</v>
      </c>
      <c r="K42" s="46">
        <f t="shared" si="9"/>
        <v>100</v>
      </c>
      <c r="L42" s="46">
        <f t="shared" si="9"/>
        <v>100</v>
      </c>
      <c r="M42" s="46">
        <f t="shared" si="9"/>
        <v>100</v>
      </c>
      <c r="N42" s="46">
        <f t="shared" si="9"/>
        <v>100</v>
      </c>
      <c r="O42" s="46">
        <f t="shared" si="9"/>
        <v>100</v>
      </c>
      <c r="P42" s="46">
        <f t="shared" si="9"/>
        <v>100</v>
      </c>
    </row>
    <row r="43" spans="6:16">
      <c r="F43" s="47"/>
      <c r="G43" s="47"/>
      <c r="H43" s="47"/>
      <c r="I43" s="47"/>
      <c r="J43" s="47"/>
      <c r="K43" s="47"/>
      <c r="L43" s="47"/>
      <c r="M43" s="47"/>
      <c r="N43" s="47"/>
      <c r="O43" s="47"/>
      <c r="P43" s="47"/>
    </row>
    <row r="44" ht="15.75" spans="3:4">
      <c r="C44" s="43" t="s">
        <v>60</v>
      </c>
      <c r="D44" s="44"/>
    </row>
    <row r="45" spans="3:18">
      <c r="C45" s="44" t="s">
        <v>45</v>
      </c>
      <c r="D45" s="44"/>
      <c r="F45" s="45">
        <f t="shared" ref="F45:P45" si="10">F14/F$21*100</f>
        <v>94.7160586686724</v>
      </c>
      <c r="G45" s="45">
        <f t="shared" si="10"/>
        <v>76.9912797231087</v>
      </c>
      <c r="H45" s="45">
        <f t="shared" si="10"/>
        <v>71.8305515578566</v>
      </c>
      <c r="I45" s="45">
        <f t="shared" si="10"/>
        <v>67.2351033554678</v>
      </c>
      <c r="J45" s="45">
        <f t="shared" si="10"/>
        <v>60.9188939988531</v>
      </c>
      <c r="K45" s="45">
        <f t="shared" si="10"/>
        <v>52.8097317583206</v>
      </c>
      <c r="L45" s="45">
        <f t="shared" si="10"/>
        <v>50.3514875838615</v>
      </c>
      <c r="M45" s="45">
        <f t="shared" si="10"/>
        <v>51.1174313067263</v>
      </c>
      <c r="N45" s="45">
        <f t="shared" si="10"/>
        <v>47.2679014605531</v>
      </c>
      <c r="O45" s="45">
        <f t="shared" si="10"/>
        <v>42.8037503185903</v>
      </c>
      <c r="P45" s="45">
        <f t="shared" si="10"/>
        <v>40.3406491122768</v>
      </c>
      <c r="R45" s="47">
        <f t="shared" ref="R45:R51" si="11">AVERAGEIF(E45:Q45,"&lt;&gt;0")</f>
        <v>59.6711671676625</v>
      </c>
    </row>
    <row r="46" spans="3:18">
      <c r="C46" s="44" t="s">
        <v>46</v>
      </c>
      <c r="D46" s="44"/>
      <c r="F46" s="45">
        <f t="shared" ref="F46:F51" si="12">F15/F$21*100</f>
        <v>0</v>
      </c>
      <c r="G46" s="45">
        <f t="shared" ref="G46:G51" si="13">G15/G$21*100</f>
        <v>0</v>
      </c>
      <c r="H46" s="45">
        <f t="shared" ref="H46:H51" si="14">H15/H$21*100</f>
        <v>0</v>
      </c>
      <c r="I46" s="45">
        <f t="shared" ref="I46:I51" si="15">I15/I$21*100</f>
        <v>0</v>
      </c>
      <c r="J46" s="45">
        <f t="shared" ref="J46:J51" si="16">J15/J$21*100</f>
        <v>3.25975734541734</v>
      </c>
      <c r="K46" s="45">
        <f t="shared" ref="K46:K51" si="17">K15/K$21*100</f>
        <v>7.39586151223555</v>
      </c>
      <c r="L46" s="45">
        <f t="shared" ref="L46:L51" si="18">L15/L$21*100</f>
        <v>6.12857458595048</v>
      </c>
      <c r="M46" s="45">
        <f t="shared" ref="M46:M51" si="19">M15/M$21*100</f>
        <v>4.20318910854159</v>
      </c>
      <c r="N46" s="45">
        <f t="shared" ref="N46:N51" si="20">N15/N$21*100</f>
        <v>3.63435513875468</v>
      </c>
      <c r="O46" s="45">
        <f t="shared" ref="O46:O51" si="21">O15/O$21*100</f>
        <v>3.68942163456768</v>
      </c>
      <c r="P46" s="45">
        <f t="shared" ref="P46:P51" si="22">P15/P$21*100</f>
        <v>3.48478126603861</v>
      </c>
      <c r="R46" s="47">
        <f t="shared" si="11"/>
        <v>4.54227722735799</v>
      </c>
    </row>
    <row r="47" spans="3:18">
      <c r="C47" s="44" t="s">
        <v>61</v>
      </c>
      <c r="D47" s="44"/>
      <c r="F47" s="45">
        <f t="shared" si="12"/>
        <v>0</v>
      </c>
      <c r="G47" s="45">
        <f t="shared" si="13"/>
        <v>13.2006562682609</v>
      </c>
      <c r="H47" s="45">
        <f t="shared" si="14"/>
        <v>15.0328018989589</v>
      </c>
      <c r="I47" s="45">
        <f t="shared" si="15"/>
        <v>16.9082338752969</v>
      </c>
      <c r="J47" s="45">
        <f t="shared" si="16"/>
        <v>17.9241676318127</v>
      </c>
      <c r="K47" s="45">
        <f t="shared" si="17"/>
        <v>18.3543950499599</v>
      </c>
      <c r="L47" s="45">
        <f t="shared" si="18"/>
        <v>19.164985277447</v>
      </c>
      <c r="M47" s="45">
        <f t="shared" si="19"/>
        <v>20.8413630900576</v>
      </c>
      <c r="N47" s="45">
        <f t="shared" si="20"/>
        <v>22.0010982882879</v>
      </c>
      <c r="O47" s="45">
        <f t="shared" si="21"/>
        <v>22.902703007687</v>
      </c>
      <c r="P47" s="45">
        <f t="shared" si="22"/>
        <v>24.3661543011735</v>
      </c>
      <c r="R47" s="47">
        <f t="shared" si="11"/>
        <v>19.0696558688942</v>
      </c>
    </row>
    <row r="48" spans="3:18">
      <c r="C48" s="44" t="s">
        <v>48</v>
      </c>
      <c r="D48" s="44"/>
      <c r="F48" s="45">
        <f t="shared" si="12"/>
        <v>1.10943963896202</v>
      </c>
      <c r="G48" s="45">
        <f t="shared" si="13"/>
        <v>1.48559356317706</v>
      </c>
      <c r="H48" s="45">
        <f t="shared" si="14"/>
        <v>1.59804123133282</v>
      </c>
      <c r="I48" s="45">
        <f t="shared" si="15"/>
        <v>2.16932500900821</v>
      </c>
      <c r="J48" s="45">
        <f t="shared" si="16"/>
        <v>2.61601430290218</v>
      </c>
      <c r="K48" s="45">
        <f t="shared" si="17"/>
        <v>4.34030237840669</v>
      </c>
      <c r="L48" s="45">
        <f t="shared" si="18"/>
        <v>6.84794775454332</v>
      </c>
      <c r="M48" s="45">
        <f t="shared" si="19"/>
        <v>6.52922831447636</v>
      </c>
      <c r="N48" s="45">
        <f t="shared" si="20"/>
        <v>6.63229904091337</v>
      </c>
      <c r="O48" s="45">
        <f t="shared" si="21"/>
        <v>7.34246074286504</v>
      </c>
      <c r="P48" s="45">
        <f t="shared" si="22"/>
        <v>8.16061657837278</v>
      </c>
      <c r="R48" s="47">
        <f t="shared" si="11"/>
        <v>4.43920623226908</v>
      </c>
    </row>
    <row r="49" spans="3:18">
      <c r="C49" s="44" t="s">
        <v>49</v>
      </c>
      <c r="D49" s="44"/>
      <c r="F49" s="45">
        <f t="shared" si="12"/>
        <v>0</v>
      </c>
      <c r="G49" s="45">
        <f t="shared" si="13"/>
        <v>3.10378927495842</v>
      </c>
      <c r="H49" s="45">
        <f t="shared" si="14"/>
        <v>4.17453226921855</v>
      </c>
      <c r="I49" s="45">
        <f t="shared" si="15"/>
        <v>4.70192003647407</v>
      </c>
      <c r="J49" s="45">
        <f t="shared" si="16"/>
        <v>5.46535031990375</v>
      </c>
      <c r="K49" s="45">
        <f t="shared" si="17"/>
        <v>6.08363712873625</v>
      </c>
      <c r="L49" s="45">
        <f t="shared" si="18"/>
        <v>4.50053828220247</v>
      </c>
      <c r="M49" s="45">
        <f t="shared" si="19"/>
        <v>5.12168966803432</v>
      </c>
      <c r="N49" s="45">
        <f t="shared" si="20"/>
        <v>6.7617097539068</v>
      </c>
      <c r="O49" s="45">
        <f t="shared" si="21"/>
        <v>6.8519775945897</v>
      </c>
      <c r="P49" s="45">
        <f t="shared" si="22"/>
        <v>6.99548526840471</v>
      </c>
      <c r="R49" s="47">
        <f t="shared" si="11"/>
        <v>5.3760629596429</v>
      </c>
    </row>
    <row r="50" spans="3:18">
      <c r="C50" s="44" t="s">
        <v>50</v>
      </c>
      <c r="D50" s="44"/>
      <c r="F50" s="45">
        <f t="shared" si="12"/>
        <v>4.17450169236555</v>
      </c>
      <c r="G50" s="45">
        <f t="shared" si="13"/>
        <v>5.2186811704949</v>
      </c>
      <c r="H50" s="45">
        <f t="shared" si="14"/>
        <v>7.36407304263312</v>
      </c>
      <c r="I50" s="45">
        <f t="shared" si="15"/>
        <v>8.98541772375301</v>
      </c>
      <c r="J50" s="45">
        <f t="shared" si="16"/>
        <v>9.81581640111095</v>
      </c>
      <c r="K50" s="45">
        <f t="shared" si="17"/>
        <v>11.0160721723411</v>
      </c>
      <c r="L50" s="45">
        <f t="shared" si="18"/>
        <v>12.4860082275187</v>
      </c>
      <c r="M50" s="45">
        <f t="shared" si="19"/>
        <v>11.7519375025902</v>
      </c>
      <c r="N50" s="45">
        <f t="shared" si="20"/>
        <v>13.2394821868708</v>
      </c>
      <c r="O50" s="45">
        <f t="shared" si="21"/>
        <v>15.5833947815395</v>
      </c>
      <c r="P50" s="45">
        <f t="shared" si="22"/>
        <v>15.7897300729838</v>
      </c>
      <c r="R50" s="47">
        <f t="shared" si="11"/>
        <v>10.493192270382</v>
      </c>
    </row>
    <row r="51" spans="3:18">
      <c r="C51" s="44" t="s">
        <v>51</v>
      </c>
      <c r="D51" s="44"/>
      <c r="F51" s="45">
        <f t="shared" si="12"/>
        <v>0</v>
      </c>
      <c r="G51" s="45">
        <f t="shared" si="13"/>
        <v>0</v>
      </c>
      <c r="H51" s="45">
        <f t="shared" si="14"/>
        <v>0</v>
      </c>
      <c r="I51" s="45">
        <f t="shared" si="15"/>
        <v>0</v>
      </c>
      <c r="J51" s="45">
        <f t="shared" si="16"/>
        <v>0</v>
      </c>
      <c r="K51" s="45">
        <f t="shared" si="17"/>
        <v>0</v>
      </c>
      <c r="L51" s="45">
        <f t="shared" si="18"/>
        <v>0.520458288476483</v>
      </c>
      <c r="M51" s="45">
        <f t="shared" si="19"/>
        <v>0.435161009573542</v>
      </c>
      <c r="N51" s="45">
        <f t="shared" si="20"/>
        <v>0.463154130713334</v>
      </c>
      <c r="O51" s="45">
        <f t="shared" si="21"/>
        <v>0.826291920160783</v>
      </c>
      <c r="P51" s="45">
        <f t="shared" si="22"/>
        <v>0.862583400749846</v>
      </c>
      <c r="R51" s="47">
        <f t="shared" si="11"/>
        <v>0.621529749934798</v>
      </c>
    </row>
    <row r="52" s="22" customFormat="1" spans="5:23">
      <c r="E52" s="45"/>
      <c r="F52" s="46">
        <f t="shared" ref="F52:P52" si="23">SUM(F45:F51)</f>
        <v>100</v>
      </c>
      <c r="G52" s="46">
        <f t="shared" si="23"/>
        <v>100</v>
      </c>
      <c r="H52" s="46">
        <f t="shared" si="23"/>
        <v>100</v>
      </c>
      <c r="I52" s="46">
        <f t="shared" si="23"/>
        <v>100</v>
      </c>
      <c r="J52" s="46">
        <f t="shared" si="23"/>
        <v>100</v>
      </c>
      <c r="K52" s="46">
        <f t="shared" si="23"/>
        <v>100</v>
      </c>
      <c r="L52" s="46">
        <f t="shared" si="23"/>
        <v>100</v>
      </c>
      <c r="M52" s="46">
        <f t="shared" si="23"/>
        <v>100</v>
      </c>
      <c r="N52" s="46">
        <f t="shared" si="23"/>
        <v>100</v>
      </c>
      <c r="O52" s="46">
        <f t="shared" si="23"/>
        <v>100</v>
      </c>
      <c r="P52" s="46">
        <f t="shared" si="23"/>
        <v>100</v>
      </c>
      <c r="Q52" s="45"/>
      <c r="R52" s="45"/>
      <c r="S52" s="45"/>
      <c r="T52" s="45"/>
      <c r="U52" s="45"/>
      <c r="V52" s="45"/>
      <c r="W52" s="45"/>
    </row>
    <row r="53" s="22" customFormat="1" spans="5:23">
      <c r="E53" s="45"/>
      <c r="F53" s="45"/>
      <c r="G53" s="45"/>
      <c r="H53" s="45"/>
      <c r="I53" s="45"/>
      <c r="J53" s="45"/>
      <c r="K53" s="45"/>
      <c r="L53" s="45"/>
      <c r="M53" s="45"/>
      <c r="N53" s="45"/>
      <c r="O53" s="45"/>
      <c r="P53" s="45"/>
      <c r="Q53" s="45"/>
      <c r="R53" s="45"/>
      <c r="S53" s="45"/>
      <c r="T53" s="45"/>
      <c r="U53" s="45"/>
      <c r="V53" s="45"/>
      <c r="W53" s="45"/>
    </row>
    <row r="54" ht="15.75" spans="3:16">
      <c r="C54" s="43" t="s">
        <v>62</v>
      </c>
      <c r="D54" s="44"/>
      <c r="F54" s="47"/>
      <c r="G54" s="47"/>
      <c r="H54" s="47"/>
      <c r="I54" s="47"/>
      <c r="J54" s="47"/>
      <c r="K54" s="47"/>
      <c r="L54" s="47"/>
      <c r="M54" s="47"/>
      <c r="N54" s="47"/>
      <c r="O54" s="47"/>
      <c r="P54" s="47"/>
    </row>
    <row r="55" spans="3:18">
      <c r="C55" s="44" t="s">
        <v>53</v>
      </c>
      <c r="D55" s="44"/>
      <c r="F55" s="45">
        <f t="shared" ref="F55:P55" si="24">F24/F$27*100</f>
        <v>55.619728146994</v>
      </c>
      <c r="G55" s="45">
        <f t="shared" si="24"/>
        <v>57.1245561199263</v>
      </c>
      <c r="H55" s="45">
        <f t="shared" si="24"/>
        <v>59.5368484010242</v>
      </c>
      <c r="I55" s="45">
        <f t="shared" si="24"/>
        <v>58.6710494385493</v>
      </c>
      <c r="J55" s="45">
        <f t="shared" si="24"/>
        <v>59.6572700797229</v>
      </c>
      <c r="K55" s="45">
        <f t="shared" si="24"/>
        <v>60.7015419495292</v>
      </c>
      <c r="L55" s="45">
        <f t="shared" si="24"/>
        <v>60.8768652725989</v>
      </c>
      <c r="M55" s="45">
        <f t="shared" si="24"/>
        <v>61.2028057524141</v>
      </c>
      <c r="N55" s="45">
        <f t="shared" si="24"/>
        <v>59.5614935017943</v>
      </c>
      <c r="O55" s="45">
        <f t="shared" si="24"/>
        <v>61.4572855522459</v>
      </c>
      <c r="P55" s="45">
        <f t="shared" si="24"/>
        <v>61.3843437111268</v>
      </c>
      <c r="R55" s="47">
        <f>AVERAGEIF(E55:Q55,"&lt;&gt;0")</f>
        <v>59.6176170841751</v>
      </c>
    </row>
    <row r="56" spans="3:18">
      <c r="C56" s="44" t="s">
        <v>54</v>
      </c>
      <c r="D56" s="44"/>
      <c r="F56" s="45">
        <f t="shared" ref="F56:P56" si="25">F25/F$27*100</f>
        <v>40.2057701606404</v>
      </c>
      <c r="G56" s="45">
        <f t="shared" si="25"/>
        <v>37.6567627095788</v>
      </c>
      <c r="H56" s="45">
        <f t="shared" si="25"/>
        <v>33.0990785563426</v>
      </c>
      <c r="I56" s="45">
        <f t="shared" si="25"/>
        <v>32.3435328376977</v>
      </c>
      <c r="J56" s="45">
        <f t="shared" si="25"/>
        <v>30.5269135191661</v>
      </c>
      <c r="K56" s="45">
        <f t="shared" si="25"/>
        <v>28.2823858781297</v>
      </c>
      <c r="L56" s="45">
        <f t="shared" si="25"/>
        <v>26.6371264998824</v>
      </c>
      <c r="M56" s="45">
        <f t="shared" si="25"/>
        <v>27.0452567449956</v>
      </c>
      <c r="N56" s="45">
        <f t="shared" si="25"/>
        <v>27.1990243113349</v>
      </c>
      <c r="O56" s="45">
        <f t="shared" si="25"/>
        <v>22.9593196662146</v>
      </c>
      <c r="P56" s="45">
        <f t="shared" si="25"/>
        <v>22.8259262158894</v>
      </c>
      <c r="R56" s="47">
        <f>AVERAGEIF(E56:Q56,"&lt;&gt;0")</f>
        <v>29.8891906454429</v>
      </c>
    </row>
    <row r="57" spans="3:18">
      <c r="C57" s="44" t="s">
        <v>55</v>
      </c>
      <c r="D57" s="44"/>
      <c r="F57" s="45">
        <f t="shared" ref="F57:P57" si="26">F26/F$27*100</f>
        <v>4.17450169236555</v>
      </c>
      <c r="G57" s="45">
        <f t="shared" si="26"/>
        <v>5.2186811704949</v>
      </c>
      <c r="H57" s="45">
        <f t="shared" si="26"/>
        <v>7.36407304263312</v>
      </c>
      <c r="I57" s="45">
        <f t="shared" si="26"/>
        <v>8.98541772375301</v>
      </c>
      <c r="J57" s="45">
        <f t="shared" si="26"/>
        <v>9.81581640111095</v>
      </c>
      <c r="K57" s="45">
        <f t="shared" si="26"/>
        <v>11.0160721723411</v>
      </c>
      <c r="L57" s="45">
        <f t="shared" si="26"/>
        <v>12.4860082275187</v>
      </c>
      <c r="M57" s="45">
        <f t="shared" si="26"/>
        <v>11.7519375025902</v>
      </c>
      <c r="N57" s="45">
        <f t="shared" si="26"/>
        <v>13.2394821868708</v>
      </c>
      <c r="O57" s="45">
        <f t="shared" si="26"/>
        <v>15.5833947815395</v>
      </c>
      <c r="P57" s="45">
        <f t="shared" si="26"/>
        <v>15.7897300729838</v>
      </c>
      <c r="R57" s="47">
        <f>AVERAGEIF(E57:Q57,"&lt;&gt;0")</f>
        <v>10.493192270382</v>
      </c>
    </row>
    <row r="58" spans="6:16">
      <c r="F58" s="46">
        <f>SUM(F55:F57)</f>
        <v>100</v>
      </c>
      <c r="G58" s="46">
        <f t="shared" ref="G58:P58" si="27">SUM(G55:G57)</f>
        <v>100</v>
      </c>
      <c r="H58" s="46">
        <f t="shared" si="27"/>
        <v>100</v>
      </c>
      <c r="I58" s="46">
        <f t="shared" si="27"/>
        <v>100</v>
      </c>
      <c r="J58" s="46">
        <f t="shared" si="27"/>
        <v>100</v>
      </c>
      <c r="K58" s="46">
        <f t="shared" si="27"/>
        <v>100</v>
      </c>
      <c r="L58" s="46">
        <f t="shared" si="27"/>
        <v>100</v>
      </c>
      <c r="M58" s="46">
        <f t="shared" si="27"/>
        <v>100</v>
      </c>
      <c r="N58" s="46">
        <f t="shared" si="27"/>
        <v>100</v>
      </c>
      <c r="O58" s="46">
        <f t="shared" si="27"/>
        <v>100</v>
      </c>
      <c r="P58" s="46">
        <f t="shared" si="27"/>
        <v>100</v>
      </c>
    </row>
    <row r="59" spans="6:16">
      <c r="F59" s="47"/>
      <c r="G59" s="47"/>
      <c r="H59" s="47"/>
      <c r="I59" s="47"/>
      <c r="J59" s="47"/>
      <c r="K59" s="47"/>
      <c r="L59" s="47"/>
      <c r="M59" s="47"/>
      <c r="N59" s="47"/>
      <c r="O59" s="47"/>
      <c r="P59" s="47"/>
    </row>
    <row r="60" s="22" customFormat="1" ht="15.75" spans="3:23">
      <c r="C60" s="43" t="s">
        <v>63</v>
      </c>
      <c r="D60" s="48"/>
      <c r="E60" s="45"/>
      <c r="F60" s="47"/>
      <c r="G60" s="47"/>
      <c r="H60" s="47"/>
      <c r="I60" s="47"/>
      <c r="J60" s="47"/>
      <c r="K60" s="47"/>
      <c r="L60" s="47"/>
      <c r="M60" s="47"/>
      <c r="N60" s="47"/>
      <c r="O60" s="47"/>
      <c r="P60" s="47"/>
      <c r="Q60" s="47"/>
      <c r="R60" s="47"/>
      <c r="S60" s="45"/>
      <c r="T60" s="45"/>
      <c r="U60" s="45"/>
      <c r="V60" s="45"/>
      <c r="W60" s="45"/>
    </row>
    <row r="61" s="22" customFormat="1" spans="3:23">
      <c r="C61" s="44" t="s">
        <v>45</v>
      </c>
      <c r="D61" s="48"/>
      <c r="E61" s="45"/>
      <c r="F61" s="47"/>
      <c r="G61" s="49">
        <f t="shared" ref="G61:P61" si="28">(G14-F14)/ABS(F14)*100</f>
        <v>-2.84324569613432</v>
      </c>
      <c r="H61" s="49">
        <f t="shared" si="28"/>
        <v>12.1874680717528</v>
      </c>
      <c r="I61" s="49">
        <f t="shared" si="28"/>
        <v>18.9532024511143</v>
      </c>
      <c r="J61" s="49">
        <f t="shared" si="28"/>
        <v>18.5090396036355</v>
      </c>
      <c r="K61" s="49">
        <f t="shared" si="28"/>
        <v>13.504808313491</v>
      </c>
      <c r="L61" s="49">
        <f t="shared" si="28"/>
        <v>14.8470976607284</v>
      </c>
      <c r="M61" s="49">
        <f t="shared" si="28"/>
        <v>39.7169497405255</v>
      </c>
      <c r="N61" s="49">
        <f t="shared" si="28"/>
        <v>12.5307834970053</v>
      </c>
      <c r="O61" s="49">
        <f t="shared" si="28"/>
        <v>-0.932567826184847</v>
      </c>
      <c r="P61" s="49">
        <f t="shared" si="28"/>
        <v>5.39444737368412</v>
      </c>
      <c r="Q61" s="47"/>
      <c r="R61" s="47">
        <f>AVERAGEIF(E61:Q61,"&lt;&gt;0")</f>
        <v>13.1867983189618</v>
      </c>
      <c r="S61" s="45"/>
      <c r="T61" s="45"/>
      <c r="U61" s="45"/>
      <c r="V61" s="45"/>
      <c r="W61" s="45"/>
    </row>
    <row r="62" s="22" customFormat="1" spans="3:23">
      <c r="C62" s="44" t="s">
        <v>46</v>
      </c>
      <c r="D62" s="48"/>
      <c r="E62" s="45"/>
      <c r="F62" s="47"/>
      <c r="G62" s="49"/>
      <c r="H62" s="49"/>
      <c r="I62" s="49"/>
      <c r="J62" s="49"/>
      <c r="K62" s="49">
        <f t="shared" ref="K62:K67" si="29">(K15-J15)/ABS(J15)*100</f>
        <v>197.067954467058</v>
      </c>
      <c r="L62" s="49">
        <f t="shared" ref="L62:L67" si="30">(L15-K15)/ABS(K15)*100</f>
        <v>-0.18578727357176</v>
      </c>
      <c r="M62" s="49">
        <f t="shared" ref="M62:M67" si="31">(M15-L15)/ABS(L15)*100</f>
        <v>-5.6130758492322</v>
      </c>
      <c r="N62" s="49">
        <f t="shared" ref="N62:N67" si="32">(N15-M15)/ABS(M15)*100</f>
        <v>5.22585813767178</v>
      </c>
      <c r="O62" s="49">
        <f t="shared" ref="O62:O67" si="33">(O15-N15)/ABS(N15)*100</f>
        <v>11.0571010248902</v>
      </c>
      <c r="P62" s="49">
        <f t="shared" ref="P62:P67" si="34">(P15-O15)/ABS(O15)*100</f>
        <v>5.62674682276011</v>
      </c>
      <c r="Q62" s="47"/>
      <c r="R62" s="47">
        <f t="shared" ref="R62:R67" si="35">AVERAGEIF(E62:Q62,"&lt;&gt;0")</f>
        <v>35.5297995549293</v>
      </c>
      <c r="S62" s="45"/>
      <c r="T62" s="45"/>
      <c r="U62" s="45"/>
      <c r="V62" s="45"/>
      <c r="W62" s="45"/>
    </row>
    <row r="63" s="22" customFormat="1" spans="3:23">
      <c r="C63" s="44" t="s">
        <v>61</v>
      </c>
      <c r="D63" s="48"/>
      <c r="E63" s="45"/>
      <c r="F63" s="47"/>
      <c r="G63" s="49"/>
      <c r="H63" s="49">
        <f t="shared" ref="H62:H67" si="36">(H16-G16)/ABS(G16)*100</f>
        <v>36.937090320933</v>
      </c>
      <c r="I63" s="49">
        <f t="shared" ref="I62:I67" si="37">(I16-H16)/ABS(H16)*100</f>
        <v>42.9379584732065</v>
      </c>
      <c r="J63" s="49">
        <f t="shared" ref="J62:J67" si="38">(J16-I16)/ABS(I16)*100</f>
        <v>38.6552429000131</v>
      </c>
      <c r="K63" s="49">
        <f t="shared" si="29"/>
        <v>34.0767228129607</v>
      </c>
      <c r="L63" s="49">
        <f t="shared" si="30"/>
        <v>25.7737747104925</v>
      </c>
      <c r="M63" s="49">
        <f t="shared" si="31"/>
        <v>49.6614709274209</v>
      </c>
      <c r="N63" s="49">
        <f t="shared" si="32"/>
        <v>28.4672077155392</v>
      </c>
      <c r="O63" s="49">
        <f t="shared" si="33"/>
        <v>13.8827080471335</v>
      </c>
      <c r="P63" s="49">
        <f t="shared" si="34"/>
        <v>18.9753304563526</v>
      </c>
      <c r="Q63" s="47"/>
      <c r="R63" s="47">
        <f t="shared" si="35"/>
        <v>32.1519451515613</v>
      </c>
      <c r="S63" s="45"/>
      <c r="T63" s="45"/>
      <c r="U63" s="45"/>
      <c r="V63" s="45"/>
      <c r="W63" s="45"/>
    </row>
    <row r="64" s="22" customFormat="1" spans="3:23">
      <c r="C64" s="44" t="s">
        <v>48</v>
      </c>
      <c r="D64" s="48"/>
      <c r="E64" s="45"/>
      <c r="F64" s="47"/>
      <c r="G64" s="49">
        <f>(G17-F17)/ABS(F17)*100</f>
        <v>60.0484261501211</v>
      </c>
      <c r="H64" s="49">
        <f t="shared" si="36"/>
        <v>29.3494704992436</v>
      </c>
      <c r="I64" s="49">
        <f t="shared" si="37"/>
        <v>72.5146198830409</v>
      </c>
      <c r="J64" s="49">
        <f t="shared" si="38"/>
        <v>57.728813559322</v>
      </c>
      <c r="K64" s="49">
        <f t="shared" si="29"/>
        <v>117.236191704277</v>
      </c>
      <c r="L64" s="49">
        <f t="shared" si="30"/>
        <v>90.0474871388999</v>
      </c>
      <c r="M64" s="49">
        <f t="shared" si="31"/>
        <v>31.21811556481</v>
      </c>
      <c r="N64" s="49">
        <f t="shared" si="32"/>
        <v>23.6164557464196</v>
      </c>
      <c r="O64" s="49">
        <f t="shared" si="33"/>
        <v>21.1136071887035</v>
      </c>
      <c r="P64" s="49">
        <f t="shared" si="34"/>
        <v>24.2905217414346</v>
      </c>
      <c r="Q64" s="47"/>
      <c r="R64" s="47">
        <f t="shared" si="35"/>
        <v>52.7163709176272</v>
      </c>
      <c r="S64" s="45"/>
      <c r="T64" s="45"/>
      <c r="U64" s="45"/>
      <c r="V64" s="45"/>
      <c r="W64" s="45"/>
    </row>
    <row r="65" s="22" customFormat="1" spans="3:23">
      <c r="C65" s="44" t="s">
        <v>49</v>
      </c>
      <c r="D65" s="48"/>
      <c r="E65" s="45"/>
      <c r="F65" s="47"/>
      <c r="G65" s="49"/>
      <c r="H65" s="49">
        <f t="shared" si="36"/>
        <v>61.7306299782766</v>
      </c>
      <c r="I65" s="49">
        <f t="shared" si="37"/>
        <v>43.138571748377</v>
      </c>
      <c r="J65" s="49">
        <f t="shared" si="38"/>
        <v>52.0331560838286</v>
      </c>
      <c r="K65" s="49">
        <f t="shared" si="29"/>
        <v>45.7463223948153</v>
      </c>
      <c r="L65" s="49">
        <f t="shared" si="30"/>
        <v>-10.8907396950875</v>
      </c>
      <c r="M65" s="49">
        <f t="shared" si="31"/>
        <v>56.6178217821782</v>
      </c>
      <c r="N65" s="49">
        <f t="shared" si="32"/>
        <v>60.6635310777323</v>
      </c>
      <c r="O65" s="49">
        <f t="shared" si="33"/>
        <v>10.8599848904558</v>
      </c>
      <c r="P65" s="49">
        <f t="shared" si="34"/>
        <v>14.1717303651542</v>
      </c>
      <c r="Q65" s="47"/>
      <c r="R65" s="47">
        <f t="shared" si="35"/>
        <v>37.1190009584145</v>
      </c>
      <c r="S65" s="45"/>
      <c r="T65" s="45"/>
      <c r="U65" s="45"/>
      <c r="V65" s="45"/>
      <c r="W65" s="45"/>
    </row>
    <row r="66" s="22" customFormat="1" spans="3:23">
      <c r="C66" s="44" t="s">
        <v>50</v>
      </c>
      <c r="D66" s="48"/>
      <c r="E66" s="45"/>
      <c r="F66" s="47"/>
      <c r="G66" s="49">
        <f>(G19-F19)/ABS(F19)*100</f>
        <v>49.4208494208494</v>
      </c>
      <c r="H66" s="49">
        <f t="shared" si="36"/>
        <v>69.6813092161929</v>
      </c>
      <c r="I66" s="49">
        <f t="shared" si="37"/>
        <v>55.0634517766497</v>
      </c>
      <c r="J66" s="49">
        <f t="shared" si="38"/>
        <v>42.8840330632621</v>
      </c>
      <c r="K66" s="49">
        <f t="shared" si="29"/>
        <v>46.9442694312389</v>
      </c>
      <c r="L66" s="49">
        <f t="shared" si="30"/>
        <v>36.52699278893</v>
      </c>
      <c r="M66" s="49">
        <f t="shared" si="31"/>
        <v>29.532347399075</v>
      </c>
      <c r="N66" s="49">
        <f t="shared" si="32"/>
        <v>37.0994048931012</v>
      </c>
      <c r="O66" s="49">
        <f t="shared" si="33"/>
        <v>28.7675637439311</v>
      </c>
      <c r="P66" s="49">
        <f t="shared" si="34"/>
        <v>13.3102776667998</v>
      </c>
      <c r="Q66" s="47"/>
      <c r="R66" s="47">
        <f t="shared" si="35"/>
        <v>40.923049940003</v>
      </c>
      <c r="S66" s="45"/>
      <c r="T66" s="45"/>
      <c r="U66" s="45"/>
      <c r="V66" s="45"/>
      <c r="W66" s="45"/>
    </row>
    <row r="67" s="22" customFormat="1" spans="3:23">
      <c r="C67" s="44" t="s">
        <v>51</v>
      </c>
      <c r="D67" s="48"/>
      <c r="E67" s="45"/>
      <c r="F67" s="47"/>
      <c r="G67" s="49"/>
      <c r="H67" s="49"/>
      <c r="I67" s="49"/>
      <c r="J67" s="49"/>
      <c r="K67" s="49"/>
      <c r="L67" s="49"/>
      <c r="M67" s="49">
        <f t="shared" si="31"/>
        <v>15.0684931506849</v>
      </c>
      <c r="N67" s="49">
        <f t="shared" si="32"/>
        <v>29.5238095238095</v>
      </c>
      <c r="O67" s="49">
        <f t="shared" si="33"/>
        <v>95.1746323529412</v>
      </c>
      <c r="P67" s="49">
        <f t="shared" si="34"/>
        <v>16.7412291028962</v>
      </c>
      <c r="Q67" s="47"/>
      <c r="R67" s="47">
        <f t="shared" si="35"/>
        <v>39.127041032583</v>
      </c>
      <c r="S67" s="45"/>
      <c r="T67" s="45"/>
      <c r="U67" s="45"/>
      <c r="V67" s="45"/>
      <c r="W67" s="45"/>
    </row>
    <row r="68" s="22" customFormat="1" spans="5:23">
      <c r="E68" s="45"/>
      <c r="F68" s="47"/>
      <c r="G68" s="47"/>
      <c r="H68" s="47"/>
      <c r="I68" s="47"/>
      <c r="J68" s="47"/>
      <c r="K68" s="47"/>
      <c r="L68" s="47"/>
      <c r="M68" s="47"/>
      <c r="N68" s="47"/>
      <c r="O68" s="47"/>
      <c r="P68" s="47"/>
      <c r="Q68" s="47"/>
      <c r="R68" s="47"/>
      <c r="S68" s="45"/>
      <c r="T68" s="45"/>
      <c r="U68" s="45"/>
      <c r="V68" s="45"/>
      <c r="W68" s="45"/>
    </row>
    <row r="69" ht="15.75" spans="3:4">
      <c r="C69" s="43" t="s">
        <v>64</v>
      </c>
      <c r="D69" s="44"/>
    </row>
    <row r="70" spans="3:21">
      <c r="C70" s="44" t="s">
        <v>53</v>
      </c>
      <c r="D70" s="44"/>
      <c r="F70" s="49"/>
      <c r="G70" s="49">
        <f t="shared" ref="G70:P70" si="39">(G24-F24)/ABS(F24)*100</f>
        <v>22.7577879739193</v>
      </c>
      <c r="H70" s="49">
        <f t="shared" si="39"/>
        <v>25.3255695007279</v>
      </c>
      <c r="I70" s="49">
        <f t="shared" si="39"/>
        <v>25.2354492371445</v>
      </c>
      <c r="J70" s="49">
        <f t="shared" si="39"/>
        <v>32.994923857868</v>
      </c>
      <c r="K70" s="49">
        <f t="shared" si="39"/>
        <v>33.2258976533786</v>
      </c>
      <c r="L70" s="49">
        <f t="shared" si="39"/>
        <v>20.8020316059024</v>
      </c>
      <c r="M70" s="49">
        <f t="shared" si="39"/>
        <v>38.3602794352737</v>
      </c>
      <c r="N70" s="49">
        <f t="shared" si="39"/>
        <v>18.4317891333237</v>
      </c>
      <c r="O70" s="49">
        <f t="shared" si="39"/>
        <v>12.8816115325927</v>
      </c>
      <c r="P70" s="49">
        <f t="shared" si="39"/>
        <v>11.6968469038876</v>
      </c>
      <c r="R70" s="47">
        <f>AVERAGEIF(E70:Q70,"&lt;&gt;0")</f>
        <v>24.1712186834018</v>
      </c>
      <c r="U70" s="47" cm="1">
        <f t="array" ref="U70">_xlfn.STDEV.S(IF(E70:Q70&lt;&gt;0,E70:Q70))</f>
        <v>8.77493261869466</v>
      </c>
    </row>
    <row r="71" spans="3:21">
      <c r="C71" s="44" t="s">
        <v>54</v>
      </c>
      <c r="D71" s="44"/>
      <c r="F71" s="49"/>
      <c r="G71" s="49">
        <f t="shared" ref="G71:P71" si="40">(G25-F25)/ABS(F25)*100</f>
        <v>11.946281820004</v>
      </c>
      <c r="H71" s="49">
        <f t="shared" si="40"/>
        <v>5.69382273948075</v>
      </c>
      <c r="I71" s="49">
        <f t="shared" si="40"/>
        <v>24.1826190072844</v>
      </c>
      <c r="J71" s="49">
        <f t="shared" si="40"/>
        <v>23.4499693063229</v>
      </c>
      <c r="K71" s="49">
        <f t="shared" si="40"/>
        <v>21.3068861999742</v>
      </c>
      <c r="L71" s="49">
        <f t="shared" si="40"/>
        <v>13.4469984514013</v>
      </c>
      <c r="M71" s="49">
        <f t="shared" si="40"/>
        <v>39.7320771382305</v>
      </c>
      <c r="N71" s="49">
        <f t="shared" si="40"/>
        <v>22.3872734934682</v>
      </c>
      <c r="O71" s="49">
        <f t="shared" si="40"/>
        <v>-7.65336067049074</v>
      </c>
      <c r="P71" s="49">
        <f t="shared" si="40"/>
        <v>11.1798452634166</v>
      </c>
      <c r="R71" s="47">
        <f>AVERAGEIF(E71:Q71,"&lt;&gt;0")</f>
        <v>16.5672412749092</v>
      </c>
      <c r="U71" s="47" cm="1">
        <f t="array" ref="U71">_xlfn.STDEV.S(IF(E71:Q71&lt;&gt;0,E71:Q71))</f>
        <v>12.7510111118331</v>
      </c>
    </row>
    <row r="72" spans="3:21">
      <c r="C72" s="44" t="s">
        <v>55</v>
      </c>
      <c r="D72" s="44"/>
      <c r="F72" s="49"/>
      <c r="G72" s="49">
        <f t="shared" ref="G72:P72" si="41">(G26-F26)/ABS(F26)*100</f>
        <v>49.4208494208494</v>
      </c>
      <c r="H72" s="49">
        <f t="shared" si="41"/>
        <v>69.6813092161929</v>
      </c>
      <c r="I72" s="49">
        <f t="shared" si="41"/>
        <v>55.0634517766497</v>
      </c>
      <c r="J72" s="49">
        <f t="shared" si="41"/>
        <v>42.8840330632621</v>
      </c>
      <c r="K72" s="49">
        <f t="shared" si="41"/>
        <v>46.9442694312389</v>
      </c>
      <c r="L72" s="49">
        <f t="shared" si="41"/>
        <v>36.52699278893</v>
      </c>
      <c r="M72" s="49">
        <f t="shared" si="41"/>
        <v>29.532347399075</v>
      </c>
      <c r="N72" s="49">
        <f t="shared" si="41"/>
        <v>37.0994048931012</v>
      </c>
      <c r="O72" s="49">
        <f t="shared" si="41"/>
        <v>28.7675637439311</v>
      </c>
      <c r="P72" s="49">
        <f t="shared" si="41"/>
        <v>13.3102776667998</v>
      </c>
      <c r="R72" s="47">
        <f>AVERAGEIF(E72:Q72,"&lt;&gt;0")</f>
        <v>40.923049940003</v>
      </c>
      <c r="U72" s="47" cm="1">
        <f t="array" ref="U72">_xlfn.STDEV.S(IF(E72:Q72&lt;&gt;0,E72:Q72))</f>
        <v>15.6816109477779</v>
      </c>
    </row>
    <row r="73" s="23" customFormat="1" spans="3:23">
      <c r="C73" s="56" t="s">
        <v>65</v>
      </c>
      <c r="D73" s="56"/>
      <c r="E73" s="57"/>
      <c r="F73" s="57"/>
      <c r="G73" s="57">
        <f t="shared" ref="G73:P73" si="42">(G27-F27)/ABS(F27)*100</f>
        <v>19.5239886101112</v>
      </c>
      <c r="H73" s="57">
        <f t="shared" si="42"/>
        <v>20.2476738436643</v>
      </c>
      <c r="I73" s="57">
        <f t="shared" si="42"/>
        <v>27.0835280264658</v>
      </c>
      <c r="J73" s="57">
        <f t="shared" si="42"/>
        <v>30.7963261194085</v>
      </c>
      <c r="K73" s="57">
        <f t="shared" si="42"/>
        <v>30.9339615215949</v>
      </c>
      <c r="L73" s="57">
        <f t="shared" si="42"/>
        <v>20.454125820677</v>
      </c>
      <c r="M73" s="57">
        <f t="shared" si="42"/>
        <v>37.6234306043733</v>
      </c>
      <c r="N73" s="57">
        <f t="shared" si="42"/>
        <v>21.6953665713457</v>
      </c>
      <c r="O73" s="57">
        <f t="shared" si="42"/>
        <v>9.39951726398508</v>
      </c>
      <c r="P73" s="57">
        <f t="shared" si="42"/>
        <v>11.8295741298837</v>
      </c>
      <c r="Q73" s="57"/>
      <c r="R73" s="76">
        <f>AVERAGEIF(E73:Q73,"&lt;&gt;0")</f>
        <v>22.9587492511509</v>
      </c>
      <c r="S73" s="76">
        <f>MEDIAN(E73:Q73)</f>
        <v>21.0747461960113</v>
      </c>
      <c r="T73" s="76"/>
      <c r="U73" s="76" cm="1">
        <f t="array" ref="U73">_xlfn.STDEV.S(IF(E73:Q73&lt;&gt;0,E73:Q73))</f>
        <v>8.76753098954294</v>
      </c>
      <c r="V73" s="57">
        <f>R73-U73</f>
        <v>14.191218261608</v>
      </c>
      <c r="W73" s="57"/>
    </row>
    <row r="74" s="24" customFormat="1" spans="5:23">
      <c r="E74" s="49"/>
      <c r="F74" s="49"/>
      <c r="G74" s="49"/>
      <c r="H74" s="49"/>
      <c r="I74" s="49"/>
      <c r="J74" s="49"/>
      <c r="K74" s="49"/>
      <c r="L74" s="49"/>
      <c r="M74" s="49"/>
      <c r="N74" s="49"/>
      <c r="O74" s="49"/>
      <c r="P74" s="49"/>
      <c r="Q74" s="49"/>
      <c r="R74" s="49"/>
      <c r="S74" s="33"/>
      <c r="T74" s="33"/>
      <c r="U74" s="33"/>
      <c r="V74" s="49"/>
      <c r="W74" s="49"/>
    </row>
    <row r="76" ht="15.75" spans="3:4">
      <c r="C76" s="43" t="s">
        <v>66</v>
      </c>
      <c r="D76" s="44"/>
    </row>
    <row r="77" spans="3:21">
      <c r="C77" s="44" t="s">
        <v>53</v>
      </c>
      <c r="D77" s="44"/>
      <c r="G77" s="49">
        <f t="shared" ref="G77:P77" si="43">(G30-F30)/ABS(F30)*100</f>
        <v>-54.140127388535</v>
      </c>
      <c r="H77" s="49">
        <f t="shared" si="43"/>
        <v>295.833333333333</v>
      </c>
      <c r="I77" s="49">
        <f t="shared" si="43"/>
        <v>65.6842105263158</v>
      </c>
      <c r="J77" s="49">
        <f t="shared" si="43"/>
        <v>20.1609487505294</v>
      </c>
      <c r="K77" s="49">
        <f t="shared" si="43"/>
        <v>156.150863588298</v>
      </c>
      <c r="L77" s="49">
        <f t="shared" si="43"/>
        <v>-3.22003577817531</v>
      </c>
      <c r="M77" s="49">
        <f t="shared" si="43"/>
        <v>23.0058296601735</v>
      </c>
      <c r="N77" s="49">
        <f t="shared" si="43"/>
        <v>-15.9519130736331</v>
      </c>
      <c r="O77" s="49">
        <f t="shared" si="43"/>
        <v>-139.155549442993</v>
      </c>
      <c r="P77" s="49">
        <f t="shared" si="43"/>
        <v>622.550052687039</v>
      </c>
      <c r="R77" s="47">
        <f>AVERAGEIF(E77:Q77,"&lt;&gt;0")</f>
        <v>97.0917612862353</v>
      </c>
      <c r="U77" s="47" cm="1">
        <f t="array" ref="U77">_xlfn.STDEV.S(IF(E77:Q77&lt;&gt;0,E77:Q77))</f>
        <v>219.345318916536</v>
      </c>
    </row>
    <row r="78" spans="3:21">
      <c r="C78" s="44" t="s">
        <v>54</v>
      </c>
      <c r="D78" s="44"/>
      <c r="G78" s="49">
        <f t="shared" ref="G78:P78" si="44">(G31-F31)/ABS(F31)*100</f>
        <v>0.311526479750779</v>
      </c>
      <c r="H78" s="49">
        <f t="shared" si="44"/>
        <v>-9.21875</v>
      </c>
      <c r="I78" s="49">
        <f t="shared" si="44"/>
        <v>-83.5479256080114</v>
      </c>
      <c r="J78" s="49">
        <f t="shared" si="44"/>
        <v>-138.659392049883</v>
      </c>
      <c r="K78" s="49">
        <f t="shared" si="44"/>
        <v>30.0457217504899</v>
      </c>
      <c r="L78" s="49">
        <f t="shared" si="44"/>
        <v>20.9617180205416</v>
      </c>
      <c r="M78" s="49">
        <f t="shared" si="44"/>
        <v>142.350856467809</v>
      </c>
      <c r="N78" s="49">
        <f t="shared" si="44"/>
        <v>-228.870292887029</v>
      </c>
      <c r="O78" s="49">
        <f t="shared" si="44"/>
        <v>-738.311688311688</v>
      </c>
      <c r="P78" s="49">
        <f t="shared" si="44"/>
        <v>65.71133488252</v>
      </c>
      <c r="R78" s="47">
        <f>AVERAGEIF(E78:Q78,"&lt;&gt;0")</f>
        <v>-93.9226891255501</v>
      </c>
      <c r="U78" s="47" cm="1">
        <f t="array" ref="U78">_xlfn.STDEV.S(IF(E78:Q78&lt;&gt;0,E78:Q78))</f>
        <v>249.774719586915</v>
      </c>
    </row>
    <row r="79" spans="3:21">
      <c r="C79" s="44" t="s">
        <v>55</v>
      </c>
      <c r="D79" s="44"/>
      <c r="G79" s="49">
        <f t="shared" ref="G79:P79" si="45">(G32-F32)/ABS(F32)*100</f>
        <v>-23.9202657807309</v>
      </c>
      <c r="H79" s="49">
        <f t="shared" si="45"/>
        <v>229.039301310044</v>
      </c>
      <c r="I79" s="49">
        <f t="shared" si="45"/>
        <v>106.237558062376</v>
      </c>
      <c r="J79" s="49">
        <f t="shared" si="45"/>
        <v>39.3500643500644</v>
      </c>
      <c r="K79" s="49">
        <f t="shared" si="45"/>
        <v>68.4599399676749</v>
      </c>
      <c r="L79" s="49">
        <f t="shared" si="45"/>
        <v>26.1101973684211</v>
      </c>
      <c r="M79" s="49">
        <f t="shared" si="45"/>
        <v>47.0601021628084</v>
      </c>
      <c r="N79" s="49">
        <f t="shared" si="45"/>
        <v>36.9595743108418</v>
      </c>
      <c r="O79" s="49">
        <f t="shared" si="45"/>
        <v>23.2516727822145</v>
      </c>
      <c r="P79" s="49">
        <f t="shared" si="45"/>
        <v>7.83678472921501</v>
      </c>
      <c r="R79" s="47">
        <f>AVERAGEIF(E79:Q79,"&lt;&gt;0")</f>
        <v>56.0384929262928</v>
      </c>
      <c r="U79" s="47" cm="1">
        <f t="array" ref="U79">_xlfn.STDEV.S(IF(E79:Q79&lt;&gt;0,E79:Q79))</f>
        <v>69.9318117807103</v>
      </c>
    </row>
    <row r="80" s="2" customFormat="1" spans="3:23">
      <c r="C80" s="58" t="s">
        <v>67</v>
      </c>
      <c r="D80" s="58"/>
      <c r="E80" s="59"/>
      <c r="F80" s="60"/>
      <c r="G80" s="57">
        <f t="shared" ref="G80:P80" si="46">(G33-F33)/ABS(F33)*100</f>
        <v>-76.1073825503356</v>
      </c>
      <c r="H80" s="57">
        <f t="shared" si="46"/>
        <v>1154.49438202247</v>
      </c>
      <c r="I80" s="57">
        <f t="shared" si="46"/>
        <v>87.4608150470219</v>
      </c>
      <c r="J80" s="57">
        <f t="shared" si="46"/>
        <v>-1.91113234591495</v>
      </c>
      <c r="K80" s="57">
        <f t="shared" si="46"/>
        <v>202.508524111057</v>
      </c>
      <c r="L80" s="57">
        <f t="shared" si="46"/>
        <v>17.067868931648</v>
      </c>
      <c r="M80" s="57">
        <f t="shared" si="46"/>
        <v>57.4788528987002</v>
      </c>
      <c r="N80" s="57">
        <f t="shared" si="46"/>
        <v>8.64666579326608</v>
      </c>
      <c r="O80" s="57">
        <f t="shared" si="46"/>
        <v>-50.769725471281</v>
      </c>
      <c r="P80" s="57">
        <f t="shared" si="46"/>
        <v>200.88177661659</v>
      </c>
      <c r="Q80" s="59"/>
      <c r="R80" s="76">
        <f>AVERAGEIF(E80:Q80,"&lt;&gt;0")</f>
        <v>159.975064505322</v>
      </c>
      <c r="S80" s="76">
        <f>MEDIAN(E80:Q80)</f>
        <v>37.2733609151741</v>
      </c>
      <c r="T80" s="76"/>
      <c r="U80" s="76" cm="1">
        <f t="array" ref="U80">_xlfn.STDEV.S(IF(E80:Q80&lt;&gt;0,E80:Q80))</f>
        <v>361.784634648431</v>
      </c>
      <c r="V80" s="60"/>
      <c r="W80" s="59"/>
    </row>
    <row r="84" ht="15.75" spans="2:2">
      <c r="B84" s="36" t="s">
        <v>68</v>
      </c>
    </row>
    <row r="85" spans="2:2">
      <c r="B85" t="s">
        <v>69</v>
      </c>
    </row>
    <row r="86" spans="3:16">
      <c r="C86" t="s">
        <v>70</v>
      </c>
      <c r="F86" s="32">
        <v>60903</v>
      </c>
      <c r="G86" s="32">
        <v>70080</v>
      </c>
      <c r="H86" s="32">
        <v>79268</v>
      </c>
      <c r="I86" s="32">
        <v>94665</v>
      </c>
      <c r="J86" s="32">
        <v>118573</v>
      </c>
      <c r="K86" s="32">
        <v>141915</v>
      </c>
      <c r="L86" s="32">
        <v>160408</v>
      </c>
      <c r="M86" s="32">
        <v>215915</v>
      </c>
      <c r="N86" s="32">
        <v>241787</v>
      </c>
      <c r="O86" s="32">
        <v>242901</v>
      </c>
      <c r="P86" s="32">
        <v>255887</v>
      </c>
    </row>
    <row r="87" spans="3:16">
      <c r="C87" t="s">
        <v>71</v>
      </c>
      <c r="F87" s="32">
        <v>13549</v>
      </c>
      <c r="G87" s="32">
        <v>18908</v>
      </c>
      <c r="H87" s="32">
        <v>27738</v>
      </c>
      <c r="I87" s="32">
        <v>41322</v>
      </c>
      <c r="J87" s="32">
        <v>59293</v>
      </c>
      <c r="K87" s="32">
        <v>90972</v>
      </c>
      <c r="L87" s="32">
        <v>120114</v>
      </c>
      <c r="M87" s="32">
        <v>170149</v>
      </c>
      <c r="N87" s="32">
        <v>228035</v>
      </c>
      <c r="O87" s="32">
        <v>271082</v>
      </c>
      <c r="P87" s="32">
        <v>318898</v>
      </c>
    </row>
    <row r="88" spans="6:16">
      <c r="F88" s="37">
        <f>SUM(F85:F87)</f>
        <v>74452</v>
      </c>
      <c r="G88" s="37">
        <f t="shared" ref="G88:P88" si="47">SUM(G85:G87)</f>
        <v>88988</v>
      </c>
      <c r="H88" s="37">
        <f t="shared" si="47"/>
        <v>107006</v>
      </c>
      <c r="I88" s="37">
        <f t="shared" si="47"/>
        <v>135987</v>
      </c>
      <c r="J88" s="37">
        <f t="shared" si="47"/>
        <v>177866</v>
      </c>
      <c r="K88" s="37">
        <f t="shared" si="47"/>
        <v>232887</v>
      </c>
      <c r="L88" s="37">
        <f t="shared" si="47"/>
        <v>280522</v>
      </c>
      <c r="M88" s="37">
        <f t="shared" si="47"/>
        <v>386064</v>
      </c>
      <c r="N88" s="37">
        <f t="shared" si="47"/>
        <v>469822</v>
      </c>
      <c r="O88" s="37">
        <f t="shared" si="47"/>
        <v>513983</v>
      </c>
      <c r="P88" s="37">
        <f t="shared" si="47"/>
        <v>574785</v>
      </c>
    </row>
    <row r="89" spans="2:16">
      <c r="B89" t="s">
        <v>72</v>
      </c>
      <c r="D89"/>
      <c r="F89" s="32">
        <v>54181</v>
      </c>
      <c r="G89" s="32">
        <v>62752</v>
      </c>
      <c r="H89" s="32">
        <v>71651</v>
      </c>
      <c r="I89" s="32">
        <v>88265</v>
      </c>
      <c r="J89" s="32">
        <v>111934</v>
      </c>
      <c r="K89" s="32">
        <v>139156</v>
      </c>
      <c r="L89" s="32">
        <v>165536</v>
      </c>
      <c r="M89" s="32">
        <v>233307</v>
      </c>
      <c r="N89" s="32">
        <v>272344</v>
      </c>
      <c r="O89" s="32">
        <v>288831</v>
      </c>
      <c r="P89" s="32">
        <v>304739</v>
      </c>
    </row>
    <row r="90" spans="2:16">
      <c r="B90" t="s">
        <v>73</v>
      </c>
      <c r="F90" s="37">
        <f t="shared" ref="F90:P90" si="48">F88-F89</f>
        <v>20271</v>
      </c>
      <c r="G90" s="37">
        <f t="shared" si="48"/>
        <v>26236</v>
      </c>
      <c r="H90" s="37">
        <f t="shared" si="48"/>
        <v>35355</v>
      </c>
      <c r="I90" s="37">
        <f t="shared" si="48"/>
        <v>47722</v>
      </c>
      <c r="J90" s="37">
        <f t="shared" si="48"/>
        <v>65932</v>
      </c>
      <c r="K90" s="37">
        <f t="shared" si="48"/>
        <v>93731</v>
      </c>
      <c r="L90" s="37">
        <f t="shared" si="48"/>
        <v>114986</v>
      </c>
      <c r="M90" s="37">
        <f t="shared" si="48"/>
        <v>152757</v>
      </c>
      <c r="N90" s="37">
        <f t="shared" si="48"/>
        <v>197478</v>
      </c>
      <c r="O90" s="37">
        <f t="shared" si="48"/>
        <v>225152</v>
      </c>
      <c r="P90" s="37">
        <f t="shared" si="48"/>
        <v>270046</v>
      </c>
    </row>
    <row r="91" s="25" customFormat="1" ht="15.75" spans="3:23">
      <c r="C91" s="61" t="s">
        <v>74</v>
      </c>
      <c r="D91" s="62"/>
      <c r="E91" s="63"/>
      <c r="F91" s="64">
        <f t="shared" ref="F91:P91" si="49">IFERROR(F90/F88*100,0)</f>
        <v>27.2269381615</v>
      </c>
      <c r="G91" s="64">
        <f t="shared" si="49"/>
        <v>29.4826268710388</v>
      </c>
      <c r="H91" s="64">
        <f t="shared" si="49"/>
        <v>33.040203353083</v>
      </c>
      <c r="I91" s="64">
        <f t="shared" si="49"/>
        <v>35.0930603660644</v>
      </c>
      <c r="J91" s="64">
        <f t="shared" si="49"/>
        <v>37.0683548289161</v>
      </c>
      <c r="K91" s="64">
        <f t="shared" si="49"/>
        <v>40.2474161288522</v>
      </c>
      <c r="L91" s="64">
        <f t="shared" si="49"/>
        <v>40.9900114786006</v>
      </c>
      <c r="M91" s="64">
        <f t="shared" si="49"/>
        <v>39.5677918687057</v>
      </c>
      <c r="N91" s="64">
        <f t="shared" si="49"/>
        <v>42.0325144416396</v>
      </c>
      <c r="O91" s="64">
        <f t="shared" si="49"/>
        <v>43.8053398653263</v>
      </c>
      <c r="P91" s="64">
        <f t="shared" si="49"/>
        <v>46.9820889550006</v>
      </c>
      <c r="Q91" s="63"/>
      <c r="R91" s="57">
        <f>AVERAGE(E91:Q91)</f>
        <v>37.7760314835207</v>
      </c>
      <c r="S91" s="64"/>
      <c r="T91" s="64"/>
      <c r="U91" s="64"/>
      <c r="V91" s="64"/>
      <c r="W91" s="63"/>
    </row>
    <row r="93" spans="2:18">
      <c r="B93" t="s">
        <v>75</v>
      </c>
      <c r="D93"/>
      <c r="F93" s="32">
        <v>8585</v>
      </c>
      <c r="G93" s="32">
        <v>10766</v>
      </c>
      <c r="H93" s="32">
        <v>13410</v>
      </c>
      <c r="I93" s="32">
        <v>17619</v>
      </c>
      <c r="J93" s="32">
        <v>25249</v>
      </c>
      <c r="K93" s="32">
        <v>34027</v>
      </c>
      <c r="L93" s="32">
        <v>40232</v>
      </c>
      <c r="M93" s="32">
        <v>58517</v>
      </c>
      <c r="N93" s="32">
        <v>75111</v>
      </c>
      <c r="O93" s="32">
        <v>84299</v>
      </c>
      <c r="P93" s="32">
        <v>90619</v>
      </c>
      <c r="R93" s="33"/>
    </row>
    <row r="94" spans="2:18">
      <c r="B94" t="s">
        <v>76</v>
      </c>
      <c r="D94"/>
      <c r="F94" s="32">
        <v>3133</v>
      </c>
      <c r="G94" s="32">
        <v>4332</v>
      </c>
      <c r="H94" s="32">
        <v>5254</v>
      </c>
      <c r="I94" s="32">
        <v>7233</v>
      </c>
      <c r="J94" s="32">
        <v>22620</v>
      </c>
      <c r="K94" s="32">
        <v>28837</v>
      </c>
      <c r="L94" s="32">
        <v>35931</v>
      </c>
      <c r="M94" s="32">
        <v>42740</v>
      </c>
      <c r="N94" s="32">
        <v>56052</v>
      </c>
      <c r="O94" s="32">
        <v>73213</v>
      </c>
      <c r="P94" s="32">
        <v>85622</v>
      </c>
      <c r="R94" s="33"/>
    </row>
    <row r="95" spans="2:18">
      <c r="B95" t="s">
        <v>77</v>
      </c>
      <c r="F95" s="32">
        <v>6565</v>
      </c>
      <c r="G95" s="32">
        <v>9275</v>
      </c>
      <c r="H95" s="32">
        <v>12540</v>
      </c>
      <c r="I95" s="32">
        <v>16085</v>
      </c>
      <c r="J95" s="32">
        <v>10069</v>
      </c>
      <c r="K95" s="32">
        <v>13814</v>
      </c>
      <c r="L95" s="32">
        <v>18878</v>
      </c>
      <c r="M95" s="32">
        <v>22008</v>
      </c>
      <c r="N95" s="32">
        <v>32551</v>
      </c>
      <c r="O95" s="32">
        <v>42238</v>
      </c>
      <c r="P95" s="32">
        <v>44370</v>
      </c>
      <c r="R95" s="33"/>
    </row>
    <row r="96" spans="2:18">
      <c r="B96" t="s">
        <v>78</v>
      </c>
      <c r="F96" s="32">
        <v>1129</v>
      </c>
      <c r="G96" s="32">
        <v>1552</v>
      </c>
      <c r="H96" s="32">
        <v>1747</v>
      </c>
      <c r="I96" s="32">
        <v>2432</v>
      </c>
      <c r="J96" s="32">
        <v>3674</v>
      </c>
      <c r="K96" s="32">
        <v>4336</v>
      </c>
      <c r="L96" s="32">
        <v>5203</v>
      </c>
      <c r="M96" s="32">
        <v>6668</v>
      </c>
      <c r="N96" s="32">
        <v>8823</v>
      </c>
      <c r="O96" s="32">
        <v>11891</v>
      </c>
      <c r="P96" s="32">
        <v>11816</v>
      </c>
      <c r="R96" s="33"/>
    </row>
    <row r="97" spans="2:18">
      <c r="B97" t="s">
        <v>79</v>
      </c>
      <c r="F97" s="32">
        <v>114</v>
      </c>
      <c r="G97" s="32">
        <v>133</v>
      </c>
      <c r="H97" s="32">
        <v>171</v>
      </c>
      <c r="I97" s="32">
        <v>167</v>
      </c>
      <c r="J97" s="32">
        <v>214</v>
      </c>
      <c r="K97" s="32">
        <v>296</v>
      </c>
      <c r="L97" s="32">
        <v>201</v>
      </c>
      <c r="M97" s="32">
        <v>-75</v>
      </c>
      <c r="N97" s="32">
        <v>62</v>
      </c>
      <c r="O97" s="32">
        <v>1263</v>
      </c>
      <c r="P97" s="32">
        <v>767</v>
      </c>
      <c r="R97" s="33"/>
    </row>
    <row r="98" spans="2:16">
      <c r="B98" t="s">
        <v>80</v>
      </c>
      <c r="F98" s="37">
        <f>SUM(F93:F97)</f>
        <v>19526</v>
      </c>
      <c r="G98" s="37">
        <f t="shared" ref="G98:P98" si="50">SUM(G93:G97)</f>
        <v>26058</v>
      </c>
      <c r="H98" s="37">
        <f t="shared" si="50"/>
        <v>33122</v>
      </c>
      <c r="I98" s="37">
        <f t="shared" si="50"/>
        <v>43536</v>
      </c>
      <c r="J98" s="37">
        <f t="shared" si="50"/>
        <v>61826</v>
      </c>
      <c r="K98" s="37">
        <f t="shared" si="50"/>
        <v>81310</v>
      </c>
      <c r="L98" s="37">
        <f t="shared" si="50"/>
        <v>100445</v>
      </c>
      <c r="M98" s="37">
        <f t="shared" si="50"/>
        <v>129858</v>
      </c>
      <c r="N98" s="37">
        <f t="shared" si="50"/>
        <v>172599</v>
      </c>
      <c r="O98" s="37">
        <f t="shared" si="50"/>
        <v>212904</v>
      </c>
      <c r="P98" s="37">
        <f t="shared" si="50"/>
        <v>233194</v>
      </c>
    </row>
    <row r="100" spans="2:16">
      <c r="B100" t="s">
        <v>81</v>
      </c>
      <c r="F100" s="37">
        <f t="shared" ref="F100:P100" si="51">F90-F98</f>
        <v>745</v>
      </c>
      <c r="G100" s="37">
        <f t="shared" si="51"/>
        <v>178</v>
      </c>
      <c r="H100" s="37">
        <f t="shared" si="51"/>
        <v>2233</v>
      </c>
      <c r="I100" s="37">
        <f t="shared" si="51"/>
        <v>4186</v>
      </c>
      <c r="J100" s="37">
        <f t="shared" si="51"/>
        <v>4106</v>
      </c>
      <c r="K100" s="37">
        <f t="shared" si="51"/>
        <v>12421</v>
      </c>
      <c r="L100" s="37">
        <f t="shared" si="51"/>
        <v>14541</v>
      </c>
      <c r="M100" s="37">
        <f t="shared" si="51"/>
        <v>22899</v>
      </c>
      <c r="N100" s="37">
        <f t="shared" si="51"/>
        <v>24879</v>
      </c>
      <c r="O100" s="37">
        <f t="shared" si="51"/>
        <v>12248</v>
      </c>
      <c r="P100" s="37">
        <f t="shared" si="51"/>
        <v>36852</v>
      </c>
    </row>
    <row r="101" s="25" customFormat="1" ht="15.75" spans="3:23">
      <c r="C101" s="61" t="s">
        <v>82</v>
      </c>
      <c r="D101" s="62"/>
      <c r="E101" s="63"/>
      <c r="F101" s="64">
        <f t="shared" ref="F101:P101" si="52">IFERROR(F100/F88*100,0)</f>
        <v>1.00064471068608</v>
      </c>
      <c r="G101" s="64">
        <f t="shared" si="52"/>
        <v>0.20002696992853</v>
      </c>
      <c r="H101" s="64">
        <f t="shared" si="52"/>
        <v>2.08679887109134</v>
      </c>
      <c r="I101" s="64">
        <f t="shared" si="52"/>
        <v>3.07823541956216</v>
      </c>
      <c r="J101" s="64">
        <f t="shared" si="52"/>
        <v>2.30847941708927</v>
      </c>
      <c r="K101" s="64">
        <f t="shared" si="52"/>
        <v>5.33348791473977</v>
      </c>
      <c r="L101" s="64">
        <f t="shared" si="52"/>
        <v>5.18355066625791</v>
      </c>
      <c r="M101" s="64">
        <f t="shared" si="52"/>
        <v>5.93139997513366</v>
      </c>
      <c r="N101" s="64">
        <f t="shared" si="52"/>
        <v>5.29540975092695</v>
      </c>
      <c r="O101" s="64">
        <f t="shared" si="52"/>
        <v>2.38295819122422</v>
      </c>
      <c r="P101" s="64">
        <f t="shared" si="52"/>
        <v>6.41144079960333</v>
      </c>
      <c r="Q101" s="63"/>
      <c r="R101" s="57">
        <f>AVERAGE(E101:Q101)</f>
        <v>3.56476660784029</v>
      </c>
      <c r="S101" s="64"/>
      <c r="T101" s="64"/>
      <c r="U101" s="64"/>
      <c r="V101" s="64"/>
      <c r="W101" s="63"/>
    </row>
    <row r="103" spans="2:18">
      <c r="B103" t="s">
        <v>83</v>
      </c>
      <c r="F103" s="32">
        <f>38-141-136-71</f>
        <v>-310</v>
      </c>
      <c r="G103" s="32">
        <f>39-210-118+37</f>
        <v>-252</v>
      </c>
      <c r="H103" s="32">
        <f>50-459-256-22</f>
        <v>-687</v>
      </c>
      <c r="I103" s="32">
        <f>100-484+90-96</f>
        <v>-390</v>
      </c>
      <c r="J103" s="32">
        <f>202-848+346-4</f>
        <v>-304</v>
      </c>
      <c r="K103" s="32">
        <f>440-1417-183+9</f>
        <v>-1151</v>
      </c>
      <c r="L103" s="32">
        <f>832-1600+203-14</f>
        <v>-579</v>
      </c>
      <c r="M103" s="32">
        <f>555-1647+2371+16</f>
        <v>1295</v>
      </c>
      <c r="N103" s="32">
        <f>448-1809+14633+4</f>
        <v>13276</v>
      </c>
      <c r="O103" s="32">
        <f>989-2367-16806-3</f>
        <v>-18187</v>
      </c>
      <c r="P103" s="32">
        <f>2949-3182+938-12</f>
        <v>693</v>
      </c>
      <c r="R103" s="33" t="e">
        <f>AVERAGE(E103:Q103)/AVERAGE(E85:Q85)*100</f>
        <v>#DIV/0!</v>
      </c>
    </row>
    <row r="105" spans="2:16">
      <c r="B105" t="s">
        <v>84</v>
      </c>
      <c r="F105" s="37">
        <f t="shared" ref="F105:P105" si="53">F100+F103</f>
        <v>435</v>
      </c>
      <c r="G105" s="37">
        <f t="shared" si="53"/>
        <v>-74</v>
      </c>
      <c r="H105" s="37">
        <f t="shared" si="53"/>
        <v>1546</v>
      </c>
      <c r="I105" s="37">
        <f t="shared" si="53"/>
        <v>3796</v>
      </c>
      <c r="J105" s="37">
        <f t="shared" si="53"/>
        <v>3802</v>
      </c>
      <c r="K105" s="37">
        <f t="shared" si="53"/>
        <v>11270</v>
      </c>
      <c r="L105" s="37">
        <f t="shared" si="53"/>
        <v>13962</v>
      </c>
      <c r="M105" s="37">
        <f t="shared" si="53"/>
        <v>24194</v>
      </c>
      <c r="N105" s="37">
        <f t="shared" si="53"/>
        <v>38155</v>
      </c>
      <c r="O105" s="37">
        <f t="shared" si="53"/>
        <v>-5939</v>
      </c>
      <c r="P105" s="37">
        <f t="shared" si="53"/>
        <v>37545</v>
      </c>
    </row>
    <row r="107" spans="2:18">
      <c r="B107" t="s">
        <v>85</v>
      </c>
      <c r="F107" s="32">
        <f>-161</f>
        <v>-161</v>
      </c>
      <c r="G107" s="32">
        <v>-167</v>
      </c>
      <c r="H107" s="32">
        <v>-950</v>
      </c>
      <c r="I107" s="32">
        <v>-1425</v>
      </c>
      <c r="J107" s="32">
        <v>-769</v>
      </c>
      <c r="K107" s="32">
        <v>-1197</v>
      </c>
      <c r="L107" s="32">
        <v>-2374</v>
      </c>
      <c r="M107" s="32">
        <v>-2863</v>
      </c>
      <c r="N107" s="32">
        <v>-4791</v>
      </c>
      <c r="O107" s="32">
        <v>3217</v>
      </c>
      <c r="P107" s="32">
        <v>-7120</v>
      </c>
      <c r="R107" s="33">
        <f>AVERAGE(E107:Q107)/AVERAGE(E105:Q105)*100</f>
        <v>-14.4531128586081</v>
      </c>
    </row>
    <row r="109" spans="2:16">
      <c r="B109" t="s">
        <v>86</v>
      </c>
      <c r="F109" s="37">
        <f t="shared" ref="F109:P109" si="54">F105+F107</f>
        <v>274</v>
      </c>
      <c r="G109" s="37">
        <f t="shared" si="54"/>
        <v>-241</v>
      </c>
      <c r="H109" s="37">
        <f t="shared" si="54"/>
        <v>596</v>
      </c>
      <c r="I109" s="37">
        <f t="shared" si="54"/>
        <v>2371</v>
      </c>
      <c r="J109" s="37">
        <f t="shared" si="54"/>
        <v>3033</v>
      </c>
      <c r="K109" s="37">
        <f t="shared" si="54"/>
        <v>10073</v>
      </c>
      <c r="L109" s="37">
        <f t="shared" si="54"/>
        <v>11588</v>
      </c>
      <c r="M109" s="37">
        <f t="shared" si="54"/>
        <v>21331</v>
      </c>
      <c r="N109" s="37">
        <f t="shared" si="54"/>
        <v>33364</v>
      </c>
      <c r="O109" s="37">
        <f t="shared" si="54"/>
        <v>-2722</v>
      </c>
      <c r="P109" s="37">
        <f t="shared" si="54"/>
        <v>30425</v>
      </c>
    </row>
    <row r="110" ht="15.75" spans="3:18">
      <c r="C110" s="61" t="s">
        <v>87</v>
      </c>
      <c r="D110" s="44"/>
      <c r="F110" s="64">
        <f>IFERROR(F109/F88*100,0)</f>
        <v>0.368022349970451</v>
      </c>
      <c r="G110" s="64">
        <f t="shared" ref="G110:P110" si="55">IFERROR(G109/G88*100,0)</f>
        <v>-0.270823032318964</v>
      </c>
      <c r="H110" s="64">
        <f t="shared" si="55"/>
        <v>0.55697811337682</v>
      </c>
      <c r="I110" s="64">
        <f t="shared" si="55"/>
        <v>1.74354901571474</v>
      </c>
      <c r="J110" s="64">
        <f t="shared" si="55"/>
        <v>1.70521628641787</v>
      </c>
      <c r="K110" s="64">
        <f t="shared" si="55"/>
        <v>4.32527363055903</v>
      </c>
      <c r="L110" s="64">
        <f t="shared" si="55"/>
        <v>4.13087030607225</v>
      </c>
      <c r="M110" s="64">
        <f t="shared" si="55"/>
        <v>5.52524969953168</v>
      </c>
      <c r="N110" s="64">
        <f t="shared" si="55"/>
        <v>7.10141287551456</v>
      </c>
      <c r="O110" s="64">
        <f t="shared" si="55"/>
        <v>-0.52958950004183</v>
      </c>
      <c r="P110" s="64">
        <f t="shared" si="55"/>
        <v>5.29328357559783</v>
      </c>
      <c r="R110" s="57">
        <f>AVERAGE(E110:Q110)</f>
        <v>2.7226766654904</v>
      </c>
    </row>
    <row r="114" customFormat="1" ht="15.75" spans="3:23">
      <c r="C114" s="43" t="s">
        <v>88</v>
      </c>
      <c r="D114" s="44"/>
      <c r="E114" s="31"/>
      <c r="F114" s="32"/>
      <c r="G114" s="32"/>
      <c r="H114" s="32"/>
      <c r="I114" s="32"/>
      <c r="J114" s="32"/>
      <c r="K114" s="32"/>
      <c r="L114" s="32"/>
      <c r="M114" s="32"/>
      <c r="N114" s="32"/>
      <c r="O114" s="32"/>
      <c r="P114" s="32"/>
      <c r="Q114" s="31"/>
      <c r="R114" s="32"/>
      <c r="S114" s="33"/>
      <c r="T114" s="33"/>
      <c r="U114" s="33"/>
      <c r="V114" s="32"/>
      <c r="W114" s="31"/>
    </row>
    <row r="115" customFormat="1" spans="3:23">
      <c r="C115" s="65" t="s">
        <v>89</v>
      </c>
      <c r="D115" s="44"/>
      <c r="E115" s="31"/>
      <c r="F115" s="66">
        <v>483</v>
      </c>
      <c r="G115" s="66">
        <v>488</v>
      </c>
      <c r="H115" s="66">
        <v>494</v>
      </c>
      <c r="I115" s="66">
        <v>500</v>
      </c>
      <c r="J115" s="66">
        <v>507</v>
      </c>
      <c r="K115" s="66">
        <v>514</v>
      </c>
      <c r="L115" s="66">
        <v>521</v>
      </c>
      <c r="M115" s="66">
        <v>527</v>
      </c>
      <c r="N115" s="66">
        <v>10644</v>
      </c>
      <c r="O115" s="66">
        <v>10757</v>
      </c>
      <c r="P115" s="66">
        <v>10898</v>
      </c>
      <c r="Q115" s="31"/>
      <c r="R115" s="32"/>
      <c r="S115" s="33"/>
      <c r="T115" s="33"/>
      <c r="U115" s="33"/>
      <c r="V115" s="32"/>
      <c r="W115" s="31"/>
    </row>
    <row r="116" s="26" customFormat="1" spans="3:23">
      <c r="C116" s="65" t="s">
        <v>90</v>
      </c>
      <c r="D116" s="65"/>
      <c r="E116" s="67"/>
      <c r="F116" s="66">
        <f t="shared" ref="F116:M116" si="56">F115*20</f>
        <v>9660</v>
      </c>
      <c r="G116" s="66">
        <f t="shared" si="56"/>
        <v>9760</v>
      </c>
      <c r="H116" s="66">
        <f t="shared" si="56"/>
        <v>9880</v>
      </c>
      <c r="I116" s="66">
        <f t="shared" si="56"/>
        <v>10000</v>
      </c>
      <c r="J116" s="66">
        <f t="shared" si="56"/>
        <v>10140</v>
      </c>
      <c r="K116" s="66">
        <f t="shared" si="56"/>
        <v>10280</v>
      </c>
      <c r="L116" s="66">
        <f t="shared" si="56"/>
        <v>10420</v>
      </c>
      <c r="M116" s="66">
        <f t="shared" si="56"/>
        <v>10540</v>
      </c>
      <c r="N116" s="66">
        <f>N115*1</f>
        <v>10644</v>
      </c>
      <c r="O116" s="66">
        <f>O115*1</f>
        <v>10757</v>
      </c>
      <c r="P116" s="66">
        <f>P115*1</f>
        <v>10898</v>
      </c>
      <c r="Q116" s="67"/>
      <c r="R116" s="66"/>
      <c r="S116" s="45"/>
      <c r="T116" s="45"/>
      <c r="U116" s="45"/>
      <c r="V116" s="66"/>
      <c r="W116" s="67"/>
    </row>
    <row r="117" s="27" customFormat="1" spans="3:23">
      <c r="C117" s="48" t="s">
        <v>91</v>
      </c>
      <c r="D117" s="68"/>
      <c r="E117" s="33"/>
      <c r="F117" s="33">
        <v>19.67</v>
      </c>
      <c r="G117" s="33">
        <v>15.52</v>
      </c>
      <c r="H117" s="33">
        <v>34.45</v>
      </c>
      <c r="I117" s="33">
        <v>37.49</v>
      </c>
      <c r="J117" s="33">
        <v>58.47</v>
      </c>
      <c r="K117" s="33">
        <v>73.9</v>
      </c>
      <c r="L117" s="33">
        <v>92.34</v>
      </c>
      <c r="M117" s="33">
        <v>164.29</v>
      </c>
      <c r="N117" s="33">
        <v>168.64</v>
      </c>
      <c r="O117" s="33">
        <v>84</v>
      </c>
      <c r="P117" s="33">
        <v>151.94</v>
      </c>
      <c r="Q117" s="33"/>
      <c r="R117" s="33"/>
      <c r="S117" s="33"/>
      <c r="T117" s="33">
        <f>((P117/F117)^(1/4)-1)*100</f>
        <v>66.7120302812086</v>
      </c>
      <c r="U117" s="33"/>
      <c r="V117" s="33"/>
      <c r="W117" s="33"/>
    </row>
    <row r="118" s="22" customFormat="1" spans="3:23">
      <c r="C118" s="48" t="s">
        <v>12</v>
      </c>
      <c r="D118" s="48"/>
      <c r="E118" s="45"/>
      <c r="F118" s="45">
        <f t="shared" ref="F118:P118" si="57">IFERROR(F109/F116,0)</f>
        <v>0.0283643892339544</v>
      </c>
      <c r="G118" s="45">
        <f t="shared" si="57"/>
        <v>-0.0246926229508197</v>
      </c>
      <c r="H118" s="45">
        <f t="shared" si="57"/>
        <v>0.0603238866396761</v>
      </c>
      <c r="I118" s="45">
        <f t="shared" si="57"/>
        <v>0.2371</v>
      </c>
      <c r="J118" s="45">
        <f t="shared" si="57"/>
        <v>0.299112426035503</v>
      </c>
      <c r="K118" s="45">
        <f t="shared" si="57"/>
        <v>0.979863813229572</v>
      </c>
      <c r="L118" s="45">
        <f t="shared" si="57"/>
        <v>1.11209213051823</v>
      </c>
      <c r="M118" s="45">
        <f t="shared" si="57"/>
        <v>2.02381404174573</v>
      </c>
      <c r="N118" s="45">
        <f t="shared" si="57"/>
        <v>3.13453588876362</v>
      </c>
      <c r="O118" s="45">
        <f t="shared" si="57"/>
        <v>-0.253044529143813</v>
      </c>
      <c r="P118" s="45">
        <f t="shared" si="57"/>
        <v>2.7917966599376</v>
      </c>
      <c r="Q118" s="45"/>
      <c r="R118" s="45"/>
      <c r="S118" s="45"/>
      <c r="T118" s="45"/>
      <c r="U118" s="45"/>
      <c r="V118" s="45"/>
      <c r="W118" s="45"/>
    </row>
    <row r="119" s="28" customFormat="1" spans="3:23">
      <c r="C119" s="69" t="s">
        <v>92</v>
      </c>
      <c r="D119" s="70"/>
      <c r="E119" s="60"/>
      <c r="F119" s="60">
        <f>IF(F117/F118&gt;0,F117/F118,0)</f>
        <v>693.475182481752</v>
      </c>
      <c r="G119" s="60">
        <f t="shared" ref="G119:P119" si="58">IF(G117/G118&gt;0,G117/G118,0)</f>
        <v>0</v>
      </c>
      <c r="H119" s="60">
        <f t="shared" si="58"/>
        <v>571.08389261745</v>
      </c>
      <c r="I119" s="60">
        <f t="shared" si="58"/>
        <v>158.118937157318</v>
      </c>
      <c r="J119" s="60">
        <f t="shared" si="58"/>
        <v>195.478338278932</v>
      </c>
      <c r="K119" s="60">
        <f t="shared" si="58"/>
        <v>75.4186438995334</v>
      </c>
      <c r="L119" s="60">
        <f t="shared" si="58"/>
        <v>83.0326889886089</v>
      </c>
      <c r="M119" s="60">
        <f t="shared" si="58"/>
        <v>81.1784070132671</v>
      </c>
      <c r="N119" s="60">
        <f t="shared" si="58"/>
        <v>53.8006282220357</v>
      </c>
      <c r="O119" s="60">
        <f t="shared" si="58"/>
        <v>0</v>
      </c>
      <c r="P119" s="60">
        <f t="shared" si="58"/>
        <v>54.4237344289236</v>
      </c>
      <c r="Q119" s="60"/>
      <c r="R119" s="60">
        <f>AVERAGE(E119:Q119)</f>
        <v>178.728223007984</v>
      </c>
      <c r="S119" s="76"/>
      <c r="T119" s="76"/>
      <c r="U119" s="76">
        <f>_xlfn.STDEV.S(E119:Q119)</f>
        <v>233.217762825552</v>
      </c>
      <c r="V119" s="76">
        <f>R119-U119</f>
        <v>-54.4895398175684</v>
      </c>
      <c r="W119" s="60"/>
    </row>
    <row r="120" s="29" customFormat="1" spans="3:23">
      <c r="C120" s="48" t="s">
        <v>93</v>
      </c>
      <c r="D120" s="71"/>
      <c r="E120" s="47"/>
      <c r="F120" s="47">
        <f t="shared" ref="F120:P120" si="59">F88/F116</f>
        <v>7.70724637681159</v>
      </c>
      <c r="G120" s="47">
        <f t="shared" si="59"/>
        <v>9.11762295081967</v>
      </c>
      <c r="H120" s="47">
        <f t="shared" si="59"/>
        <v>10.8305668016194</v>
      </c>
      <c r="I120" s="47">
        <f t="shared" si="59"/>
        <v>13.5987</v>
      </c>
      <c r="J120" s="47">
        <f t="shared" si="59"/>
        <v>17.5410256410256</v>
      </c>
      <c r="K120" s="47">
        <f t="shared" si="59"/>
        <v>22.6543774319066</v>
      </c>
      <c r="L120" s="47">
        <f t="shared" si="59"/>
        <v>26.9214971209213</v>
      </c>
      <c r="M120" s="47">
        <f t="shared" si="59"/>
        <v>36.6284629981025</v>
      </c>
      <c r="N120" s="47">
        <f t="shared" si="59"/>
        <v>44.1396091694852</v>
      </c>
      <c r="O120" s="47">
        <f t="shared" si="59"/>
        <v>47.7812587152552</v>
      </c>
      <c r="P120" s="47">
        <f t="shared" si="59"/>
        <v>52.7422462837218</v>
      </c>
      <c r="Q120" s="47"/>
      <c r="R120" s="47"/>
      <c r="S120" s="47"/>
      <c r="T120" s="47"/>
      <c r="U120" s="47"/>
      <c r="V120" s="47"/>
      <c r="W120" s="47"/>
    </row>
    <row r="121" s="28" customFormat="1" spans="3:23">
      <c r="C121" s="69" t="s">
        <v>94</v>
      </c>
      <c r="D121" s="70"/>
      <c r="E121" s="60"/>
      <c r="F121" s="60">
        <f t="shared" ref="F121:P121" si="60">F117/F120</f>
        <v>2.55214366303121</v>
      </c>
      <c r="G121" s="60">
        <f t="shared" si="60"/>
        <v>1.70219804917517</v>
      </c>
      <c r="H121" s="60">
        <f t="shared" si="60"/>
        <v>3.18081229089958</v>
      </c>
      <c r="I121" s="60">
        <f t="shared" si="60"/>
        <v>2.75688117246502</v>
      </c>
      <c r="J121" s="60">
        <f t="shared" si="60"/>
        <v>3.33332846075135</v>
      </c>
      <c r="K121" s="60">
        <f t="shared" si="60"/>
        <v>3.26206271711173</v>
      </c>
      <c r="L121" s="60">
        <f t="shared" si="60"/>
        <v>3.42997269376377</v>
      </c>
      <c r="M121" s="60">
        <f t="shared" si="60"/>
        <v>4.48530968958515</v>
      </c>
      <c r="N121" s="60">
        <f t="shared" si="60"/>
        <v>3.82060473966736</v>
      </c>
      <c r="O121" s="60">
        <f t="shared" si="60"/>
        <v>1.75801145174062</v>
      </c>
      <c r="P121" s="60">
        <f t="shared" si="60"/>
        <v>2.88080259575319</v>
      </c>
      <c r="Q121" s="60"/>
      <c r="R121" s="60">
        <f t="shared" ref="R121:R126" si="61">AVERAGE(E121:Q121)</f>
        <v>3.0147388658131</v>
      </c>
      <c r="S121" s="76"/>
      <c r="T121" s="76"/>
      <c r="U121" s="76">
        <f>_xlfn.STDEV.S(E121:Q121)</f>
        <v>0.823117082249308</v>
      </c>
      <c r="V121" s="76">
        <f>R121-U121</f>
        <v>2.1916217835638</v>
      </c>
      <c r="W121" s="60"/>
    </row>
    <row r="122" s="30" customFormat="1" spans="3:23">
      <c r="C122" s="66"/>
      <c r="D122" s="32"/>
      <c r="E122" s="32"/>
      <c r="F122" s="32"/>
      <c r="G122" s="32"/>
      <c r="H122" s="32"/>
      <c r="I122" s="32"/>
      <c r="J122" s="32"/>
      <c r="K122" s="32"/>
      <c r="L122" s="32"/>
      <c r="M122" s="32"/>
      <c r="N122" s="32"/>
      <c r="O122" s="32"/>
      <c r="P122" s="32"/>
      <c r="Q122" s="32"/>
      <c r="R122" s="77"/>
      <c r="S122" s="33"/>
      <c r="T122" s="33"/>
      <c r="U122" s="33"/>
      <c r="V122" s="32"/>
      <c r="W122" s="32"/>
    </row>
    <row r="123" s="30" customFormat="1" spans="3:23">
      <c r="C123" s="72" t="s">
        <v>95</v>
      </c>
      <c r="D123" s="73"/>
      <c r="E123" s="32"/>
      <c r="F123" s="32">
        <f t="shared" ref="F123:P123" si="62">F116*F117</f>
        <v>190012.2</v>
      </c>
      <c r="G123" s="32">
        <f t="shared" si="62"/>
        <v>151475.2</v>
      </c>
      <c r="H123" s="32">
        <f t="shared" si="62"/>
        <v>340366</v>
      </c>
      <c r="I123" s="32">
        <f t="shared" si="62"/>
        <v>374900</v>
      </c>
      <c r="J123" s="32">
        <f t="shared" si="62"/>
        <v>592885.8</v>
      </c>
      <c r="K123" s="32">
        <f t="shared" si="62"/>
        <v>759692</v>
      </c>
      <c r="L123" s="32">
        <f t="shared" si="62"/>
        <v>962182.8</v>
      </c>
      <c r="M123" s="32">
        <f t="shared" si="62"/>
        <v>1731616.6</v>
      </c>
      <c r="N123" s="32">
        <f t="shared" si="62"/>
        <v>1795004.16</v>
      </c>
      <c r="O123" s="32">
        <f t="shared" si="62"/>
        <v>903588</v>
      </c>
      <c r="P123" s="32">
        <f t="shared" si="62"/>
        <v>1655842.12</v>
      </c>
      <c r="Q123" s="32"/>
      <c r="R123" s="32"/>
      <c r="S123" s="33"/>
      <c r="T123" s="33"/>
      <c r="U123" s="33"/>
      <c r="V123" s="32"/>
      <c r="W123" s="32"/>
    </row>
    <row r="124" s="30" customFormat="1" spans="3:23">
      <c r="C124" s="72" t="s">
        <v>96</v>
      </c>
      <c r="D124" s="73"/>
      <c r="E124" s="32"/>
      <c r="F124" s="32">
        <f t="shared" ref="F124:P124" si="63">F123+F158-(F135+F136)</f>
        <v>180756.2</v>
      </c>
      <c r="G124" s="32">
        <f t="shared" si="63"/>
        <v>142324.2</v>
      </c>
      <c r="H124" s="32">
        <f t="shared" si="63"/>
        <v>328785</v>
      </c>
      <c r="I124" s="32">
        <f t="shared" si="63"/>
        <v>356613</v>
      </c>
      <c r="J124" s="32">
        <f t="shared" si="63"/>
        <v>586642.8</v>
      </c>
      <c r="K124" s="32">
        <f t="shared" si="63"/>
        <v>741937</v>
      </c>
      <c r="L124" s="32">
        <f t="shared" si="63"/>
        <v>930575.8</v>
      </c>
      <c r="M124" s="32">
        <f t="shared" si="63"/>
        <v>1679036.6</v>
      </c>
      <c r="N124" s="32">
        <f t="shared" si="63"/>
        <v>1747699.16</v>
      </c>
      <c r="O124" s="32">
        <f t="shared" si="63"/>
        <v>900712</v>
      </c>
      <c r="P124" s="32">
        <f t="shared" si="63"/>
        <v>1627376.12</v>
      </c>
      <c r="Q124" s="32"/>
      <c r="R124" s="32"/>
      <c r="S124" s="32"/>
      <c r="T124" s="32"/>
      <c r="U124" s="32"/>
      <c r="V124" s="32"/>
      <c r="W124" s="32"/>
    </row>
    <row r="125" s="2" customFormat="1" spans="3:23">
      <c r="C125" s="74" t="s">
        <v>97</v>
      </c>
      <c r="D125" s="75"/>
      <c r="E125" s="59"/>
      <c r="F125" s="60">
        <f>F124/(F188+F189-F107)</f>
        <v>49.0119848156182</v>
      </c>
      <c r="G125" s="60">
        <f t="shared" ref="G125:P125" si="64">G124/(G188+G189-G107)</f>
        <v>30.463227739726</v>
      </c>
      <c r="H125" s="60">
        <f t="shared" si="64"/>
        <v>42.0065159064776</v>
      </c>
      <c r="I125" s="60">
        <f t="shared" si="64"/>
        <v>29.9372901276024</v>
      </c>
      <c r="J125" s="60">
        <f t="shared" si="64"/>
        <v>38.3928534031414</v>
      </c>
      <c r="K125" s="60">
        <f t="shared" si="64"/>
        <v>27.8808387508925</v>
      </c>
      <c r="L125" s="60">
        <f t="shared" si="64"/>
        <v>26.0293642135884</v>
      </c>
      <c r="M125" s="60">
        <f t="shared" si="64"/>
        <v>34.0064932960668</v>
      </c>
      <c r="N125" s="60">
        <f t="shared" si="64"/>
        <v>24.0769708491762</v>
      </c>
      <c r="O125" s="60">
        <f t="shared" si="64"/>
        <v>25.0322939247401</v>
      </c>
      <c r="P125" s="60">
        <f t="shared" si="64"/>
        <v>18.8773213622866</v>
      </c>
      <c r="Q125" s="59"/>
      <c r="R125" s="60">
        <f t="shared" si="61"/>
        <v>31.4286503990287</v>
      </c>
      <c r="S125" s="76"/>
      <c r="T125" s="76"/>
      <c r="U125" s="76"/>
      <c r="V125" s="60"/>
      <c r="W125" s="59"/>
    </row>
    <row r="126" s="2" customFormat="1" spans="3:23">
      <c r="C126" s="74" t="s">
        <v>98</v>
      </c>
      <c r="D126" s="75"/>
      <c r="E126" s="59"/>
      <c r="F126" s="60">
        <f>F124/F88</f>
        <v>2.42782195239886</v>
      </c>
      <c r="G126" s="60">
        <f t="shared" ref="G126:P126" si="65">G124/G88</f>
        <v>1.59936395918551</v>
      </c>
      <c r="H126" s="60">
        <f t="shared" si="65"/>
        <v>3.0725847148758</v>
      </c>
      <c r="I126" s="60">
        <f t="shared" si="65"/>
        <v>2.6224050828388</v>
      </c>
      <c r="J126" s="60">
        <f t="shared" si="65"/>
        <v>3.29822900385684</v>
      </c>
      <c r="K126" s="60">
        <f t="shared" si="65"/>
        <v>3.18582402624449</v>
      </c>
      <c r="L126" s="60">
        <f t="shared" si="65"/>
        <v>3.31730060387421</v>
      </c>
      <c r="M126" s="60">
        <f t="shared" si="65"/>
        <v>4.34911465456505</v>
      </c>
      <c r="N126" s="60">
        <f t="shared" si="65"/>
        <v>3.71991767094772</v>
      </c>
      <c r="O126" s="60">
        <f t="shared" si="65"/>
        <v>1.75241593593562</v>
      </c>
      <c r="P126" s="60">
        <f t="shared" si="65"/>
        <v>2.83127799090095</v>
      </c>
      <c r="Q126" s="59"/>
      <c r="R126" s="60">
        <f t="shared" si="61"/>
        <v>2.92511414505671</v>
      </c>
      <c r="S126" s="76"/>
      <c r="T126" s="76"/>
      <c r="U126" s="76"/>
      <c r="V126" s="60"/>
      <c r="W126" s="59"/>
    </row>
    <row r="128" spans="3:19">
      <c r="C128" s="48" t="s">
        <v>99</v>
      </c>
      <c r="D128" s="68"/>
      <c r="E128" s="33"/>
      <c r="F128" s="45">
        <f>ABS(F209/F115)</f>
        <v>0</v>
      </c>
      <c r="G128" s="45">
        <f t="shared" ref="G128:P128" si="66">ABS(G209/G115)</f>
        <v>0</v>
      </c>
      <c r="H128" s="45">
        <f t="shared" si="66"/>
        <v>0</v>
      </c>
      <c r="I128" s="45">
        <f t="shared" si="66"/>
        <v>0</v>
      </c>
      <c r="J128" s="45">
        <f t="shared" si="66"/>
        <v>0</v>
      </c>
      <c r="K128" s="45">
        <f t="shared" si="66"/>
        <v>0</v>
      </c>
      <c r="L128" s="45">
        <f t="shared" si="66"/>
        <v>0</v>
      </c>
      <c r="M128" s="45">
        <f t="shared" si="66"/>
        <v>0</v>
      </c>
      <c r="N128" s="45">
        <f t="shared" si="66"/>
        <v>0</v>
      </c>
      <c r="O128" s="45">
        <f t="shared" si="66"/>
        <v>0</v>
      </c>
      <c r="P128" s="45">
        <f t="shared" si="66"/>
        <v>0</v>
      </c>
      <c r="Q128" s="33"/>
      <c r="R128" s="33">
        <f>AVERAGE(E128:Q128)</f>
        <v>0</v>
      </c>
      <c r="S128" s="33">
        <f>MEDIAN(E128:Q128)</f>
        <v>0</v>
      </c>
    </row>
    <row r="129" spans="3:19">
      <c r="C129" s="48" t="s">
        <v>100</v>
      </c>
      <c r="D129" s="68"/>
      <c r="E129" s="33"/>
      <c r="F129" s="45">
        <f t="shared" ref="F129:P129" si="67">F128/F117</f>
        <v>0</v>
      </c>
      <c r="G129" s="45">
        <f t="shared" si="67"/>
        <v>0</v>
      </c>
      <c r="H129" s="45">
        <f t="shared" si="67"/>
        <v>0</v>
      </c>
      <c r="I129" s="45">
        <f t="shared" si="67"/>
        <v>0</v>
      </c>
      <c r="J129" s="45">
        <f t="shared" si="67"/>
        <v>0</v>
      </c>
      <c r="K129" s="45">
        <f t="shared" si="67"/>
        <v>0</v>
      </c>
      <c r="L129" s="45">
        <f t="shared" si="67"/>
        <v>0</v>
      </c>
      <c r="M129" s="45">
        <f t="shared" si="67"/>
        <v>0</v>
      </c>
      <c r="N129" s="45">
        <f t="shared" si="67"/>
        <v>0</v>
      </c>
      <c r="O129" s="45">
        <f t="shared" si="67"/>
        <v>0</v>
      </c>
      <c r="P129" s="45">
        <f t="shared" si="67"/>
        <v>0</v>
      </c>
      <c r="Q129" s="33"/>
      <c r="R129" s="33">
        <f>AVERAGE(E129:Q129)</f>
        <v>0</v>
      </c>
      <c r="S129" s="33">
        <f>MEDIAN(E129:Q129)</f>
        <v>0</v>
      </c>
    </row>
    <row r="133" ht="15.75" spans="2:2">
      <c r="B133" s="36" t="s">
        <v>101</v>
      </c>
    </row>
    <row r="134" spans="2:2">
      <c r="B134" t="s">
        <v>102</v>
      </c>
    </row>
    <row r="135" spans="3:16">
      <c r="C135" t="s">
        <v>103</v>
      </c>
      <c r="F135" s="32">
        <v>8658</v>
      </c>
      <c r="G135" s="32">
        <v>14557</v>
      </c>
      <c r="H135" s="32">
        <v>15890</v>
      </c>
      <c r="I135" s="32">
        <v>19334</v>
      </c>
      <c r="J135" s="32">
        <v>20522</v>
      </c>
      <c r="K135" s="32">
        <v>31750</v>
      </c>
      <c r="L135" s="32">
        <v>36092</v>
      </c>
      <c r="M135" s="32">
        <v>42122</v>
      </c>
      <c r="N135" s="32">
        <v>36220</v>
      </c>
      <c r="O135" s="32">
        <v>53888</v>
      </c>
      <c r="P135" s="32">
        <v>73387</v>
      </c>
    </row>
    <row r="136" spans="3:16">
      <c r="C136" t="s">
        <v>104</v>
      </c>
      <c r="F136" s="32">
        <v>3789</v>
      </c>
      <c r="G136" s="32">
        <v>2859</v>
      </c>
      <c r="H136" s="32">
        <v>3918</v>
      </c>
      <c r="I136" s="32">
        <v>6647</v>
      </c>
      <c r="J136" s="32">
        <v>10464</v>
      </c>
      <c r="K136" s="32">
        <v>9500</v>
      </c>
      <c r="L136" s="32">
        <v>18929</v>
      </c>
      <c r="M136" s="32">
        <v>42274</v>
      </c>
      <c r="N136" s="32">
        <v>59829</v>
      </c>
      <c r="O136" s="32">
        <v>16138</v>
      </c>
      <c r="P136" s="32">
        <v>13393</v>
      </c>
    </row>
    <row r="137" spans="3:16">
      <c r="C137" t="s">
        <v>105</v>
      </c>
      <c r="F137" s="32">
        <v>7411</v>
      </c>
      <c r="G137" s="32">
        <v>8299</v>
      </c>
      <c r="H137" s="32">
        <v>10243</v>
      </c>
      <c r="I137" s="32">
        <v>11461</v>
      </c>
      <c r="J137" s="32">
        <v>16047</v>
      </c>
      <c r="K137" s="32">
        <v>17174</v>
      </c>
      <c r="L137" s="32">
        <v>20497</v>
      </c>
      <c r="M137" s="32">
        <v>23795</v>
      </c>
      <c r="N137" s="32">
        <v>32640</v>
      </c>
      <c r="O137" s="32">
        <v>34405</v>
      </c>
      <c r="P137" s="32">
        <v>33318</v>
      </c>
    </row>
    <row r="138" spans="3:16">
      <c r="C138" t="s">
        <v>106</v>
      </c>
      <c r="F138" s="32">
        <v>4767</v>
      </c>
      <c r="G138" s="32">
        <v>5612</v>
      </c>
      <c r="H138" s="32">
        <v>5654</v>
      </c>
      <c r="I138" s="32">
        <v>8339</v>
      </c>
      <c r="J138" s="32">
        <v>13164</v>
      </c>
      <c r="K138" s="32">
        <v>16677</v>
      </c>
      <c r="L138" s="32">
        <v>20816</v>
      </c>
      <c r="M138" s="32">
        <v>24542</v>
      </c>
      <c r="N138" s="32">
        <v>32891</v>
      </c>
      <c r="O138" s="32">
        <v>42360</v>
      </c>
      <c r="P138" s="32">
        <v>52253</v>
      </c>
    </row>
    <row r="139" spans="2:16">
      <c r="B139" t="s">
        <v>107</v>
      </c>
      <c r="F139" s="37">
        <f t="shared" ref="F139:P139" si="68">SUM(F135:F138)</f>
        <v>24625</v>
      </c>
      <c r="G139" s="37">
        <f t="shared" si="68"/>
        <v>31327</v>
      </c>
      <c r="H139" s="37">
        <f t="shared" si="68"/>
        <v>35705</v>
      </c>
      <c r="I139" s="37">
        <f t="shared" si="68"/>
        <v>45781</v>
      </c>
      <c r="J139" s="37">
        <f t="shared" si="68"/>
        <v>60197</v>
      </c>
      <c r="K139" s="37">
        <f t="shared" si="68"/>
        <v>75101</v>
      </c>
      <c r="L139" s="37">
        <f t="shared" si="68"/>
        <v>96334</v>
      </c>
      <c r="M139" s="37">
        <f t="shared" si="68"/>
        <v>132733</v>
      </c>
      <c r="N139" s="37">
        <f t="shared" si="68"/>
        <v>161580</v>
      </c>
      <c r="O139" s="37">
        <f t="shared" si="68"/>
        <v>146791</v>
      </c>
      <c r="P139" s="37">
        <f t="shared" si="68"/>
        <v>172351</v>
      </c>
    </row>
    <row r="141" spans="2:2">
      <c r="B141" t="s">
        <v>108</v>
      </c>
    </row>
    <row r="142" spans="3:16">
      <c r="C142" t="s">
        <v>109</v>
      </c>
      <c r="F142" s="32">
        <v>10949</v>
      </c>
      <c r="G142" s="32">
        <v>16967</v>
      </c>
      <c r="H142" s="32">
        <v>21838</v>
      </c>
      <c r="I142" s="32">
        <v>29114</v>
      </c>
      <c r="J142" s="32">
        <v>48866</v>
      </c>
      <c r="K142" s="32">
        <v>61797</v>
      </c>
      <c r="L142" s="32">
        <v>72705</v>
      </c>
      <c r="M142" s="32">
        <v>113114</v>
      </c>
      <c r="N142" s="32">
        <v>160281</v>
      </c>
      <c r="O142" s="32">
        <v>186715</v>
      </c>
      <c r="P142" s="32">
        <v>204177</v>
      </c>
    </row>
    <row r="143" spans="3:16">
      <c r="C143" t="s">
        <v>110</v>
      </c>
      <c r="F143" s="32">
        <v>0</v>
      </c>
      <c r="G143" s="32">
        <v>0</v>
      </c>
      <c r="H143" s="32">
        <v>0</v>
      </c>
      <c r="I143" s="32">
        <v>0</v>
      </c>
      <c r="J143" s="32">
        <v>0</v>
      </c>
      <c r="K143" s="32">
        <v>0</v>
      </c>
      <c r="L143" s="32">
        <v>25141</v>
      </c>
      <c r="M143" s="32">
        <v>37553</v>
      </c>
      <c r="N143" s="32">
        <v>56082</v>
      </c>
      <c r="O143" s="32">
        <v>66123</v>
      </c>
      <c r="P143" s="32">
        <v>72513</v>
      </c>
    </row>
    <row r="144" spans="3:16">
      <c r="C144" t="s">
        <v>111</v>
      </c>
      <c r="F144" s="32">
        <v>2655</v>
      </c>
      <c r="G144" s="32">
        <v>3319</v>
      </c>
      <c r="H144" s="32">
        <v>3759</v>
      </c>
      <c r="I144" s="32">
        <v>3784</v>
      </c>
      <c r="J144" s="32">
        <v>13350</v>
      </c>
      <c r="K144" s="32">
        <v>14548</v>
      </c>
      <c r="L144" s="32">
        <v>14754</v>
      </c>
      <c r="M144" s="32">
        <v>15017</v>
      </c>
      <c r="N144" s="32">
        <v>15371</v>
      </c>
      <c r="O144" s="32">
        <v>20288</v>
      </c>
      <c r="P144" s="32">
        <v>22789</v>
      </c>
    </row>
    <row r="145" spans="3:16">
      <c r="C145" t="s">
        <v>112</v>
      </c>
      <c r="F145" s="32">
        <v>1930</v>
      </c>
      <c r="G145" s="32">
        <v>2892</v>
      </c>
      <c r="H145" s="32">
        <v>3445</v>
      </c>
      <c r="I145" s="32">
        <v>4723</v>
      </c>
      <c r="J145" s="32">
        <v>8897</v>
      </c>
      <c r="K145" s="32">
        <v>11202</v>
      </c>
      <c r="L145" s="32">
        <v>16314</v>
      </c>
      <c r="M145" s="32">
        <v>22778</v>
      </c>
      <c r="N145" s="32">
        <v>27235</v>
      </c>
      <c r="O145" s="32">
        <v>42758</v>
      </c>
      <c r="P145" s="32">
        <v>56024</v>
      </c>
    </row>
    <row r="146" spans="2:16">
      <c r="B146" t="s">
        <v>113</v>
      </c>
      <c r="F146" s="37">
        <f t="shared" ref="F146:P146" si="69">SUM(F142:F145)</f>
        <v>15534</v>
      </c>
      <c r="G146" s="37">
        <f t="shared" si="69"/>
        <v>23178</v>
      </c>
      <c r="H146" s="37">
        <f t="shared" si="69"/>
        <v>29042</v>
      </c>
      <c r="I146" s="37">
        <f t="shared" si="69"/>
        <v>37621</v>
      </c>
      <c r="J146" s="37">
        <f t="shared" si="69"/>
        <v>71113</v>
      </c>
      <c r="K146" s="37">
        <f t="shared" si="69"/>
        <v>87547</v>
      </c>
      <c r="L146" s="37">
        <f t="shared" si="69"/>
        <v>128914</v>
      </c>
      <c r="M146" s="37">
        <f t="shared" si="69"/>
        <v>188462</v>
      </c>
      <c r="N146" s="37">
        <f t="shared" si="69"/>
        <v>258969</v>
      </c>
      <c r="O146" s="37">
        <f t="shared" si="69"/>
        <v>315884</v>
      </c>
      <c r="P146" s="37">
        <f t="shared" si="69"/>
        <v>355503</v>
      </c>
    </row>
    <row r="148" spans="2:16">
      <c r="B148" t="s">
        <v>114</v>
      </c>
      <c r="F148" s="37">
        <f t="shared" ref="F148:L148" si="70">F139+F146</f>
        <v>40159</v>
      </c>
      <c r="G148" s="37">
        <f t="shared" si="70"/>
        <v>54505</v>
      </c>
      <c r="H148" s="37">
        <f t="shared" si="70"/>
        <v>64747</v>
      </c>
      <c r="I148" s="37">
        <f t="shared" si="70"/>
        <v>83402</v>
      </c>
      <c r="J148" s="37">
        <f t="shared" si="70"/>
        <v>131310</v>
      </c>
      <c r="K148" s="37">
        <f t="shared" si="70"/>
        <v>162648</v>
      </c>
      <c r="L148" s="37">
        <f t="shared" si="70"/>
        <v>225248</v>
      </c>
      <c r="M148" s="37">
        <f t="shared" ref="L148:P148" si="71">M139+M146</f>
        <v>321195</v>
      </c>
      <c r="N148" s="37">
        <f t="shared" si="71"/>
        <v>420549</v>
      </c>
      <c r="O148" s="37">
        <f t="shared" si="71"/>
        <v>462675</v>
      </c>
      <c r="P148" s="37">
        <f t="shared" si="71"/>
        <v>527854</v>
      </c>
    </row>
    <row r="150" spans="2:2">
      <c r="B150" t="s">
        <v>115</v>
      </c>
    </row>
    <row r="151" spans="3:16">
      <c r="C151" t="s">
        <v>116</v>
      </c>
      <c r="F151" s="32">
        <v>15133</v>
      </c>
      <c r="G151" s="32">
        <v>16459</v>
      </c>
      <c r="H151" s="32">
        <v>20397</v>
      </c>
      <c r="I151" s="32">
        <v>25309</v>
      </c>
      <c r="J151" s="32">
        <v>34616</v>
      </c>
      <c r="K151" s="32">
        <v>38192</v>
      </c>
      <c r="L151" s="32">
        <v>47183</v>
      </c>
      <c r="M151" s="32">
        <v>72539</v>
      </c>
      <c r="N151" s="32">
        <v>78664</v>
      </c>
      <c r="O151" s="32">
        <v>79600</v>
      </c>
      <c r="P151" s="32">
        <v>84981</v>
      </c>
    </row>
    <row r="152" spans="3:16">
      <c r="C152" t="s">
        <v>117</v>
      </c>
      <c r="F152" s="32">
        <v>6688</v>
      </c>
      <c r="G152" s="32">
        <v>9807</v>
      </c>
      <c r="H152" s="32">
        <v>10372</v>
      </c>
      <c r="I152" s="32">
        <v>13739</v>
      </c>
      <c r="J152" s="32">
        <v>18170</v>
      </c>
      <c r="K152" s="32">
        <v>23663</v>
      </c>
      <c r="L152" s="32">
        <v>32439</v>
      </c>
      <c r="M152" s="32">
        <v>44138</v>
      </c>
      <c r="N152" s="32">
        <v>51775</v>
      </c>
      <c r="O152" s="32">
        <v>62566</v>
      </c>
      <c r="P152" s="32">
        <v>64709</v>
      </c>
    </row>
    <row r="153" spans="3:16">
      <c r="C153" t="s">
        <v>118</v>
      </c>
      <c r="F153" s="32">
        <v>1159</v>
      </c>
      <c r="G153" s="32">
        <v>1823</v>
      </c>
      <c r="H153" s="32">
        <v>3118</v>
      </c>
      <c r="I153" s="32">
        <v>4768</v>
      </c>
      <c r="J153" s="32">
        <v>5097</v>
      </c>
      <c r="K153" s="32">
        <v>6536</v>
      </c>
      <c r="L153" s="32">
        <v>8190</v>
      </c>
      <c r="M153" s="32">
        <v>9708</v>
      </c>
      <c r="N153" s="32">
        <v>11827</v>
      </c>
      <c r="O153" s="32">
        <v>13227</v>
      </c>
      <c r="P153" s="32">
        <v>15227</v>
      </c>
    </row>
    <row r="154" spans="2:16">
      <c r="B154" t="s">
        <v>119</v>
      </c>
      <c r="F154" s="37">
        <f t="shared" ref="F154:P154" si="72">SUM(F151:F153)</f>
        <v>22980</v>
      </c>
      <c r="G154" s="37">
        <f t="shared" si="72"/>
        <v>28089</v>
      </c>
      <c r="H154" s="37">
        <f t="shared" si="72"/>
        <v>33887</v>
      </c>
      <c r="I154" s="37">
        <f t="shared" si="72"/>
        <v>43816</v>
      </c>
      <c r="J154" s="37">
        <f t="shared" si="72"/>
        <v>57883</v>
      </c>
      <c r="K154" s="37">
        <f t="shared" si="72"/>
        <v>68391</v>
      </c>
      <c r="L154" s="37">
        <f t="shared" si="72"/>
        <v>87812</v>
      </c>
      <c r="M154" s="37">
        <f t="shared" si="72"/>
        <v>126385</v>
      </c>
      <c r="N154" s="37">
        <f t="shared" si="72"/>
        <v>142266</v>
      </c>
      <c r="O154" s="37">
        <f t="shared" si="72"/>
        <v>155393</v>
      </c>
      <c r="P154" s="37">
        <f t="shared" si="72"/>
        <v>164917</v>
      </c>
    </row>
    <row r="156" spans="2:2">
      <c r="B156" t="s">
        <v>120</v>
      </c>
    </row>
    <row r="157" spans="3:16">
      <c r="C157" t="s">
        <v>121</v>
      </c>
      <c r="F157" s="32">
        <v>0</v>
      </c>
      <c r="G157" s="32">
        <v>0</v>
      </c>
      <c r="H157" s="32">
        <v>0</v>
      </c>
      <c r="I157" s="32">
        <v>0</v>
      </c>
      <c r="J157" s="32">
        <v>0</v>
      </c>
      <c r="K157" s="32">
        <v>9650</v>
      </c>
      <c r="L157" s="32">
        <v>39791</v>
      </c>
      <c r="M157" s="32">
        <v>52573</v>
      </c>
      <c r="N157" s="32">
        <v>67651</v>
      </c>
      <c r="O157" s="32">
        <v>72968</v>
      </c>
      <c r="P157" s="32">
        <v>77297</v>
      </c>
    </row>
    <row r="158" spans="3:16">
      <c r="C158" t="s">
        <v>122</v>
      </c>
      <c r="F158" s="32">
        <v>3191</v>
      </c>
      <c r="G158" s="32">
        <v>8265</v>
      </c>
      <c r="H158" s="32">
        <v>8227</v>
      </c>
      <c r="I158" s="32">
        <v>7694</v>
      </c>
      <c r="J158" s="32">
        <v>24743</v>
      </c>
      <c r="K158" s="32">
        <v>23495</v>
      </c>
      <c r="L158" s="32">
        <v>23414</v>
      </c>
      <c r="M158" s="32">
        <v>31816</v>
      </c>
      <c r="N158" s="32">
        <v>48744</v>
      </c>
      <c r="O158" s="32">
        <v>67150</v>
      </c>
      <c r="P158" s="32">
        <v>58314</v>
      </c>
    </row>
    <row r="159" spans="3:16">
      <c r="C159" t="s">
        <v>123</v>
      </c>
      <c r="F159" s="32">
        <v>4242</v>
      </c>
      <c r="G159" s="32">
        <v>7410</v>
      </c>
      <c r="H159" s="32">
        <v>9249</v>
      </c>
      <c r="I159" s="32">
        <v>12607</v>
      </c>
      <c r="J159" s="32">
        <v>20975</v>
      </c>
      <c r="K159" s="32">
        <v>17563</v>
      </c>
      <c r="L159" s="32">
        <v>12171</v>
      </c>
      <c r="M159" s="32">
        <v>17017</v>
      </c>
      <c r="N159" s="32">
        <v>23643</v>
      </c>
      <c r="O159" s="32">
        <v>21121</v>
      </c>
      <c r="P159" s="32">
        <v>25451</v>
      </c>
    </row>
    <row r="160" spans="2:16">
      <c r="B160" t="s">
        <v>124</v>
      </c>
      <c r="F160" s="37">
        <f>SUM(F157:F159)</f>
        <v>7433</v>
      </c>
      <c r="G160" s="37">
        <f t="shared" ref="G160:P160" si="73">SUM(G157:G159)</f>
        <v>15675</v>
      </c>
      <c r="H160" s="37">
        <f t="shared" si="73"/>
        <v>17476</v>
      </c>
      <c r="I160" s="37">
        <f t="shared" si="73"/>
        <v>20301</v>
      </c>
      <c r="J160" s="37">
        <f t="shared" si="73"/>
        <v>45718</v>
      </c>
      <c r="K160" s="37">
        <f t="shared" si="73"/>
        <v>50708</v>
      </c>
      <c r="L160" s="37">
        <f t="shared" si="73"/>
        <v>75376</v>
      </c>
      <c r="M160" s="37">
        <f t="shared" si="73"/>
        <v>101406</v>
      </c>
      <c r="N160" s="37">
        <f t="shared" si="73"/>
        <v>140038</v>
      </c>
      <c r="O160" s="37">
        <f t="shared" si="73"/>
        <v>161239</v>
      </c>
      <c r="P160" s="37">
        <f t="shared" si="73"/>
        <v>161062</v>
      </c>
    </row>
    <row r="162" spans="2:16">
      <c r="B162" t="s">
        <v>125</v>
      </c>
      <c r="F162" s="37">
        <f t="shared" ref="F162:L162" si="74">F154+F160</f>
        <v>30413</v>
      </c>
      <c r="G162" s="37">
        <f t="shared" si="74"/>
        <v>43764</v>
      </c>
      <c r="H162" s="37">
        <f t="shared" si="74"/>
        <v>51363</v>
      </c>
      <c r="I162" s="37">
        <f t="shared" si="74"/>
        <v>64117</v>
      </c>
      <c r="J162" s="37">
        <f t="shared" si="74"/>
        <v>103601</v>
      </c>
      <c r="K162" s="37">
        <f t="shared" si="74"/>
        <v>119099</v>
      </c>
      <c r="L162" s="37">
        <f t="shared" si="74"/>
        <v>163188</v>
      </c>
      <c r="M162" s="37">
        <f t="shared" ref="L162:P162" si="75">M154+M160</f>
        <v>227791</v>
      </c>
      <c r="N162" s="37">
        <f t="shared" si="75"/>
        <v>282304</v>
      </c>
      <c r="O162" s="37">
        <f t="shared" si="75"/>
        <v>316632</v>
      </c>
      <c r="P162" s="37">
        <f t="shared" si="75"/>
        <v>325979</v>
      </c>
    </row>
    <row r="164" spans="2:2">
      <c r="B164" t="s">
        <v>126</v>
      </c>
    </row>
    <row r="165" spans="3:16">
      <c r="C165" t="s">
        <v>127</v>
      </c>
      <c r="F165" s="32">
        <v>5</v>
      </c>
      <c r="G165" s="32">
        <v>5</v>
      </c>
      <c r="H165" s="32">
        <v>5</v>
      </c>
      <c r="I165" s="32">
        <v>5</v>
      </c>
      <c r="J165" s="32">
        <v>5</v>
      </c>
      <c r="K165" s="32">
        <v>5</v>
      </c>
      <c r="L165" s="32">
        <v>5</v>
      </c>
      <c r="M165" s="32">
        <v>5</v>
      </c>
      <c r="N165" s="32">
        <v>106</v>
      </c>
      <c r="O165" s="32">
        <v>108</v>
      </c>
      <c r="P165" s="32">
        <v>109</v>
      </c>
    </row>
    <row r="166" spans="3:16">
      <c r="C166" t="s">
        <v>128</v>
      </c>
      <c r="F166" s="32">
        <v>-1837</v>
      </c>
      <c r="G166" s="32">
        <v>-1837</v>
      </c>
      <c r="H166" s="32">
        <v>-1837</v>
      </c>
      <c r="I166" s="32">
        <v>-1837</v>
      </c>
      <c r="J166" s="32">
        <v>-1837</v>
      </c>
      <c r="K166" s="32">
        <v>-1837</v>
      </c>
      <c r="L166" s="32">
        <v>-1837</v>
      </c>
      <c r="M166" s="32">
        <v>-1837</v>
      </c>
      <c r="N166" s="32">
        <v>-1837</v>
      </c>
      <c r="O166" s="32">
        <v>-7837</v>
      </c>
      <c r="P166" s="32">
        <v>-7837</v>
      </c>
    </row>
    <row r="167" spans="3:16">
      <c r="C167" t="s">
        <v>129</v>
      </c>
      <c r="F167" s="32">
        <v>9573</v>
      </c>
      <c r="G167" s="32">
        <v>11135</v>
      </c>
      <c r="H167" s="32">
        <v>13394</v>
      </c>
      <c r="I167" s="32">
        <v>17186</v>
      </c>
      <c r="J167" s="32">
        <v>21389</v>
      </c>
      <c r="K167" s="32">
        <v>26791</v>
      </c>
      <c r="L167" s="32">
        <v>33658</v>
      </c>
      <c r="M167" s="32">
        <v>42865</v>
      </c>
      <c r="N167" s="32">
        <v>55437</v>
      </c>
      <c r="O167" s="32">
        <v>75066</v>
      </c>
      <c r="P167" s="32">
        <v>99025</v>
      </c>
    </row>
    <row r="168" spans="3:16">
      <c r="C168" t="s">
        <v>130</v>
      </c>
      <c r="F168" s="32">
        <v>-185</v>
      </c>
      <c r="G168" s="32">
        <v>-511</v>
      </c>
      <c r="H168" s="32">
        <v>-723</v>
      </c>
      <c r="I168" s="32">
        <v>-985</v>
      </c>
      <c r="J168" s="32">
        <v>-484</v>
      </c>
      <c r="K168" s="32">
        <v>-1035</v>
      </c>
      <c r="L168" s="32">
        <v>-986</v>
      </c>
      <c r="M168" s="32">
        <v>-180</v>
      </c>
      <c r="N168" s="32">
        <v>-1376</v>
      </c>
      <c r="O168" s="32">
        <v>-4487</v>
      </c>
      <c r="P168" s="32">
        <v>-3040</v>
      </c>
    </row>
    <row r="169" spans="3:16">
      <c r="C169" t="s">
        <v>131</v>
      </c>
      <c r="F169" s="32">
        <v>2190</v>
      </c>
      <c r="G169" s="32">
        <v>1949</v>
      </c>
      <c r="H169" s="32">
        <v>2545</v>
      </c>
      <c r="I169" s="32">
        <v>4916</v>
      </c>
      <c r="J169" s="32">
        <v>8636</v>
      </c>
      <c r="K169" s="32">
        <v>19625</v>
      </c>
      <c r="L169" s="32">
        <v>31220</v>
      </c>
      <c r="M169" s="32">
        <v>52551</v>
      </c>
      <c r="N169" s="32">
        <v>85915</v>
      </c>
      <c r="O169" s="32">
        <v>83193</v>
      </c>
      <c r="P169" s="32">
        <v>113618</v>
      </c>
    </row>
    <row r="170" spans="2:16">
      <c r="B170" t="s">
        <v>132</v>
      </c>
      <c r="F170" s="37">
        <f>SUM(F165:F169)</f>
        <v>9746</v>
      </c>
      <c r="G170" s="37">
        <f t="shared" ref="G170:P170" si="76">SUM(G165:G169)</f>
        <v>10741</v>
      </c>
      <c r="H170" s="37">
        <f t="shared" si="76"/>
        <v>13384</v>
      </c>
      <c r="I170" s="37">
        <f t="shared" si="76"/>
        <v>19285</v>
      </c>
      <c r="J170" s="37">
        <f t="shared" si="76"/>
        <v>27709</v>
      </c>
      <c r="K170" s="37">
        <f t="shared" si="76"/>
        <v>43549</v>
      </c>
      <c r="L170" s="37">
        <f t="shared" si="76"/>
        <v>62060</v>
      </c>
      <c r="M170" s="37">
        <f t="shared" si="76"/>
        <v>93404</v>
      </c>
      <c r="N170" s="37">
        <f t="shared" si="76"/>
        <v>138245</v>
      </c>
      <c r="O170" s="37">
        <f t="shared" si="76"/>
        <v>146043</v>
      </c>
      <c r="P170" s="37">
        <f t="shared" si="76"/>
        <v>201875</v>
      </c>
    </row>
    <row r="172" spans="2:16">
      <c r="B172" t="s">
        <v>133</v>
      </c>
      <c r="F172" s="37">
        <f t="shared" ref="F172:L172" si="77">F162+F170</f>
        <v>40159</v>
      </c>
      <c r="G172" s="37">
        <f t="shared" si="77"/>
        <v>54505</v>
      </c>
      <c r="H172" s="37">
        <f t="shared" si="77"/>
        <v>64747</v>
      </c>
      <c r="I172" s="37">
        <f t="shared" si="77"/>
        <v>83402</v>
      </c>
      <c r="J172" s="37">
        <f t="shared" si="77"/>
        <v>131310</v>
      </c>
      <c r="K172" s="37">
        <f t="shared" si="77"/>
        <v>162648</v>
      </c>
      <c r="L172" s="37">
        <f t="shared" si="77"/>
        <v>225248</v>
      </c>
      <c r="M172" s="37">
        <f t="shared" ref="L172:P172" si="78">M162+M170</f>
        <v>321195</v>
      </c>
      <c r="N172" s="37">
        <f t="shared" si="78"/>
        <v>420549</v>
      </c>
      <c r="O172" s="37">
        <f t="shared" si="78"/>
        <v>462675</v>
      </c>
      <c r="P172" s="37">
        <f t="shared" si="78"/>
        <v>527854</v>
      </c>
    </row>
    <row r="174" ht="15.75" spans="3:4">
      <c r="C174" s="43" t="s">
        <v>4</v>
      </c>
      <c r="D174" s="44"/>
    </row>
    <row r="175" s="27" customFormat="1" spans="3:23">
      <c r="C175" s="48" t="s">
        <v>134</v>
      </c>
      <c r="D175" s="68"/>
      <c r="E175" s="33"/>
      <c r="F175" s="33">
        <f t="shared" ref="F175:P175" si="79">F162/F148</f>
        <v>0.757314674170174</v>
      </c>
      <c r="G175" s="33">
        <f t="shared" si="79"/>
        <v>0.802935510503624</v>
      </c>
      <c r="H175" s="33">
        <f t="shared" si="79"/>
        <v>0.793287719894358</v>
      </c>
      <c r="I175" s="33">
        <f t="shared" si="79"/>
        <v>0.768770533080742</v>
      </c>
      <c r="J175" s="33">
        <f t="shared" si="79"/>
        <v>0.788980275683497</v>
      </c>
      <c r="K175" s="33">
        <f t="shared" si="79"/>
        <v>0.732250012296493</v>
      </c>
      <c r="L175" s="33">
        <f t="shared" si="79"/>
        <v>0.724481460434721</v>
      </c>
      <c r="M175" s="33">
        <f t="shared" si="79"/>
        <v>0.709198461993493</v>
      </c>
      <c r="N175" s="33">
        <f t="shared" si="79"/>
        <v>0.67127492872412</v>
      </c>
      <c r="O175" s="33">
        <f t="shared" si="79"/>
        <v>0.68435078618901</v>
      </c>
      <c r="P175" s="33">
        <f t="shared" si="79"/>
        <v>0.617555233075813</v>
      </c>
      <c r="Q175" s="33"/>
      <c r="R175" s="78">
        <f>AVERAGE(E175:Q175)</f>
        <v>0.731854508731459</v>
      </c>
      <c r="S175" s="33"/>
      <c r="T175" s="33"/>
      <c r="U175" s="33"/>
      <c r="V175" s="33"/>
      <c r="W175" s="33"/>
    </row>
    <row r="176" s="27" customFormat="1" spans="3:23">
      <c r="C176" s="48" t="s">
        <v>135</v>
      </c>
      <c r="D176" s="68"/>
      <c r="E176" s="33"/>
      <c r="F176" s="33">
        <f t="shared" ref="F176:P176" si="80">F162/F170</f>
        <v>3.12056228196183</v>
      </c>
      <c r="G176" s="33">
        <f t="shared" si="80"/>
        <v>4.07448096080439</v>
      </c>
      <c r="H176" s="33">
        <f t="shared" si="80"/>
        <v>3.83764196054991</v>
      </c>
      <c r="I176" s="33">
        <f t="shared" si="80"/>
        <v>3.32470832253046</v>
      </c>
      <c r="J176" s="33">
        <f t="shared" si="80"/>
        <v>3.73889350030676</v>
      </c>
      <c r="K176" s="33">
        <f t="shared" si="80"/>
        <v>2.73482743576201</v>
      </c>
      <c r="L176" s="33">
        <f t="shared" si="80"/>
        <v>2.62951981952949</v>
      </c>
      <c r="M176" s="33">
        <f t="shared" si="80"/>
        <v>2.43877135882832</v>
      </c>
      <c r="N176" s="33">
        <f t="shared" si="80"/>
        <v>2.04205577055228</v>
      </c>
      <c r="O176" s="33">
        <f t="shared" si="80"/>
        <v>2.16807378648754</v>
      </c>
      <c r="P176" s="33">
        <f t="shared" si="80"/>
        <v>1.61475665634675</v>
      </c>
      <c r="Q176" s="33"/>
      <c r="R176" s="78">
        <f>AVERAGE(E176:Q176)</f>
        <v>2.88402653215089</v>
      </c>
      <c r="S176" s="33"/>
      <c r="T176" s="33"/>
      <c r="U176" s="33"/>
      <c r="V176" s="33"/>
      <c r="W176" s="33"/>
    </row>
    <row r="177" s="27" customFormat="1" spans="3:23">
      <c r="C177" s="48" t="s">
        <v>136</v>
      </c>
      <c r="D177" s="68"/>
      <c r="E177" s="33"/>
      <c r="F177" s="33">
        <f>F162/F88</f>
        <v>0.408491376994574</v>
      </c>
      <c r="G177" s="33">
        <f t="shared" ref="G177:P177" si="81">G162/G88</f>
        <v>0.491796646738886</v>
      </c>
      <c r="H177" s="33">
        <f t="shared" si="81"/>
        <v>0.480001121432443</v>
      </c>
      <c r="I177" s="33">
        <f t="shared" si="81"/>
        <v>0.471493598652812</v>
      </c>
      <c r="J177" s="33">
        <f t="shared" si="81"/>
        <v>0.582466575961679</v>
      </c>
      <c r="K177" s="33">
        <f t="shared" si="81"/>
        <v>0.511402525688424</v>
      </c>
      <c r="L177" s="33">
        <f t="shared" si="81"/>
        <v>0.581729775204797</v>
      </c>
      <c r="M177" s="33">
        <f t="shared" si="81"/>
        <v>0.590034294831945</v>
      </c>
      <c r="N177" s="33">
        <f t="shared" si="81"/>
        <v>0.600874373698975</v>
      </c>
      <c r="O177" s="33">
        <f t="shared" si="81"/>
        <v>0.616035938931832</v>
      </c>
      <c r="P177" s="33">
        <f t="shared" si="81"/>
        <v>0.567132058073888</v>
      </c>
      <c r="Q177" s="33"/>
      <c r="R177" s="78">
        <f>AVERAGE(E177:Q177)</f>
        <v>0.536496207837296</v>
      </c>
      <c r="S177" s="33"/>
      <c r="T177" s="33"/>
      <c r="U177" s="33"/>
      <c r="V177" s="33"/>
      <c r="W177" s="33"/>
    </row>
    <row r="179" customFormat="1" ht="15.75" spans="3:22">
      <c r="C179" s="43" t="s">
        <v>5</v>
      </c>
      <c r="D179" s="44"/>
      <c r="E179" s="31"/>
      <c r="F179" s="32"/>
      <c r="G179" s="32"/>
      <c r="H179" s="32"/>
      <c r="I179" s="32"/>
      <c r="J179" s="32"/>
      <c r="K179" s="32"/>
      <c r="L179" s="32"/>
      <c r="M179" s="32"/>
      <c r="N179" s="32"/>
      <c r="O179" s="32"/>
      <c r="P179" s="32"/>
      <c r="Q179" s="31"/>
      <c r="R179" s="32"/>
      <c r="S179" s="33"/>
      <c r="T179" s="33"/>
      <c r="U179" s="33"/>
      <c r="V179" s="32"/>
    </row>
    <row r="180" customFormat="1" spans="3:22">
      <c r="C180" s="48" t="s">
        <v>137</v>
      </c>
      <c r="D180" s="68"/>
      <c r="E180" s="33"/>
      <c r="F180" s="33">
        <f>F89/F137</f>
        <v>7.31088921872892</v>
      </c>
      <c r="G180" s="33">
        <f t="shared" ref="G180:P180" si="82">G89/G137</f>
        <v>7.5613929389083</v>
      </c>
      <c r="H180" s="33">
        <f t="shared" si="82"/>
        <v>6.9951186175925</v>
      </c>
      <c r="I180" s="33">
        <f t="shared" si="82"/>
        <v>7.7013349620452</v>
      </c>
      <c r="J180" s="33">
        <f t="shared" si="82"/>
        <v>6.97538480712906</v>
      </c>
      <c r="K180" s="33">
        <f t="shared" si="82"/>
        <v>8.10271340398277</v>
      </c>
      <c r="L180" s="33">
        <f t="shared" si="82"/>
        <v>8.07610869883398</v>
      </c>
      <c r="M180" s="33">
        <f t="shared" si="82"/>
        <v>9.80487497373398</v>
      </c>
      <c r="N180" s="33">
        <f t="shared" si="82"/>
        <v>8.34387254901961</v>
      </c>
      <c r="O180" s="33">
        <f t="shared" si="82"/>
        <v>8.39502979218137</v>
      </c>
      <c r="P180" s="33">
        <f t="shared" si="82"/>
        <v>9.14637733357344</v>
      </c>
      <c r="Q180" s="33"/>
      <c r="R180" s="78">
        <f>AVERAGE(E180:Q180)</f>
        <v>8.03755429961174</v>
      </c>
      <c r="S180" s="33"/>
      <c r="T180" s="33"/>
      <c r="U180" s="33"/>
      <c r="V180" s="32"/>
    </row>
    <row r="181" s="27" customFormat="1" spans="3:22">
      <c r="C181" s="48" t="s">
        <v>138</v>
      </c>
      <c r="D181" s="68"/>
      <c r="E181" s="33"/>
      <c r="F181" s="33">
        <f>F88/F138</f>
        <v>15.6182085168869</v>
      </c>
      <c r="G181" s="33">
        <f t="shared" ref="G181:P181" si="83">G88/G138</f>
        <v>15.8567355666429</v>
      </c>
      <c r="H181" s="33">
        <f t="shared" si="83"/>
        <v>18.9257163070393</v>
      </c>
      <c r="I181" s="33">
        <f t="shared" si="83"/>
        <v>16.3073510013191</v>
      </c>
      <c r="J181" s="33">
        <f t="shared" si="83"/>
        <v>13.5115466423579</v>
      </c>
      <c r="K181" s="33">
        <f t="shared" si="83"/>
        <v>13.9645619715776</v>
      </c>
      <c r="L181" s="33">
        <f t="shared" si="83"/>
        <v>13.4762682551883</v>
      </c>
      <c r="M181" s="33">
        <f t="shared" si="83"/>
        <v>15.7307472903594</v>
      </c>
      <c r="N181" s="33">
        <f t="shared" si="83"/>
        <v>14.2842114864249</v>
      </c>
      <c r="O181" s="33">
        <f t="shared" si="83"/>
        <v>12.1336874409821</v>
      </c>
      <c r="P181" s="33">
        <f t="shared" si="83"/>
        <v>11.0000382753143</v>
      </c>
      <c r="Q181" s="33"/>
      <c r="R181" s="78">
        <f>AVERAGE(E181:Q181)</f>
        <v>14.6190066140084</v>
      </c>
      <c r="V181" s="33"/>
    </row>
    <row r="182" s="27" customFormat="1" spans="3:22">
      <c r="C182" s="48" t="s">
        <v>139</v>
      </c>
      <c r="D182" s="68"/>
      <c r="E182" s="33"/>
      <c r="F182" s="33">
        <f>F89/F151</f>
        <v>3.58032115244829</v>
      </c>
      <c r="G182" s="33">
        <f t="shared" ref="G182:P182" si="84">G89/G151</f>
        <v>3.81262531137979</v>
      </c>
      <c r="H182" s="33">
        <f t="shared" si="84"/>
        <v>3.51282051282051</v>
      </c>
      <c r="I182" s="33">
        <f t="shared" si="84"/>
        <v>3.48749456715003</v>
      </c>
      <c r="J182" s="33">
        <f t="shared" si="84"/>
        <v>3.23359140281951</v>
      </c>
      <c r="K182" s="33">
        <f t="shared" si="84"/>
        <v>3.64359028068705</v>
      </c>
      <c r="L182" s="33">
        <f t="shared" si="84"/>
        <v>3.50838225632113</v>
      </c>
      <c r="M182" s="33">
        <f t="shared" si="84"/>
        <v>3.21629743999779</v>
      </c>
      <c r="N182" s="33">
        <f t="shared" si="84"/>
        <v>3.46211735991051</v>
      </c>
      <c r="O182" s="33">
        <f t="shared" si="84"/>
        <v>3.62853015075377</v>
      </c>
      <c r="P182" s="33">
        <f t="shared" si="84"/>
        <v>3.58596627481437</v>
      </c>
      <c r="Q182" s="33"/>
      <c r="R182" s="78">
        <f>AVERAGE(E182:Q182)</f>
        <v>3.51561242810025</v>
      </c>
      <c r="V182" s="33"/>
    </row>
    <row r="186" ht="15.75" spans="2:16">
      <c r="B186" s="36" t="s">
        <v>140</v>
      </c>
      <c r="F186" s="38">
        <f t="shared" ref="F186:P186" si="85">F109</f>
        <v>274</v>
      </c>
      <c r="G186" s="38">
        <f t="shared" si="85"/>
        <v>-241</v>
      </c>
      <c r="H186" s="38">
        <f t="shared" si="85"/>
        <v>596</v>
      </c>
      <c r="I186" s="38">
        <f t="shared" si="85"/>
        <v>2371</v>
      </c>
      <c r="J186" s="38">
        <f t="shared" si="85"/>
        <v>3033</v>
      </c>
      <c r="K186" s="38">
        <f t="shared" si="85"/>
        <v>10073</v>
      </c>
      <c r="L186" s="38">
        <f t="shared" si="85"/>
        <v>11588</v>
      </c>
      <c r="M186" s="38">
        <f t="shared" si="85"/>
        <v>21331</v>
      </c>
      <c r="N186" s="38">
        <f t="shared" si="85"/>
        <v>33364</v>
      </c>
      <c r="O186" s="38">
        <f t="shared" si="85"/>
        <v>-2722</v>
      </c>
      <c r="P186" s="38">
        <f t="shared" si="85"/>
        <v>30425</v>
      </c>
    </row>
    <row r="187" spans="2:2">
      <c r="B187" t="s">
        <v>141</v>
      </c>
    </row>
    <row r="188" spans="3:16">
      <c r="C188" t="s">
        <v>142</v>
      </c>
      <c r="F188" s="32">
        <v>274</v>
      </c>
      <c r="G188" s="32">
        <v>-241</v>
      </c>
      <c r="H188" s="32">
        <v>596</v>
      </c>
      <c r="I188" s="32">
        <v>2371</v>
      </c>
      <c r="J188" s="32">
        <v>3033</v>
      </c>
      <c r="K188" s="32">
        <v>10073</v>
      </c>
      <c r="L188" s="32">
        <v>11588</v>
      </c>
      <c r="M188" s="32">
        <v>21331</v>
      </c>
      <c r="N188" s="32">
        <v>33364</v>
      </c>
      <c r="O188" s="32">
        <v>-2722</v>
      </c>
      <c r="P188" s="32">
        <v>30425</v>
      </c>
    </row>
    <row r="189" spans="3:16">
      <c r="C189" t="s">
        <v>143</v>
      </c>
      <c r="F189" s="32">
        <v>3253</v>
      </c>
      <c r="G189" s="32">
        <v>4746</v>
      </c>
      <c r="H189" s="32">
        <v>6281</v>
      </c>
      <c r="I189" s="32">
        <v>8116</v>
      </c>
      <c r="J189" s="32">
        <v>11478</v>
      </c>
      <c r="K189" s="32">
        <v>15341</v>
      </c>
      <c r="L189" s="32">
        <v>21789</v>
      </c>
      <c r="M189" s="32">
        <v>25180</v>
      </c>
      <c r="N189" s="32">
        <v>34433</v>
      </c>
      <c r="O189" s="32">
        <v>41921</v>
      </c>
      <c r="P189" s="32">
        <v>48663</v>
      </c>
    </row>
    <row r="190" spans="3:16">
      <c r="C190" t="s">
        <v>144</v>
      </c>
      <c r="F190" s="32">
        <v>1134</v>
      </c>
      <c r="G190" s="32">
        <v>1497</v>
      </c>
      <c r="H190" s="32">
        <v>2119</v>
      </c>
      <c r="I190" s="32">
        <v>2975</v>
      </c>
      <c r="J190" s="32">
        <v>4215</v>
      </c>
      <c r="K190" s="32">
        <v>5418</v>
      </c>
      <c r="L190" s="32">
        <v>6864</v>
      </c>
      <c r="M190" s="32">
        <v>9208</v>
      </c>
      <c r="N190" s="32">
        <v>12757</v>
      </c>
      <c r="O190" s="32">
        <v>19621</v>
      </c>
      <c r="P190" s="32">
        <v>24023</v>
      </c>
    </row>
    <row r="191" spans="3:16">
      <c r="C191" t="s">
        <v>145</v>
      </c>
      <c r="F191" s="32">
        <f>114+1+166</f>
        <v>281</v>
      </c>
      <c r="G191" s="32">
        <f>129+59</f>
        <v>188</v>
      </c>
      <c r="H191" s="32">
        <f>155+250</f>
        <v>405</v>
      </c>
      <c r="I191" s="32">
        <f>160-20</f>
        <v>140</v>
      </c>
      <c r="J191" s="32">
        <f>202-292</f>
        <v>-90</v>
      </c>
      <c r="K191" s="32">
        <f>274+219</f>
        <v>493</v>
      </c>
      <c r="L191" s="32">
        <f>164-249</f>
        <v>-85</v>
      </c>
      <c r="M191" s="32">
        <v>-2582</v>
      </c>
      <c r="N191" s="32">
        <v>-14306</v>
      </c>
      <c r="O191" s="32">
        <v>16966</v>
      </c>
      <c r="P191" s="32">
        <v>-748</v>
      </c>
    </row>
    <row r="192" spans="3:16">
      <c r="C192" t="s">
        <v>146</v>
      </c>
      <c r="F192" s="32">
        <v>-156</v>
      </c>
      <c r="G192" s="32">
        <v>-316</v>
      </c>
      <c r="H192" s="32">
        <v>81</v>
      </c>
      <c r="I192" s="32">
        <v>-246</v>
      </c>
      <c r="J192" s="32">
        <v>-29</v>
      </c>
      <c r="K192" s="32">
        <v>441</v>
      </c>
      <c r="L192" s="32">
        <v>796</v>
      </c>
      <c r="M192" s="32">
        <v>-554</v>
      </c>
      <c r="N192" s="32">
        <v>-310</v>
      </c>
      <c r="O192" s="32">
        <v>-8148</v>
      </c>
      <c r="P192" s="32">
        <v>-5876</v>
      </c>
    </row>
    <row r="193" spans="3:16">
      <c r="C193" t="s">
        <v>147</v>
      </c>
      <c r="F193" s="32">
        <f>-78-1410-846+1888+736+2691-2292</f>
        <v>689</v>
      </c>
      <c r="G193" s="32">
        <f>-6-1193-1039+1759+706+4433-3692</f>
        <v>968</v>
      </c>
      <c r="H193" s="32">
        <f>-2187-1755+4294+913+1292</f>
        <v>2557</v>
      </c>
      <c r="I193" s="32">
        <f>-1426-3436+5030+1724+1955</f>
        <v>3847</v>
      </c>
      <c r="J193" s="32">
        <f>-3583-4780+7100+283+738</f>
        <v>-242</v>
      </c>
      <c r="K193" s="32">
        <f>-1314-4615+3263+472+1151</f>
        <v>-1043</v>
      </c>
      <c r="L193" s="32">
        <f>-3278-7681+8193-1383+1711</f>
        <v>-2438</v>
      </c>
      <c r="M193" s="32">
        <f>-2849-8169+17480+5754+1265</f>
        <v>13481</v>
      </c>
      <c r="N193" s="32">
        <f>-9487-9145-9018+3602+2123+2314</f>
        <v>-19611</v>
      </c>
      <c r="O193" s="32">
        <f>-2592-8622-13275+2945-1558+2216</f>
        <v>-20886</v>
      </c>
      <c r="P193" s="32">
        <f>1449-8348-12265+5473-2428+4578</f>
        <v>-11541</v>
      </c>
    </row>
    <row r="194" spans="2:16">
      <c r="B194" t="s">
        <v>148</v>
      </c>
      <c r="F194" s="37">
        <f>SUM(F187:F193)</f>
        <v>5475</v>
      </c>
      <c r="G194" s="37">
        <f t="shared" ref="G194:P194" si="86">SUM(G187:G193)</f>
        <v>6842</v>
      </c>
      <c r="H194" s="37">
        <f t="shared" si="86"/>
        <v>12039</v>
      </c>
      <c r="I194" s="37">
        <f t="shared" si="86"/>
        <v>17203</v>
      </c>
      <c r="J194" s="37">
        <f t="shared" si="86"/>
        <v>18365</v>
      </c>
      <c r="K194" s="37">
        <f t="shared" si="86"/>
        <v>30723</v>
      </c>
      <c r="L194" s="37">
        <f t="shared" si="86"/>
        <v>38514</v>
      </c>
      <c r="M194" s="37">
        <f t="shared" si="86"/>
        <v>66064</v>
      </c>
      <c r="N194" s="37">
        <f t="shared" si="86"/>
        <v>46327</v>
      </c>
      <c r="O194" s="37">
        <f t="shared" si="86"/>
        <v>46752</v>
      </c>
      <c r="P194" s="37">
        <f t="shared" si="86"/>
        <v>84946</v>
      </c>
    </row>
    <row r="196" spans="2:2">
      <c r="B196" t="s">
        <v>149</v>
      </c>
    </row>
    <row r="197" spans="3:16">
      <c r="C197" t="s">
        <v>150</v>
      </c>
      <c r="F197" s="32">
        <v>-3444</v>
      </c>
      <c r="G197" s="32">
        <v>-4893</v>
      </c>
      <c r="H197" s="32">
        <v>-5387</v>
      </c>
      <c r="I197" s="32">
        <v>-7804</v>
      </c>
      <c r="J197" s="32">
        <v>-11955</v>
      </c>
      <c r="K197" s="32">
        <v>-13427</v>
      </c>
      <c r="L197" s="32">
        <v>-16861</v>
      </c>
      <c r="M197" s="32">
        <v>-40140</v>
      </c>
      <c r="N197" s="32">
        <v>-61053</v>
      </c>
      <c r="O197" s="32">
        <v>-63645</v>
      </c>
      <c r="P197" s="32">
        <v>-52729</v>
      </c>
    </row>
    <row r="198" spans="3:16">
      <c r="C198" t="s">
        <v>151</v>
      </c>
      <c r="F198" s="32">
        <v>0</v>
      </c>
      <c r="G198" s="32">
        <v>0</v>
      </c>
      <c r="H198" s="32">
        <v>798</v>
      </c>
      <c r="I198" s="32">
        <v>1067</v>
      </c>
      <c r="J198" s="32">
        <v>1897</v>
      </c>
      <c r="K198" s="32">
        <v>2104</v>
      </c>
      <c r="L198" s="32">
        <v>4172</v>
      </c>
      <c r="M198" s="32">
        <v>5096</v>
      </c>
      <c r="N198" s="32">
        <v>5657</v>
      </c>
      <c r="O198" s="32">
        <v>5324</v>
      </c>
      <c r="P198" s="32">
        <v>4596</v>
      </c>
    </row>
    <row r="199" spans="3:16">
      <c r="C199" t="s">
        <v>152</v>
      </c>
      <c r="F199" s="32">
        <v>-312</v>
      </c>
      <c r="G199" s="32">
        <v>-979</v>
      </c>
      <c r="H199" s="32">
        <v>-795</v>
      </c>
      <c r="I199" s="32">
        <v>-116</v>
      </c>
      <c r="J199" s="32">
        <v>-13972</v>
      </c>
      <c r="K199" s="32">
        <v>-2186</v>
      </c>
      <c r="L199" s="32">
        <v>-2461</v>
      </c>
      <c r="M199" s="32">
        <v>-2325</v>
      </c>
      <c r="N199" s="32">
        <v>-1985</v>
      </c>
      <c r="O199" s="32">
        <v>-8316</v>
      </c>
      <c r="P199" s="32">
        <v>-5839</v>
      </c>
    </row>
    <row r="200" spans="3:16">
      <c r="C200" t="s">
        <v>153</v>
      </c>
      <c r="F200" s="32">
        <v>2306</v>
      </c>
      <c r="G200" s="32">
        <v>3349</v>
      </c>
      <c r="H200" s="32">
        <v>3025</v>
      </c>
      <c r="I200" s="32">
        <v>4577</v>
      </c>
      <c r="J200" s="32">
        <v>9677</v>
      </c>
      <c r="K200" s="32">
        <v>8240</v>
      </c>
      <c r="L200" s="32">
        <v>22681</v>
      </c>
      <c r="M200" s="32">
        <v>50237</v>
      </c>
      <c r="N200" s="32">
        <v>59384</v>
      </c>
      <c r="O200" s="32">
        <v>31601</v>
      </c>
      <c r="P200" s="32">
        <v>5627</v>
      </c>
    </row>
    <row r="201" spans="3:16">
      <c r="C201" t="s">
        <v>154</v>
      </c>
      <c r="F201" s="32">
        <v>-2826</v>
      </c>
      <c r="G201" s="32">
        <v>-2542</v>
      </c>
      <c r="H201" s="32">
        <v>-4091</v>
      </c>
      <c r="I201" s="32">
        <v>-7240</v>
      </c>
      <c r="J201" s="32">
        <v>-12731</v>
      </c>
      <c r="K201" s="32">
        <v>-7100</v>
      </c>
      <c r="L201" s="32">
        <v>-31812</v>
      </c>
      <c r="M201" s="32">
        <v>-72479</v>
      </c>
      <c r="N201" s="32">
        <v>-60157</v>
      </c>
      <c r="O201" s="32">
        <v>-2565</v>
      </c>
      <c r="P201" s="32">
        <v>-1488</v>
      </c>
    </row>
    <row r="202" spans="2:16">
      <c r="B202" t="s">
        <v>155</v>
      </c>
      <c r="F202" s="37">
        <f>SUM(F196:F201)</f>
        <v>-4276</v>
      </c>
      <c r="G202" s="37">
        <f t="shared" ref="G202:P202" si="87">SUM(G196:G201)</f>
        <v>-5065</v>
      </c>
      <c r="H202" s="37">
        <f t="shared" si="87"/>
        <v>-6450</v>
      </c>
      <c r="I202" s="37">
        <f t="shared" si="87"/>
        <v>-9516</v>
      </c>
      <c r="J202" s="37">
        <f t="shared" si="87"/>
        <v>-27084</v>
      </c>
      <c r="K202" s="37">
        <f t="shared" si="87"/>
        <v>-12369</v>
      </c>
      <c r="L202" s="37">
        <f t="shared" si="87"/>
        <v>-24281</v>
      </c>
      <c r="M202" s="37">
        <f t="shared" si="87"/>
        <v>-59611</v>
      </c>
      <c r="N202" s="37">
        <f t="shared" si="87"/>
        <v>-58154</v>
      </c>
      <c r="O202" s="37">
        <f t="shared" si="87"/>
        <v>-37601</v>
      </c>
      <c r="P202" s="37">
        <f t="shared" si="87"/>
        <v>-49833</v>
      </c>
    </row>
    <row r="204" spans="2:2">
      <c r="B204" t="s">
        <v>156</v>
      </c>
    </row>
    <row r="205" spans="3:16">
      <c r="C205" t="s">
        <v>157</v>
      </c>
      <c r="F205" s="32">
        <v>0</v>
      </c>
      <c r="G205" s="32">
        <v>0</v>
      </c>
      <c r="H205" s="32">
        <v>0</v>
      </c>
      <c r="I205" s="32">
        <v>0</v>
      </c>
      <c r="J205" s="32">
        <v>0</v>
      </c>
      <c r="K205" s="32">
        <v>0</v>
      </c>
      <c r="L205" s="32">
        <v>0</v>
      </c>
      <c r="M205" s="32">
        <v>0</v>
      </c>
      <c r="N205" s="32">
        <v>0</v>
      </c>
      <c r="O205" s="32">
        <v>-6000</v>
      </c>
      <c r="P205" s="32">
        <v>0</v>
      </c>
    </row>
    <row r="206" spans="3:16">
      <c r="C206" t="s">
        <v>158</v>
      </c>
      <c r="F206" s="32">
        <f>78+394</f>
        <v>472</v>
      </c>
      <c r="G206" s="32">
        <f>6359+6</f>
        <v>6365</v>
      </c>
      <c r="H206" s="32">
        <v>353</v>
      </c>
      <c r="I206" s="32">
        <v>618</v>
      </c>
      <c r="J206" s="32">
        <f>16228</f>
        <v>16228</v>
      </c>
      <c r="K206" s="32">
        <f>886+182</f>
        <v>1068</v>
      </c>
      <c r="L206" s="32">
        <f>1402+871</f>
        <v>2273</v>
      </c>
      <c r="M206" s="32">
        <f>6796+10525</f>
        <v>17321</v>
      </c>
      <c r="N206" s="32">
        <f>7956+19003</f>
        <v>26959</v>
      </c>
      <c r="O206" s="32">
        <f>41553+21166</f>
        <v>62719</v>
      </c>
      <c r="P206" s="32">
        <f>18129</f>
        <v>18129</v>
      </c>
    </row>
    <row r="207" spans="3:16">
      <c r="C207" t="s">
        <v>159</v>
      </c>
      <c r="F207" s="32">
        <v>-231</v>
      </c>
      <c r="G207" s="32">
        <v>-513</v>
      </c>
      <c r="H207" s="32">
        <v>-1652</v>
      </c>
      <c r="I207" s="32">
        <v>-327</v>
      </c>
      <c r="J207" s="32">
        <v>-1301</v>
      </c>
      <c r="K207" s="32">
        <f>-813-155</f>
        <v>-968</v>
      </c>
      <c r="L207" s="32">
        <f>-1518-1166</f>
        <v>-2684</v>
      </c>
      <c r="M207" s="32">
        <f>-6177-1553</f>
        <v>-7730</v>
      </c>
      <c r="N207" s="32">
        <f>-7753-1590</f>
        <v>-9343</v>
      </c>
      <c r="O207" s="32">
        <f>-37554-1258</f>
        <v>-38812</v>
      </c>
      <c r="P207" s="32">
        <f>-25677-3676</f>
        <v>-29353</v>
      </c>
    </row>
    <row r="208" spans="3:16">
      <c r="C208" t="s">
        <v>160</v>
      </c>
      <c r="F208" s="32">
        <f>-775-5</f>
        <v>-780</v>
      </c>
      <c r="G208" s="32">
        <f>-1285-135</f>
        <v>-1420</v>
      </c>
      <c r="H208" s="32">
        <f>-2462-121</f>
        <v>-2583</v>
      </c>
      <c r="I208" s="32">
        <f>-3860-147</f>
        <v>-4007</v>
      </c>
      <c r="J208" s="32">
        <f>-4799-200</f>
        <v>-4999</v>
      </c>
      <c r="K208" s="32">
        <f>-7449-337</f>
        <v>-7786</v>
      </c>
      <c r="L208" s="32">
        <f>-9628-27</f>
        <v>-9655</v>
      </c>
      <c r="M208" s="32">
        <f>-10642-53</f>
        <v>-10695</v>
      </c>
      <c r="N208" s="32">
        <f>-11163-162</f>
        <v>-11325</v>
      </c>
      <c r="O208" s="32">
        <f>-7941-248</f>
        <v>-8189</v>
      </c>
      <c r="P208" s="32">
        <f>-4384-271</f>
        <v>-4655</v>
      </c>
    </row>
    <row r="209" spans="3:16">
      <c r="C209" t="s">
        <v>161</v>
      </c>
      <c r="F209" s="32">
        <v>0</v>
      </c>
      <c r="G209" s="32">
        <v>0</v>
      </c>
      <c r="H209" s="32">
        <v>0</v>
      </c>
      <c r="I209" s="32">
        <v>0</v>
      </c>
      <c r="J209" s="32">
        <v>0</v>
      </c>
      <c r="K209" s="32">
        <v>0</v>
      </c>
      <c r="L209" s="32">
        <v>0</v>
      </c>
      <c r="M209" s="32">
        <v>0</v>
      </c>
      <c r="N209" s="32">
        <v>0</v>
      </c>
      <c r="O209" s="32">
        <v>0</v>
      </c>
      <c r="P209" s="32">
        <v>0</v>
      </c>
    </row>
    <row r="210" spans="2:16">
      <c r="B210" t="s">
        <v>162</v>
      </c>
      <c r="F210" s="37">
        <f>SUM(F204:F209)</f>
        <v>-539</v>
      </c>
      <c r="G210" s="37">
        <f t="shared" ref="G210:P210" si="88">SUM(G204:G209)</f>
        <v>4432</v>
      </c>
      <c r="H210" s="37">
        <f t="shared" si="88"/>
        <v>-3882</v>
      </c>
      <c r="I210" s="37">
        <f t="shared" si="88"/>
        <v>-3716</v>
      </c>
      <c r="J210" s="37">
        <f t="shared" si="88"/>
        <v>9928</v>
      </c>
      <c r="K210" s="37">
        <f t="shared" si="88"/>
        <v>-7686</v>
      </c>
      <c r="L210" s="37">
        <f t="shared" si="88"/>
        <v>-10066</v>
      </c>
      <c r="M210" s="37">
        <f t="shared" si="88"/>
        <v>-1104</v>
      </c>
      <c r="N210" s="37">
        <f t="shared" si="88"/>
        <v>6291</v>
      </c>
      <c r="O210" s="37">
        <f t="shared" si="88"/>
        <v>9718</v>
      </c>
      <c r="P210" s="37">
        <f t="shared" si="88"/>
        <v>-15879</v>
      </c>
    </row>
    <row r="212" spans="2:16">
      <c r="B212" t="s">
        <v>163</v>
      </c>
      <c r="F212" s="32">
        <v>-86</v>
      </c>
      <c r="G212" s="32">
        <v>-310</v>
      </c>
      <c r="H212" s="32">
        <v>-374</v>
      </c>
      <c r="I212" s="32">
        <v>-212</v>
      </c>
      <c r="J212" s="32">
        <v>713</v>
      </c>
      <c r="K212" s="32">
        <v>-351</v>
      </c>
      <c r="L212" s="32">
        <v>70</v>
      </c>
      <c r="M212" s="32">
        <v>618</v>
      </c>
      <c r="N212" s="32">
        <v>-364</v>
      </c>
      <c r="O212" s="32">
        <v>-1093</v>
      </c>
      <c r="P212" s="32">
        <v>403</v>
      </c>
    </row>
    <row r="214" spans="2:16">
      <c r="B214" t="s">
        <v>164</v>
      </c>
      <c r="F214" s="37">
        <f t="shared" ref="F214:P214" si="89">F194+F202+F210+F212</f>
        <v>574</v>
      </c>
      <c r="G214" s="37">
        <f t="shared" si="89"/>
        <v>5899</v>
      </c>
      <c r="H214" s="37">
        <f t="shared" si="89"/>
        <v>1333</v>
      </c>
      <c r="I214" s="37">
        <f t="shared" si="89"/>
        <v>3759</v>
      </c>
      <c r="J214" s="37">
        <f t="shared" si="89"/>
        <v>1922</v>
      </c>
      <c r="K214" s="37">
        <f t="shared" si="89"/>
        <v>10317</v>
      </c>
      <c r="L214" s="37">
        <f t="shared" si="89"/>
        <v>4237</v>
      </c>
      <c r="M214" s="37">
        <f t="shared" si="89"/>
        <v>5967</v>
      </c>
      <c r="N214" s="37">
        <f t="shared" si="89"/>
        <v>-5900</v>
      </c>
      <c r="O214" s="37">
        <f t="shared" si="89"/>
        <v>17776</v>
      </c>
      <c r="P214" s="37">
        <f t="shared" si="89"/>
        <v>19637</v>
      </c>
    </row>
    <row r="215" spans="2:16">
      <c r="B215" t="s">
        <v>165</v>
      </c>
      <c r="F215" s="32">
        <v>8084</v>
      </c>
      <c r="G215" s="32">
        <v>8658</v>
      </c>
      <c r="H215" s="32">
        <v>14557</v>
      </c>
      <c r="I215" s="38">
        <v>16175</v>
      </c>
      <c r="J215" s="32">
        <v>19934</v>
      </c>
      <c r="K215" s="32">
        <v>21856</v>
      </c>
      <c r="L215" s="32">
        <v>32173</v>
      </c>
      <c r="M215" s="32">
        <v>36410</v>
      </c>
      <c r="N215" s="32">
        <v>42377</v>
      </c>
      <c r="O215" s="32">
        <v>36477</v>
      </c>
      <c r="P215" s="32">
        <v>54253</v>
      </c>
    </row>
    <row r="216" spans="2:16">
      <c r="B216" t="s">
        <v>166</v>
      </c>
      <c r="F216" s="37">
        <f t="shared" ref="F216:P216" si="90">SUM(F214:F215)</f>
        <v>8658</v>
      </c>
      <c r="G216" s="37">
        <f t="shared" si="90"/>
        <v>14557</v>
      </c>
      <c r="H216" s="79">
        <f t="shared" si="90"/>
        <v>15890</v>
      </c>
      <c r="I216" s="37">
        <f t="shared" si="90"/>
        <v>19934</v>
      </c>
      <c r="J216" s="37">
        <f t="shared" si="90"/>
        <v>21856</v>
      </c>
      <c r="K216" s="37">
        <f t="shared" si="90"/>
        <v>32173</v>
      </c>
      <c r="L216" s="37">
        <f t="shared" si="90"/>
        <v>36410</v>
      </c>
      <c r="M216" s="37">
        <f t="shared" si="90"/>
        <v>42377</v>
      </c>
      <c r="N216" s="37">
        <f t="shared" si="90"/>
        <v>36477</v>
      </c>
      <c r="O216" s="37">
        <f t="shared" si="90"/>
        <v>54253</v>
      </c>
      <c r="P216" s="37">
        <f t="shared" si="90"/>
        <v>73890</v>
      </c>
    </row>
    <row r="219" ht="15.75" spans="3:4">
      <c r="C219" s="43" t="s">
        <v>140</v>
      </c>
      <c r="D219" s="44"/>
    </row>
    <row r="220" s="26" customFormat="1" spans="3:23">
      <c r="C220" s="65" t="s">
        <v>167</v>
      </c>
      <c r="D220" s="65"/>
      <c r="E220" s="67"/>
      <c r="F220" s="66">
        <f t="shared" ref="F220:P220" si="91">F194+F197+F198</f>
        <v>2031</v>
      </c>
      <c r="G220" s="66">
        <f t="shared" si="91"/>
        <v>1949</v>
      </c>
      <c r="H220" s="66">
        <f t="shared" si="91"/>
        <v>7450</v>
      </c>
      <c r="I220" s="66">
        <f t="shared" si="91"/>
        <v>10466</v>
      </c>
      <c r="J220" s="66">
        <f t="shared" si="91"/>
        <v>8307</v>
      </c>
      <c r="K220" s="66">
        <f t="shared" si="91"/>
        <v>19400</v>
      </c>
      <c r="L220" s="66">
        <f t="shared" si="91"/>
        <v>25825</v>
      </c>
      <c r="M220" s="66">
        <f t="shared" si="91"/>
        <v>31020</v>
      </c>
      <c r="N220" s="66">
        <f t="shared" si="91"/>
        <v>-9069</v>
      </c>
      <c r="O220" s="66">
        <f t="shared" si="91"/>
        <v>-11569</v>
      </c>
      <c r="P220" s="66">
        <f t="shared" si="91"/>
        <v>36813</v>
      </c>
      <c r="Q220" s="67"/>
      <c r="R220" s="80">
        <f>AVERAGE(E220:Q220)</f>
        <v>11147.5454545455</v>
      </c>
      <c r="S220" s="45"/>
      <c r="T220" s="45"/>
      <c r="U220" s="45"/>
      <c r="V220" s="66"/>
      <c r="W220" s="67"/>
    </row>
    <row r="221" spans="3:22">
      <c r="C221" s="65" t="s">
        <v>168</v>
      </c>
      <c r="D221" s="44"/>
      <c r="F221" s="33">
        <f t="shared" ref="F221:P221" si="92">IFERROR(F220/F116,0)</f>
        <v>0.210248447204969</v>
      </c>
      <c r="G221" s="33">
        <f t="shared" si="92"/>
        <v>0.19969262295082</v>
      </c>
      <c r="H221" s="33">
        <f t="shared" si="92"/>
        <v>0.754048582995951</v>
      </c>
      <c r="I221" s="33">
        <f t="shared" si="92"/>
        <v>1.0466</v>
      </c>
      <c r="J221" s="33">
        <f t="shared" si="92"/>
        <v>0.819230769230769</v>
      </c>
      <c r="K221" s="33">
        <f t="shared" si="92"/>
        <v>1.88715953307393</v>
      </c>
      <c r="L221" s="33">
        <f t="shared" si="92"/>
        <v>2.47840690978887</v>
      </c>
      <c r="M221" s="33">
        <f t="shared" si="92"/>
        <v>2.94307400379507</v>
      </c>
      <c r="N221" s="33">
        <f t="shared" si="92"/>
        <v>-0.852029312288613</v>
      </c>
      <c r="O221" s="33">
        <f t="shared" si="92"/>
        <v>-1.07548573022218</v>
      </c>
      <c r="P221" s="33">
        <f t="shared" si="92"/>
        <v>3.37795925857956</v>
      </c>
      <c r="R221" s="78">
        <f>AVERAGE(E221:Q221)</f>
        <v>1.07171864410083</v>
      </c>
      <c r="V221" s="33"/>
    </row>
  </sheetData>
  <pageMargins left="0.75" right="0.75" top="1" bottom="1" header="0.5" footer="0.5"/>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42"/>
  <sheetViews>
    <sheetView workbookViewId="0">
      <selection activeCell="L8" sqref="L8"/>
    </sheetView>
    <sheetView topLeftCell="A8" workbookViewId="1">
      <selection activeCell="S31" sqref="S31"/>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169</v>
      </c>
      <c r="G3" s="1"/>
      <c r="L3" t="s">
        <v>170</v>
      </c>
    </row>
    <row r="4" spans="2:12">
      <c r="B4" s="89" t="s">
        <v>171</v>
      </c>
      <c r="L4" s="89" t="s">
        <v>172</v>
      </c>
    </row>
    <row r="5" spans="2:19">
      <c r="B5" t="s">
        <v>173</v>
      </c>
      <c r="L5" t="s">
        <v>174</v>
      </c>
      <c r="O5" s="9">
        <f>[1]Sheet1!$E$6</f>
        <v>0.0246945</v>
      </c>
      <c r="S5" t="s">
        <v>175</v>
      </c>
    </row>
    <row r="6" spans="2:15">
      <c r="B6" s="2"/>
      <c r="O6" s="8"/>
    </row>
    <row r="7" spans="6:24">
      <c r="F7" s="3" t="s">
        <v>176</v>
      </c>
      <c r="G7" s="3" t="s">
        <v>177</v>
      </c>
      <c r="H7" s="3" t="s">
        <v>178</v>
      </c>
      <c r="J7" s="3" t="s">
        <v>178</v>
      </c>
      <c r="S7" s="11" t="s">
        <v>179</v>
      </c>
      <c r="X7" s="11" t="s">
        <v>180</v>
      </c>
    </row>
    <row r="8" ht="75" spans="2:26">
      <c r="B8" t="s">
        <v>181</v>
      </c>
      <c r="C8" t="s">
        <v>182</v>
      </c>
      <c r="D8" t="s">
        <v>183</v>
      </c>
      <c r="F8" t="s">
        <v>184</v>
      </c>
      <c r="G8" s="4" t="s">
        <v>185</v>
      </c>
      <c r="H8" s="4" t="s">
        <v>186</v>
      </c>
      <c r="J8" s="4" t="s">
        <v>187</v>
      </c>
      <c r="M8" s="10"/>
      <c r="R8" s="4"/>
      <c r="S8" s="4" t="s">
        <v>188</v>
      </c>
      <c r="U8" s="4" t="s">
        <v>189</v>
      </c>
      <c r="V8" s="10" t="s">
        <v>190</v>
      </c>
      <c r="X8" s="4" t="s">
        <v>191</v>
      </c>
      <c r="Y8" s="4" t="s">
        <v>189</v>
      </c>
      <c r="Z8" s="10" t="s">
        <v>190</v>
      </c>
    </row>
    <row r="9" spans="1:26">
      <c r="A9">
        <v>1</v>
      </c>
      <c r="B9" s="5">
        <v>45261</v>
      </c>
      <c r="C9" s="6">
        <v>151.94</v>
      </c>
      <c r="D9" s="7">
        <v>0.04</v>
      </c>
      <c r="F9" s="8">
        <f t="shared" ref="F9:F68" si="0">D9</f>
        <v>0.04</v>
      </c>
      <c r="G9" s="8">
        <f>O$5/12</f>
        <v>0.002057875</v>
      </c>
      <c r="H9" s="8">
        <f t="shared" ref="H9:H68" si="1">F9-G9</f>
        <v>0.037942125</v>
      </c>
      <c r="J9" s="8" t="str">
        <f t="shared" ref="J9:J68" si="2">IF(H9&lt;0,H9,"")</f>
        <v/>
      </c>
      <c r="L9" s="11" t="s">
        <v>20</v>
      </c>
      <c r="O9" s="12" t="s">
        <v>192</v>
      </c>
      <c r="P9" s="12" t="s">
        <v>193</v>
      </c>
      <c r="Q9" s="12" t="s">
        <v>194</v>
      </c>
      <c r="R9" s="8"/>
      <c r="S9" s="8">
        <f>AVERAGE(H9:H68)</f>
        <v>0.014112125</v>
      </c>
      <c r="T9">
        <v>1</v>
      </c>
      <c r="U9" s="8">
        <f t="shared" ref="U9:U68" si="3">(H9-S$9)^2</f>
        <v>0.0005678689</v>
      </c>
      <c r="V9" s="8">
        <f>(U70/T68)^(1/2)</f>
        <v>0.0946121456262355</v>
      </c>
      <c r="X9" s="8">
        <f>AVERAGE(J9:J68)</f>
        <v>-0.0676060231481481</v>
      </c>
      <c r="Y9" s="8" t="str">
        <f t="shared" ref="Y9:Y68" si="4">IF(J9="","",(J9-X$9)^2)</f>
        <v/>
      </c>
      <c r="Z9" s="8">
        <f>(Y70/(COUNT(Y9:Y69)-1))^(1/2)</f>
        <v>0.0483784072174796</v>
      </c>
    </row>
    <row r="10" spans="1:25">
      <c r="A10">
        <v>2</v>
      </c>
      <c r="B10" s="5">
        <v>45231</v>
      </c>
      <c r="C10" s="6">
        <v>146.09</v>
      </c>
      <c r="D10" s="7">
        <v>0.0977</v>
      </c>
      <c r="F10" s="8">
        <f t="shared" si="0"/>
        <v>0.0977</v>
      </c>
      <c r="G10" s="8">
        <f>O$5/12</f>
        <v>0.002057875</v>
      </c>
      <c r="H10" s="8">
        <f t="shared" si="1"/>
        <v>0.095642125</v>
      </c>
      <c r="J10" s="8" t="str">
        <f t="shared" si="2"/>
        <v/>
      </c>
      <c r="T10">
        <v>2</v>
      </c>
      <c r="U10" s="8">
        <f t="shared" si="3"/>
        <v>0.0066471409</v>
      </c>
      <c r="Y10" s="8" t="str">
        <f t="shared" si="4"/>
        <v/>
      </c>
    </row>
    <row r="11" spans="1:25">
      <c r="A11">
        <v>3</v>
      </c>
      <c r="B11" s="5">
        <v>45200</v>
      </c>
      <c r="C11" s="6">
        <v>133.09</v>
      </c>
      <c r="D11" s="7">
        <v>0.047</v>
      </c>
      <c r="F11" s="8">
        <f t="shared" si="0"/>
        <v>0.047</v>
      </c>
      <c r="G11" s="8">
        <f>O$5/12</f>
        <v>0.002057875</v>
      </c>
      <c r="H11" s="8">
        <f t="shared" si="1"/>
        <v>0.044942125</v>
      </c>
      <c r="J11" s="8" t="str">
        <f t="shared" si="2"/>
        <v/>
      </c>
      <c r="L11" s="13" t="s">
        <v>190</v>
      </c>
      <c r="O11" s="9">
        <f>STDEV.P(H9:H20)</f>
        <v>0.0829478898499266</v>
      </c>
      <c r="P11" s="9">
        <f>STDEV.P(H9:H44)</f>
        <v>0.0995700706726948</v>
      </c>
      <c r="Q11" s="9">
        <f>STDEV.P(H9:H68)</f>
        <v>0.0946121456262355</v>
      </c>
      <c r="T11">
        <v>3</v>
      </c>
      <c r="U11" s="8">
        <f t="shared" si="3"/>
        <v>0.0009504889</v>
      </c>
      <c r="Y11" s="8" t="str">
        <f t="shared" si="4"/>
        <v/>
      </c>
    </row>
    <row r="12" spans="1:25">
      <c r="A12">
        <v>4</v>
      </c>
      <c r="B12" s="5">
        <v>45170</v>
      </c>
      <c r="C12" s="6">
        <v>127.12</v>
      </c>
      <c r="D12" s="7">
        <v>-0.0789</v>
      </c>
      <c r="F12" s="8">
        <f t="shared" si="0"/>
        <v>-0.0789</v>
      </c>
      <c r="G12" s="8">
        <f>O$5/12</f>
        <v>0.002057875</v>
      </c>
      <c r="H12" s="8">
        <f t="shared" si="1"/>
        <v>-0.080957875</v>
      </c>
      <c r="J12" s="8">
        <f t="shared" si="2"/>
        <v>-0.080957875</v>
      </c>
      <c r="L12" s="14" t="s">
        <v>195</v>
      </c>
      <c r="O12" s="8">
        <f t="shared" ref="O12:Q12" si="5">(1+O19)^(1/12)-1</f>
        <v>0.0328183023372548</v>
      </c>
      <c r="P12" s="8">
        <f t="shared" si="5"/>
        <v>-0.00148843935779164</v>
      </c>
      <c r="Q12" s="8">
        <f t="shared" si="5"/>
        <v>0.00954251433015441</v>
      </c>
      <c r="T12">
        <v>4</v>
      </c>
      <c r="U12" s="8">
        <f t="shared" si="3"/>
        <v>0.0090383049</v>
      </c>
      <c r="Y12" s="8">
        <f t="shared" si="4"/>
        <v>0.0001782719478738</v>
      </c>
    </row>
    <row r="13" spans="1:25">
      <c r="A13">
        <v>5</v>
      </c>
      <c r="B13" s="5">
        <v>45139</v>
      </c>
      <c r="C13" s="6">
        <v>138.01</v>
      </c>
      <c r="D13" s="7">
        <v>0.0324</v>
      </c>
      <c r="F13" s="8">
        <f t="shared" si="0"/>
        <v>0.0324</v>
      </c>
      <c r="G13" s="8">
        <f>O$5/12</f>
        <v>0.002057875</v>
      </c>
      <c r="H13" s="8">
        <f t="shared" si="1"/>
        <v>0.030342125</v>
      </c>
      <c r="J13" s="8" t="str">
        <f t="shared" si="2"/>
        <v/>
      </c>
      <c r="L13" s="14" t="s">
        <v>196</v>
      </c>
      <c r="O13" s="15">
        <f t="shared" ref="O13:Q13" si="6">O20/12</f>
        <v>0.002057875</v>
      </c>
      <c r="P13" s="15">
        <f t="shared" si="6"/>
        <v>0.002057875</v>
      </c>
      <c r="Q13" s="15">
        <f t="shared" si="6"/>
        <v>0.002057875</v>
      </c>
      <c r="T13">
        <v>5</v>
      </c>
      <c r="U13" s="8">
        <f t="shared" si="3"/>
        <v>0.0002634129</v>
      </c>
      <c r="Y13" s="8" t="str">
        <f t="shared" si="4"/>
        <v/>
      </c>
    </row>
    <row r="14" spans="1:25">
      <c r="A14">
        <v>6</v>
      </c>
      <c r="B14" s="5">
        <v>45108</v>
      </c>
      <c r="C14" s="6">
        <v>133.68</v>
      </c>
      <c r="D14" s="7">
        <v>0.0255</v>
      </c>
      <c r="F14" s="8">
        <f t="shared" si="0"/>
        <v>0.0255</v>
      </c>
      <c r="G14" s="8">
        <f>O$5/12</f>
        <v>0.002057875</v>
      </c>
      <c r="H14" s="8">
        <f t="shared" si="1"/>
        <v>0.023442125</v>
      </c>
      <c r="J14" s="8" t="str">
        <f t="shared" si="2"/>
        <v/>
      </c>
      <c r="L14" s="13" t="s">
        <v>197</v>
      </c>
      <c r="O14" s="8">
        <f t="shared" ref="O14:Q14" si="7">O12-O13</f>
        <v>0.0307604273372548</v>
      </c>
      <c r="P14" s="8">
        <f t="shared" si="7"/>
        <v>-0.00354631435779164</v>
      </c>
      <c r="Q14" s="8">
        <f t="shared" si="7"/>
        <v>0.00748463933015441</v>
      </c>
      <c r="T14">
        <v>6</v>
      </c>
      <c r="U14" s="8">
        <f t="shared" si="3"/>
        <v>8.70489e-5</v>
      </c>
      <c r="Y14" s="8" t="str">
        <f t="shared" si="4"/>
        <v/>
      </c>
    </row>
    <row r="15" spans="1:25">
      <c r="A15">
        <v>7</v>
      </c>
      <c r="B15" s="5">
        <v>45078</v>
      </c>
      <c r="C15" s="6">
        <v>130.36</v>
      </c>
      <c r="D15" s="7">
        <v>0.0811</v>
      </c>
      <c r="F15" s="8">
        <f t="shared" si="0"/>
        <v>0.0811</v>
      </c>
      <c r="G15" s="8">
        <f>O$5/12</f>
        <v>0.002057875</v>
      </c>
      <c r="H15" s="8">
        <f t="shared" si="1"/>
        <v>0.079042125</v>
      </c>
      <c r="J15" s="8" t="str">
        <f t="shared" si="2"/>
        <v/>
      </c>
      <c r="T15">
        <v>7</v>
      </c>
      <c r="U15" s="8">
        <f t="shared" si="3"/>
        <v>0.0042159049</v>
      </c>
      <c r="Y15" s="8" t="str">
        <f t="shared" si="4"/>
        <v/>
      </c>
    </row>
    <row r="16" spans="1:25">
      <c r="A16">
        <v>8</v>
      </c>
      <c r="B16" s="5">
        <v>45047</v>
      </c>
      <c r="C16" s="6">
        <v>120.58</v>
      </c>
      <c r="D16" s="7">
        <v>0.1435</v>
      </c>
      <c r="F16" s="8">
        <f t="shared" si="0"/>
        <v>0.1435</v>
      </c>
      <c r="G16" s="8">
        <f>O$5/12</f>
        <v>0.002057875</v>
      </c>
      <c r="H16" s="8">
        <f t="shared" si="1"/>
        <v>0.141442125</v>
      </c>
      <c r="J16" s="8" t="str">
        <f t="shared" si="2"/>
        <v/>
      </c>
      <c r="L16" s="13" t="s">
        <v>198</v>
      </c>
      <c r="O16" s="16">
        <f t="shared" ref="O16:Q16" si="8">O14/O11</f>
        <v>0.370840384160562</v>
      </c>
      <c r="P16" s="16">
        <f t="shared" si="8"/>
        <v>-0.0356162683608916</v>
      </c>
      <c r="Q16" s="16">
        <f t="shared" si="8"/>
        <v>0.079108652283634</v>
      </c>
      <c r="T16">
        <v>8</v>
      </c>
      <c r="U16" s="8">
        <f t="shared" si="3"/>
        <v>0.0162129289</v>
      </c>
      <c r="Y16" s="8" t="str">
        <f t="shared" si="4"/>
        <v/>
      </c>
    </row>
    <row r="17" spans="1:25">
      <c r="A17">
        <v>9</v>
      </c>
      <c r="B17" s="5">
        <v>45017</v>
      </c>
      <c r="C17" s="6">
        <v>105.45</v>
      </c>
      <c r="D17" s="7">
        <v>0.0209</v>
      </c>
      <c r="F17" s="8">
        <f t="shared" si="0"/>
        <v>0.0209</v>
      </c>
      <c r="G17" s="8">
        <f>O$5/12</f>
        <v>0.002057875</v>
      </c>
      <c r="H17" s="8">
        <f t="shared" si="1"/>
        <v>0.018842125</v>
      </c>
      <c r="J17" s="8" t="str">
        <f t="shared" si="2"/>
        <v/>
      </c>
      <c r="T17">
        <v>9</v>
      </c>
      <c r="U17" s="8">
        <f t="shared" si="3"/>
        <v>2.23729e-5</v>
      </c>
      <c r="Y17" s="8" t="str">
        <f t="shared" si="4"/>
        <v/>
      </c>
    </row>
    <row r="18" spans="1:25">
      <c r="A18">
        <v>10</v>
      </c>
      <c r="B18" s="5">
        <v>44986</v>
      </c>
      <c r="C18" s="6">
        <v>103.29</v>
      </c>
      <c r="D18" s="7">
        <v>0.0961</v>
      </c>
      <c r="F18" s="8">
        <f t="shared" si="0"/>
        <v>0.0961</v>
      </c>
      <c r="G18" s="8">
        <f>O$5/12</f>
        <v>0.002057875</v>
      </c>
      <c r="H18" s="8">
        <f t="shared" si="1"/>
        <v>0.094042125</v>
      </c>
      <c r="J18" s="8" t="str">
        <f t="shared" si="2"/>
        <v/>
      </c>
      <c r="L18" s="13" t="s">
        <v>199</v>
      </c>
      <c r="O18" s="8">
        <f t="shared" ref="O18:Q18" si="9">O11*12^(1/2)</f>
        <v>0.287339919201399</v>
      </c>
      <c r="P18" s="8">
        <f t="shared" si="9"/>
        <v>0.344920842636662</v>
      </c>
      <c r="Q18" s="8">
        <f t="shared" si="9"/>
        <v>0.327746086475491</v>
      </c>
      <c r="T18">
        <v>10</v>
      </c>
      <c r="U18" s="8">
        <f t="shared" si="3"/>
        <v>0.0063888049</v>
      </c>
      <c r="Y18" s="8" t="str">
        <f t="shared" si="4"/>
        <v/>
      </c>
    </row>
    <row r="19" spans="1:25">
      <c r="A19">
        <v>11</v>
      </c>
      <c r="B19" s="5">
        <v>44958</v>
      </c>
      <c r="C19" s="6">
        <v>94.23</v>
      </c>
      <c r="D19" s="7">
        <v>-0.0863</v>
      </c>
      <c r="F19" s="8">
        <f t="shared" si="0"/>
        <v>-0.0863</v>
      </c>
      <c r="G19" s="8">
        <f>O$5/12</f>
        <v>0.002057875</v>
      </c>
      <c r="H19" s="8">
        <f t="shared" si="1"/>
        <v>-0.088357875</v>
      </c>
      <c r="J19" s="8">
        <f t="shared" si="2"/>
        <v>-0.088357875</v>
      </c>
      <c r="L19" s="14" t="s">
        <v>200</v>
      </c>
      <c r="O19" s="8">
        <f>($C$9/$C$20)^(1/($A$20/12))-1</f>
        <v>0.473286143702124</v>
      </c>
      <c r="P19" s="8">
        <f>($C$9/$C$44)^(1/($A$44/12))-1</f>
        <v>-0.0177157755204822</v>
      </c>
      <c r="Q19" s="8">
        <f>($C$9/$C$68)^(1/($A$68/12))-1</f>
        <v>0.120715438275339</v>
      </c>
      <c r="T19">
        <v>11</v>
      </c>
      <c r="U19" s="8">
        <f t="shared" si="3"/>
        <v>0.0105001009</v>
      </c>
      <c r="Y19" s="8">
        <f t="shared" si="4"/>
        <v>0.000430639355281207</v>
      </c>
    </row>
    <row r="20" spans="1:25">
      <c r="A20">
        <v>12</v>
      </c>
      <c r="B20" s="5">
        <v>44927</v>
      </c>
      <c r="C20" s="6">
        <v>103.13</v>
      </c>
      <c r="D20" s="7">
        <v>0.2277</v>
      </c>
      <c r="F20" s="8">
        <f t="shared" si="0"/>
        <v>0.2277</v>
      </c>
      <c r="G20" s="8">
        <f>O$5/12</f>
        <v>0.002057875</v>
      </c>
      <c r="H20" s="8">
        <f t="shared" si="1"/>
        <v>0.225642125</v>
      </c>
      <c r="J20" s="8" t="str">
        <f t="shared" si="2"/>
        <v/>
      </c>
      <c r="L20" s="14" t="s">
        <v>201</v>
      </c>
      <c r="O20" s="15">
        <f t="shared" ref="O20:Q20" si="10">$O$5</f>
        <v>0.0246945</v>
      </c>
      <c r="P20" s="15">
        <f t="shared" si="10"/>
        <v>0.0246945</v>
      </c>
      <c r="Q20" s="15">
        <f t="shared" si="10"/>
        <v>0.0246945</v>
      </c>
      <c r="T20">
        <v>12</v>
      </c>
      <c r="U20" s="8">
        <f t="shared" si="3"/>
        <v>0.0447449409</v>
      </c>
      <c r="Y20" s="8" t="str">
        <f t="shared" si="4"/>
        <v/>
      </c>
    </row>
    <row r="21" spans="1:25">
      <c r="A21">
        <v>13</v>
      </c>
      <c r="B21" s="5">
        <v>44896</v>
      </c>
      <c r="C21" s="6">
        <v>84</v>
      </c>
      <c r="D21" s="7">
        <v>-0.1299</v>
      </c>
      <c r="F21" s="8">
        <f t="shared" si="0"/>
        <v>-0.1299</v>
      </c>
      <c r="G21" s="8">
        <f>O$5/12</f>
        <v>0.002057875</v>
      </c>
      <c r="H21" s="8">
        <f t="shared" si="1"/>
        <v>-0.131957875</v>
      </c>
      <c r="J21" s="8">
        <f t="shared" si="2"/>
        <v>-0.131957875</v>
      </c>
      <c r="L21" s="13" t="s">
        <v>197</v>
      </c>
      <c r="O21" s="8">
        <f t="shared" ref="O21:Q21" si="11">O19-O20</f>
        <v>0.448591643702124</v>
      </c>
      <c r="P21" s="8">
        <f t="shared" si="11"/>
        <v>-0.0424102755204822</v>
      </c>
      <c r="Q21" s="8">
        <f t="shared" si="11"/>
        <v>0.096020938275339</v>
      </c>
      <c r="T21">
        <v>13</v>
      </c>
      <c r="U21" s="8">
        <f t="shared" si="3"/>
        <v>0.0213364449</v>
      </c>
      <c r="Y21" s="8">
        <f t="shared" si="4"/>
        <v>0.00414116083676269</v>
      </c>
    </row>
    <row r="22" spans="1:25">
      <c r="A22">
        <v>14</v>
      </c>
      <c r="B22" s="5">
        <v>44866</v>
      </c>
      <c r="C22" s="6">
        <v>96.54</v>
      </c>
      <c r="D22" s="7">
        <v>-0.0576</v>
      </c>
      <c r="F22" s="8">
        <f t="shared" si="0"/>
        <v>-0.0576</v>
      </c>
      <c r="G22" s="8">
        <f>O$5/12</f>
        <v>0.002057875</v>
      </c>
      <c r="H22" s="8">
        <f t="shared" si="1"/>
        <v>-0.059657875</v>
      </c>
      <c r="J22" s="8">
        <f t="shared" si="2"/>
        <v>-0.059657875</v>
      </c>
      <c r="T22">
        <v>14</v>
      </c>
      <c r="U22" s="8">
        <f t="shared" si="3"/>
        <v>0.0054420129</v>
      </c>
      <c r="Y22" s="8">
        <f t="shared" si="4"/>
        <v>6.31730589849108e-5</v>
      </c>
    </row>
    <row r="23" spans="1:25">
      <c r="A23">
        <v>15</v>
      </c>
      <c r="B23" s="5">
        <v>44835</v>
      </c>
      <c r="C23" s="6">
        <v>102.44</v>
      </c>
      <c r="D23" s="7">
        <v>-0.0935</v>
      </c>
      <c r="F23" s="8">
        <f t="shared" si="0"/>
        <v>-0.0935</v>
      </c>
      <c r="G23" s="8">
        <f>O$5/12</f>
        <v>0.002057875</v>
      </c>
      <c r="H23" s="8">
        <f t="shared" si="1"/>
        <v>-0.095557875</v>
      </c>
      <c r="J23" s="8">
        <f t="shared" si="2"/>
        <v>-0.095557875</v>
      </c>
      <c r="L23" s="13" t="s">
        <v>202</v>
      </c>
      <c r="O23" s="16">
        <f t="shared" ref="O23:Q23" si="12">O21/O18</f>
        <v>1.56118803453725</v>
      </c>
      <c r="P23" s="16">
        <f t="shared" si="12"/>
        <v>-0.122956546192707</v>
      </c>
      <c r="Q23" s="16">
        <f t="shared" si="12"/>
        <v>0.292973561661489</v>
      </c>
      <c r="T23">
        <v>15</v>
      </c>
      <c r="U23" s="8">
        <f t="shared" si="3"/>
        <v>0.0120275089</v>
      </c>
      <c r="Y23" s="8">
        <f t="shared" si="4"/>
        <v>0.000781306021947874</v>
      </c>
    </row>
    <row r="24" ht="15.75" spans="1:25">
      <c r="A24">
        <v>16</v>
      </c>
      <c r="B24" s="5">
        <v>44805</v>
      </c>
      <c r="C24" s="6">
        <v>113</v>
      </c>
      <c r="D24" s="7">
        <v>-0.1086</v>
      </c>
      <c r="F24" s="8">
        <f t="shared" si="0"/>
        <v>-0.1086</v>
      </c>
      <c r="G24" s="8">
        <f>O$5/12</f>
        <v>0.002057875</v>
      </c>
      <c r="H24" s="8">
        <f t="shared" si="1"/>
        <v>-0.110657875</v>
      </c>
      <c r="J24" s="8">
        <f t="shared" si="2"/>
        <v>-0.110657875</v>
      </c>
      <c r="T24">
        <v>16</v>
      </c>
      <c r="U24" s="8">
        <f t="shared" si="3"/>
        <v>0.0155675529</v>
      </c>
      <c r="Y24" s="8">
        <f t="shared" si="4"/>
        <v>0.0018534619478738</v>
      </c>
    </row>
    <row r="25" ht="15.75" spans="1:25">
      <c r="A25">
        <v>17</v>
      </c>
      <c r="B25" s="5">
        <v>44774</v>
      </c>
      <c r="C25" s="6">
        <v>126.77</v>
      </c>
      <c r="D25" s="7">
        <v>-0.0606</v>
      </c>
      <c r="F25" s="8">
        <f t="shared" si="0"/>
        <v>-0.0606</v>
      </c>
      <c r="G25" s="8">
        <f>O$5/12</f>
        <v>0.002057875</v>
      </c>
      <c r="H25" s="8">
        <f t="shared" si="1"/>
        <v>-0.062657875</v>
      </c>
      <c r="J25" s="8">
        <f t="shared" si="2"/>
        <v>-0.062657875</v>
      </c>
      <c r="L25" s="17"/>
      <c r="M25" s="17"/>
      <c r="N25" s="17"/>
      <c r="O25" s="17"/>
      <c r="P25" s="17"/>
      <c r="Q25" s="17"/>
      <c r="T25">
        <v>17</v>
      </c>
      <c r="U25" s="8">
        <f t="shared" si="3"/>
        <v>0.0058936329</v>
      </c>
      <c r="Y25" s="8">
        <f t="shared" si="4"/>
        <v>2.44841700960219e-5</v>
      </c>
    </row>
    <row r="26" spans="1:25">
      <c r="A26">
        <v>18</v>
      </c>
      <c r="B26" s="5">
        <v>44743</v>
      </c>
      <c r="C26" s="6">
        <v>134.95</v>
      </c>
      <c r="D26" s="7">
        <v>0.2706</v>
      </c>
      <c r="F26" s="8">
        <f t="shared" si="0"/>
        <v>0.2706</v>
      </c>
      <c r="G26" s="8">
        <f>O$5/12</f>
        <v>0.002057875</v>
      </c>
      <c r="H26" s="8">
        <f t="shared" si="1"/>
        <v>0.268542125</v>
      </c>
      <c r="J26" s="8" t="str">
        <f t="shared" si="2"/>
        <v/>
      </c>
      <c r="L26" s="11" t="s">
        <v>21</v>
      </c>
      <c r="O26" s="12" t="s">
        <v>192</v>
      </c>
      <c r="P26" s="12" t="s">
        <v>193</v>
      </c>
      <c r="Q26" s="12" t="s">
        <v>194</v>
      </c>
      <c r="T26">
        <v>18</v>
      </c>
      <c r="U26" s="8">
        <f t="shared" si="3"/>
        <v>0.0647346249</v>
      </c>
      <c r="Y26" s="8" t="str">
        <f t="shared" si="4"/>
        <v/>
      </c>
    </row>
    <row r="27" spans="1:25">
      <c r="A27">
        <v>19</v>
      </c>
      <c r="B27" s="5">
        <v>44713</v>
      </c>
      <c r="C27" s="6">
        <v>106.21</v>
      </c>
      <c r="D27" s="7">
        <v>-0.1165</v>
      </c>
      <c r="F27" s="8">
        <f t="shared" si="0"/>
        <v>-0.1165</v>
      </c>
      <c r="G27" s="8">
        <f>O$5/12</f>
        <v>0.002057875</v>
      </c>
      <c r="H27" s="8">
        <f t="shared" si="1"/>
        <v>-0.118557875</v>
      </c>
      <c r="J27" s="8">
        <f t="shared" si="2"/>
        <v>-0.118557875</v>
      </c>
      <c r="T27">
        <v>19</v>
      </c>
      <c r="U27" s="8">
        <f t="shared" si="3"/>
        <v>0.0176013289</v>
      </c>
      <c r="Y27" s="8">
        <f t="shared" si="4"/>
        <v>0.00259609120713306</v>
      </c>
    </row>
    <row r="28" ht="18.75" spans="1:25">
      <c r="A28">
        <v>20</v>
      </c>
      <c r="B28" s="5">
        <v>44682</v>
      </c>
      <c r="C28" s="6">
        <v>120.21</v>
      </c>
      <c r="D28" s="7">
        <v>-0.0328</v>
      </c>
      <c r="F28" s="8">
        <f t="shared" si="0"/>
        <v>-0.0328</v>
      </c>
      <c r="G28" s="8">
        <f>O$5/12</f>
        <v>0.002057875</v>
      </c>
      <c r="H28" s="8">
        <f t="shared" si="1"/>
        <v>-0.034857875</v>
      </c>
      <c r="J28" s="8">
        <f t="shared" si="2"/>
        <v>-0.034857875</v>
      </c>
      <c r="L28" s="13" t="s">
        <v>203</v>
      </c>
      <c r="O28" s="9">
        <f>_xlfn.STDEV.S(J9:J20)</f>
        <v>0.00523259018078045</v>
      </c>
      <c r="P28" s="9">
        <f>_xlfn.STDEV.S(J9:J44)</f>
        <v>0.0539798234516313</v>
      </c>
      <c r="Q28" s="9">
        <f>_xlfn.STDEV.S(J9:J68)</f>
        <v>0.0483784072174796</v>
      </c>
      <c r="T28">
        <v>20</v>
      </c>
      <c r="U28" s="8">
        <f t="shared" si="3"/>
        <v>0.0023980609</v>
      </c>
      <c r="Y28" s="8">
        <f t="shared" si="4"/>
        <v>0.00107244120713306</v>
      </c>
    </row>
    <row r="29" spans="1:25">
      <c r="A29">
        <v>21</v>
      </c>
      <c r="B29" s="5">
        <v>44652</v>
      </c>
      <c r="C29" s="6">
        <v>124.28</v>
      </c>
      <c r="D29" s="7">
        <v>-0.2375</v>
      </c>
      <c r="F29" s="8">
        <f t="shared" si="0"/>
        <v>-0.2375</v>
      </c>
      <c r="G29" s="8">
        <f>O$5/12</f>
        <v>0.002057875</v>
      </c>
      <c r="H29" s="8">
        <f t="shared" si="1"/>
        <v>-0.239557875</v>
      </c>
      <c r="J29" s="8">
        <f t="shared" si="2"/>
        <v>-0.239557875</v>
      </c>
      <c r="L29" s="14" t="s">
        <v>195</v>
      </c>
      <c r="O29" s="8">
        <f t="shared" ref="O29:Q29" si="13">(1+O36)^(1/12)-1</f>
        <v>0.0328183023372548</v>
      </c>
      <c r="P29" s="8">
        <f t="shared" si="13"/>
        <v>-0.00148843935779164</v>
      </c>
      <c r="Q29" s="8">
        <f t="shared" si="13"/>
        <v>0.00954251433015441</v>
      </c>
      <c r="T29">
        <v>21</v>
      </c>
      <c r="U29" s="8">
        <f t="shared" si="3"/>
        <v>0.0643484689</v>
      </c>
      <c r="Y29" s="8">
        <f t="shared" si="4"/>
        <v>0.0295674393552812</v>
      </c>
    </row>
    <row r="30" spans="1:25">
      <c r="A30">
        <v>22</v>
      </c>
      <c r="B30" s="5">
        <v>44621</v>
      </c>
      <c r="C30" s="6">
        <v>163</v>
      </c>
      <c r="D30" s="7">
        <v>0.0614</v>
      </c>
      <c r="F30" s="8">
        <f t="shared" si="0"/>
        <v>0.0614</v>
      </c>
      <c r="G30" s="8">
        <f>O$5/12</f>
        <v>0.002057875</v>
      </c>
      <c r="H30" s="8">
        <f t="shared" si="1"/>
        <v>0.059342125</v>
      </c>
      <c r="J30" s="8" t="str">
        <f t="shared" si="2"/>
        <v/>
      </c>
      <c r="L30" s="14" t="s">
        <v>196</v>
      </c>
      <c r="O30" s="15">
        <f t="shared" ref="O30:Q30" si="14">O37/12</f>
        <v>0.002057875</v>
      </c>
      <c r="P30" s="15">
        <f t="shared" si="14"/>
        <v>0.002057875</v>
      </c>
      <c r="Q30" s="15">
        <f t="shared" si="14"/>
        <v>0.002057875</v>
      </c>
      <c r="T30">
        <v>22</v>
      </c>
      <c r="U30" s="8">
        <f t="shared" si="3"/>
        <v>0.0020457529</v>
      </c>
      <c r="Y30" s="8" t="str">
        <f t="shared" si="4"/>
        <v/>
      </c>
    </row>
    <row r="31" spans="1:25">
      <c r="A31">
        <v>23</v>
      </c>
      <c r="B31" s="5">
        <v>44593</v>
      </c>
      <c r="C31" s="6">
        <v>153.56</v>
      </c>
      <c r="D31" s="7">
        <v>0.0267</v>
      </c>
      <c r="F31" s="8">
        <f t="shared" si="0"/>
        <v>0.0267</v>
      </c>
      <c r="G31" s="8">
        <f>O$5/12</f>
        <v>0.002057875</v>
      </c>
      <c r="H31" s="8">
        <f t="shared" si="1"/>
        <v>0.024642125</v>
      </c>
      <c r="J31" s="8" t="str">
        <f t="shared" si="2"/>
        <v/>
      </c>
      <c r="L31" s="13" t="s">
        <v>197</v>
      </c>
      <c r="O31" s="8">
        <f t="shared" ref="O31:Q31" si="15">O29-O30</f>
        <v>0.0307604273372548</v>
      </c>
      <c r="P31" s="8">
        <f t="shared" si="15"/>
        <v>-0.00354631435779164</v>
      </c>
      <c r="Q31" s="8">
        <f t="shared" si="15"/>
        <v>0.00748463933015441</v>
      </c>
      <c r="T31">
        <v>23</v>
      </c>
      <c r="U31" s="8">
        <f t="shared" si="3"/>
        <v>0.0001108809</v>
      </c>
      <c r="Y31" s="8" t="str">
        <f t="shared" si="4"/>
        <v/>
      </c>
    </row>
    <row r="32" spans="1:25">
      <c r="A32">
        <v>24</v>
      </c>
      <c r="B32" s="5">
        <v>44562</v>
      </c>
      <c r="C32" s="6">
        <v>149.57</v>
      </c>
      <c r="D32" s="7">
        <v>-0.1028</v>
      </c>
      <c r="F32" s="8">
        <f t="shared" si="0"/>
        <v>-0.1028</v>
      </c>
      <c r="G32" s="8">
        <f>O$5/12</f>
        <v>0.002057875</v>
      </c>
      <c r="H32" s="8">
        <f t="shared" si="1"/>
        <v>-0.104857875</v>
      </c>
      <c r="J32" s="8">
        <f t="shared" si="2"/>
        <v>-0.104857875</v>
      </c>
      <c r="T32">
        <v>24</v>
      </c>
      <c r="U32" s="8">
        <f t="shared" si="3"/>
        <v>0.0141538609</v>
      </c>
      <c r="Y32" s="8">
        <f t="shared" si="4"/>
        <v>0.00138770046639232</v>
      </c>
    </row>
    <row r="33" spans="1:25">
      <c r="A33">
        <v>25</v>
      </c>
      <c r="B33" s="5">
        <v>44531</v>
      </c>
      <c r="C33" s="6">
        <v>166.72</v>
      </c>
      <c r="D33" s="7">
        <v>-0.0493</v>
      </c>
      <c r="F33" s="8">
        <f t="shared" si="0"/>
        <v>-0.0493</v>
      </c>
      <c r="G33" s="8">
        <f>O$5/12</f>
        <v>0.002057875</v>
      </c>
      <c r="H33" s="8">
        <f t="shared" si="1"/>
        <v>-0.051357875</v>
      </c>
      <c r="J33" s="8">
        <f t="shared" si="2"/>
        <v>-0.051357875</v>
      </c>
      <c r="L33" s="13" t="s">
        <v>204</v>
      </c>
      <c r="O33" s="16">
        <f t="shared" ref="O33:Q33" si="16">O31/O28</f>
        <v>5.8786234492889</v>
      </c>
      <c r="P33" s="16">
        <f t="shared" si="16"/>
        <v>-0.0656970351333091</v>
      </c>
      <c r="Q33" s="16">
        <f t="shared" si="16"/>
        <v>0.154710329682994</v>
      </c>
      <c r="T33">
        <v>25</v>
      </c>
      <c r="U33" s="8">
        <f t="shared" si="3"/>
        <v>0.0042863209</v>
      </c>
      <c r="Y33" s="8">
        <f t="shared" si="4"/>
        <v>0.00026400231824417</v>
      </c>
    </row>
    <row r="34" spans="1:25">
      <c r="A34">
        <v>26</v>
      </c>
      <c r="B34" s="5">
        <v>44501</v>
      </c>
      <c r="C34" s="6">
        <v>175.35</v>
      </c>
      <c r="D34" s="7">
        <v>0.0399</v>
      </c>
      <c r="F34" s="8">
        <f t="shared" si="0"/>
        <v>0.0399</v>
      </c>
      <c r="G34" s="8">
        <f>O$5/12</f>
        <v>0.002057875</v>
      </c>
      <c r="H34" s="8">
        <f t="shared" si="1"/>
        <v>0.037842125</v>
      </c>
      <c r="J34" s="8" t="str">
        <f t="shared" si="2"/>
        <v/>
      </c>
      <c r="T34">
        <v>26</v>
      </c>
      <c r="U34" s="8">
        <f t="shared" si="3"/>
        <v>0.0005631129</v>
      </c>
      <c r="Y34" s="8" t="str">
        <f t="shared" si="4"/>
        <v/>
      </c>
    </row>
    <row r="35" spans="1:25">
      <c r="A35">
        <v>27</v>
      </c>
      <c r="B35" s="5">
        <v>44470</v>
      </c>
      <c r="C35" s="6">
        <v>168.62</v>
      </c>
      <c r="D35" s="7">
        <v>0.0266</v>
      </c>
      <c r="F35" s="8">
        <f t="shared" si="0"/>
        <v>0.0266</v>
      </c>
      <c r="G35" s="8">
        <f>O$5/12</f>
        <v>0.002057875</v>
      </c>
      <c r="H35" s="8">
        <f t="shared" si="1"/>
        <v>0.024542125</v>
      </c>
      <c r="J35" s="8" t="str">
        <f t="shared" si="2"/>
        <v/>
      </c>
      <c r="L35" s="13" t="s">
        <v>205</v>
      </c>
      <c r="O35" s="8">
        <f t="shared" ref="O35:Q35" si="17">O28*12^(1/2)</f>
        <v>0.0181262240965955</v>
      </c>
      <c r="P35" s="8">
        <f t="shared" si="17"/>
        <v>0.186991593603647</v>
      </c>
      <c r="Q35" s="8">
        <f t="shared" si="17"/>
        <v>0.167587718579863</v>
      </c>
      <c r="T35">
        <v>27</v>
      </c>
      <c r="U35" s="8">
        <f t="shared" si="3"/>
        <v>0.0001087849</v>
      </c>
      <c r="Y35" s="8" t="str">
        <f t="shared" si="4"/>
        <v/>
      </c>
    </row>
    <row r="36" spans="1:25">
      <c r="A36">
        <v>28</v>
      </c>
      <c r="B36" s="5">
        <v>44440</v>
      </c>
      <c r="C36" s="6">
        <v>164.25</v>
      </c>
      <c r="D36" s="7">
        <v>-0.0535</v>
      </c>
      <c r="F36" s="8">
        <f t="shared" si="0"/>
        <v>-0.0535</v>
      </c>
      <c r="G36" s="8">
        <f>O$5/12</f>
        <v>0.002057875</v>
      </c>
      <c r="H36" s="8">
        <f t="shared" si="1"/>
        <v>-0.055557875</v>
      </c>
      <c r="J36" s="8">
        <f t="shared" si="2"/>
        <v>-0.055557875</v>
      </c>
      <c r="L36" s="14" t="s">
        <v>200</v>
      </c>
      <c r="O36" s="8">
        <f>($C$9/$C$20)^(1/($A$20/12))-1</f>
        <v>0.473286143702124</v>
      </c>
      <c r="P36" s="8">
        <f>($C$9/$C$44)^(1/($A$44/12))-1</f>
        <v>-0.0177157755204822</v>
      </c>
      <c r="Q36" s="8">
        <f>($C$9/$C$68)^(1/($A$68/12))-1</f>
        <v>0.120715438275339</v>
      </c>
      <c r="T36">
        <v>28</v>
      </c>
      <c r="U36" s="8">
        <f t="shared" si="3"/>
        <v>0.0048539089</v>
      </c>
      <c r="Y36" s="8">
        <f t="shared" si="4"/>
        <v>0.000145157873799726</v>
      </c>
    </row>
    <row r="37" spans="1:25">
      <c r="A37">
        <v>29</v>
      </c>
      <c r="B37" s="5">
        <v>44409</v>
      </c>
      <c r="C37" s="6">
        <v>173.54</v>
      </c>
      <c r="D37" s="7">
        <v>0.043</v>
      </c>
      <c r="F37" s="8">
        <f t="shared" si="0"/>
        <v>0.043</v>
      </c>
      <c r="G37" s="8">
        <f>O$5/12</f>
        <v>0.002057875</v>
      </c>
      <c r="H37" s="8">
        <f t="shared" si="1"/>
        <v>0.040942125</v>
      </c>
      <c r="J37" s="8" t="str">
        <f t="shared" si="2"/>
        <v/>
      </c>
      <c r="L37" s="14" t="s">
        <v>201</v>
      </c>
      <c r="O37" s="15">
        <f t="shared" ref="O37:Q37" si="18">$O$5</f>
        <v>0.0246945</v>
      </c>
      <c r="P37" s="15">
        <f t="shared" si="18"/>
        <v>0.0246945</v>
      </c>
      <c r="Q37" s="15">
        <f t="shared" si="18"/>
        <v>0.0246945</v>
      </c>
      <c r="T37">
        <v>29</v>
      </c>
      <c r="U37" s="8">
        <f t="shared" si="3"/>
        <v>0.0007198489</v>
      </c>
      <c r="Y37" s="8" t="str">
        <f t="shared" si="4"/>
        <v/>
      </c>
    </row>
    <row r="38" spans="1:25">
      <c r="A38">
        <v>30</v>
      </c>
      <c r="B38" s="5">
        <v>44378</v>
      </c>
      <c r="C38" s="6">
        <v>166.38</v>
      </c>
      <c r="D38" s="7">
        <v>-0.0327</v>
      </c>
      <c r="F38" s="8">
        <f t="shared" si="0"/>
        <v>-0.0327</v>
      </c>
      <c r="G38" s="8">
        <f>O$5/12</f>
        <v>0.002057875</v>
      </c>
      <c r="H38" s="8">
        <f t="shared" si="1"/>
        <v>-0.034757875</v>
      </c>
      <c r="J38" s="8">
        <f t="shared" si="2"/>
        <v>-0.034757875</v>
      </c>
      <c r="L38" s="13" t="s">
        <v>197</v>
      </c>
      <c r="O38" s="8">
        <f t="shared" ref="O38:Q38" si="19">O36-O37</f>
        <v>0.448591643702124</v>
      </c>
      <c r="P38" s="8">
        <f t="shared" si="19"/>
        <v>-0.0424102755204822</v>
      </c>
      <c r="Q38" s="8">
        <f t="shared" si="19"/>
        <v>0.096020938275339</v>
      </c>
      <c r="T38">
        <v>30</v>
      </c>
      <c r="U38" s="8">
        <f t="shared" si="3"/>
        <v>0.0023882769</v>
      </c>
      <c r="Y38" s="8">
        <f t="shared" si="4"/>
        <v>0.00107900083676269</v>
      </c>
    </row>
    <row r="39" spans="1:25">
      <c r="A39">
        <v>31</v>
      </c>
      <c r="B39" s="5">
        <v>44348</v>
      </c>
      <c r="C39" s="6">
        <v>172.01</v>
      </c>
      <c r="D39" s="7">
        <v>0.0674</v>
      </c>
      <c r="F39" s="8">
        <f t="shared" si="0"/>
        <v>0.0674</v>
      </c>
      <c r="G39" s="8">
        <f>O$5/12</f>
        <v>0.002057875</v>
      </c>
      <c r="H39" s="8">
        <f t="shared" si="1"/>
        <v>0.065342125</v>
      </c>
      <c r="J39" s="8" t="str">
        <f t="shared" si="2"/>
        <v/>
      </c>
      <c r="T39">
        <v>31</v>
      </c>
      <c r="U39" s="8">
        <f t="shared" si="3"/>
        <v>0.0026245129</v>
      </c>
      <c r="Y39" s="8" t="str">
        <f t="shared" si="4"/>
        <v/>
      </c>
    </row>
    <row r="40" ht="18.75" spans="1:25">
      <c r="A40">
        <v>32</v>
      </c>
      <c r="B40" s="5">
        <v>44317</v>
      </c>
      <c r="C40" s="6">
        <v>161.15</v>
      </c>
      <c r="D40" s="7">
        <v>-0.0705</v>
      </c>
      <c r="F40" s="8">
        <f t="shared" si="0"/>
        <v>-0.0705</v>
      </c>
      <c r="G40" s="8">
        <f>O$5/12</f>
        <v>0.002057875</v>
      </c>
      <c r="H40" s="8">
        <f t="shared" si="1"/>
        <v>-0.072557875</v>
      </c>
      <c r="J40" s="8">
        <f t="shared" si="2"/>
        <v>-0.072557875</v>
      </c>
      <c r="L40" s="13" t="s">
        <v>206</v>
      </c>
      <c r="O40" s="16">
        <f t="shared" ref="O40:Q40" si="20">O38/O35</f>
        <v>24.7482123861846</v>
      </c>
      <c r="P40" s="16">
        <f t="shared" si="20"/>
        <v>-0.226803112926971</v>
      </c>
      <c r="Q40" s="16">
        <f t="shared" si="20"/>
        <v>0.572959278215728</v>
      </c>
      <c r="T40">
        <v>32</v>
      </c>
      <c r="U40" s="8">
        <f t="shared" si="3"/>
        <v>0.0075116889</v>
      </c>
      <c r="Y40" s="8">
        <f t="shared" si="4"/>
        <v>2.45208367626886e-5</v>
      </c>
    </row>
    <row r="41" spans="1:25">
      <c r="A41">
        <v>33</v>
      </c>
      <c r="B41" s="5">
        <v>44287</v>
      </c>
      <c r="C41" s="6">
        <v>173.37</v>
      </c>
      <c r="D41" s="7">
        <v>0.1207</v>
      </c>
      <c r="E41" s="4"/>
      <c r="F41" s="8">
        <f t="shared" si="0"/>
        <v>0.1207</v>
      </c>
      <c r="G41" s="8">
        <f>O$5/12</f>
        <v>0.002057875</v>
      </c>
      <c r="H41" s="8">
        <f t="shared" si="1"/>
        <v>0.118642125</v>
      </c>
      <c r="J41" s="8" t="str">
        <f t="shared" si="2"/>
        <v/>
      </c>
      <c r="T41">
        <v>33</v>
      </c>
      <c r="U41" s="8">
        <f t="shared" si="3"/>
        <v>0.0109265209</v>
      </c>
      <c r="Y41" s="8" t="str">
        <f t="shared" si="4"/>
        <v/>
      </c>
    </row>
    <row r="42" spans="1:25">
      <c r="A42">
        <v>34</v>
      </c>
      <c r="B42" s="5">
        <v>44256</v>
      </c>
      <c r="C42" s="6">
        <v>154.7</v>
      </c>
      <c r="D42" s="7">
        <v>0.0004</v>
      </c>
      <c r="E42" s="4"/>
      <c r="F42" s="8">
        <f t="shared" si="0"/>
        <v>0.0004</v>
      </c>
      <c r="G42" s="8">
        <f>O$5/12</f>
        <v>0.002057875</v>
      </c>
      <c r="H42" s="8">
        <f t="shared" si="1"/>
        <v>-0.001657875</v>
      </c>
      <c r="J42" s="8">
        <f t="shared" si="2"/>
        <v>-0.001657875</v>
      </c>
      <c r="T42">
        <v>34</v>
      </c>
      <c r="U42" s="8">
        <f t="shared" si="3"/>
        <v>0.0002486929</v>
      </c>
      <c r="Y42" s="8">
        <f t="shared" si="4"/>
        <v>0.0043491582441701</v>
      </c>
    </row>
    <row r="43" spans="1:25">
      <c r="A43">
        <v>35</v>
      </c>
      <c r="B43" s="5">
        <v>44228</v>
      </c>
      <c r="C43" s="6">
        <v>154.65</v>
      </c>
      <c r="D43" s="7">
        <v>-0.0353</v>
      </c>
      <c r="E43" s="4"/>
      <c r="F43" s="8">
        <f t="shared" si="0"/>
        <v>-0.0353</v>
      </c>
      <c r="G43" s="8">
        <f>O$5/12</f>
        <v>0.002057875</v>
      </c>
      <c r="H43" s="8">
        <f t="shared" si="1"/>
        <v>-0.037357875</v>
      </c>
      <c r="J43" s="8">
        <f t="shared" si="2"/>
        <v>-0.037357875</v>
      </c>
      <c r="T43">
        <v>35</v>
      </c>
      <c r="U43" s="8">
        <f t="shared" si="3"/>
        <v>0.0026491609</v>
      </c>
      <c r="Y43" s="8">
        <f t="shared" si="4"/>
        <v>0.000914950466392318</v>
      </c>
    </row>
    <row r="44" spans="1:25">
      <c r="A44">
        <v>36</v>
      </c>
      <c r="B44" s="5">
        <v>44197</v>
      </c>
      <c r="C44" s="6">
        <v>160.31</v>
      </c>
      <c r="D44" s="7">
        <v>-0.0156</v>
      </c>
      <c r="E44" s="4"/>
      <c r="F44" s="8">
        <f t="shared" si="0"/>
        <v>-0.0156</v>
      </c>
      <c r="G44" s="8">
        <f>O$5/12</f>
        <v>0.002057875</v>
      </c>
      <c r="H44" s="8">
        <f t="shared" si="1"/>
        <v>-0.017657875</v>
      </c>
      <c r="J44" s="8">
        <f t="shared" si="2"/>
        <v>-0.017657875</v>
      </c>
      <c r="T44">
        <v>36</v>
      </c>
      <c r="U44" s="8">
        <f t="shared" si="3"/>
        <v>0.0010093329</v>
      </c>
      <c r="Y44" s="8">
        <f t="shared" si="4"/>
        <v>0.00249481750342935</v>
      </c>
    </row>
    <row r="45" spans="1:25">
      <c r="A45">
        <v>37</v>
      </c>
      <c r="B45" s="5">
        <v>44166</v>
      </c>
      <c r="C45" s="6">
        <v>162.85</v>
      </c>
      <c r="D45" s="7">
        <v>0.0281</v>
      </c>
      <c r="E45" s="4"/>
      <c r="F45" s="8">
        <f t="shared" si="0"/>
        <v>0.0281</v>
      </c>
      <c r="G45" s="8">
        <f>O$5/12</f>
        <v>0.002057875</v>
      </c>
      <c r="H45" s="8">
        <f t="shared" si="1"/>
        <v>0.026042125</v>
      </c>
      <c r="J45" s="8" t="str">
        <f t="shared" si="2"/>
        <v/>
      </c>
      <c r="T45">
        <v>37</v>
      </c>
      <c r="U45" s="8">
        <f t="shared" si="3"/>
        <v>0.0001423249</v>
      </c>
      <c r="Y45" s="8" t="str">
        <f t="shared" si="4"/>
        <v/>
      </c>
    </row>
    <row r="46" spans="1:25">
      <c r="A46">
        <v>38</v>
      </c>
      <c r="B46" s="5">
        <v>44136</v>
      </c>
      <c r="C46" s="6">
        <v>158.4</v>
      </c>
      <c r="D46" s="7">
        <v>0.0434</v>
      </c>
      <c r="E46" s="4"/>
      <c r="F46" s="8">
        <f t="shared" si="0"/>
        <v>0.0434</v>
      </c>
      <c r="G46" s="8">
        <f>O$5/12</f>
        <v>0.002057875</v>
      </c>
      <c r="H46" s="8">
        <f t="shared" si="1"/>
        <v>0.041342125</v>
      </c>
      <c r="J46" s="8" t="str">
        <f t="shared" si="2"/>
        <v/>
      </c>
      <c r="T46">
        <v>38</v>
      </c>
      <c r="U46" s="8">
        <f t="shared" si="3"/>
        <v>0.0007414729</v>
      </c>
      <c r="Y46" s="8" t="str">
        <f t="shared" si="4"/>
        <v/>
      </c>
    </row>
    <row r="47" spans="1:25">
      <c r="A47">
        <v>39</v>
      </c>
      <c r="B47" s="5">
        <v>44105</v>
      </c>
      <c r="C47" s="6">
        <v>151.81</v>
      </c>
      <c r="D47" s="7">
        <v>-0.0358</v>
      </c>
      <c r="E47" s="4"/>
      <c r="F47" s="8">
        <f t="shared" si="0"/>
        <v>-0.0358</v>
      </c>
      <c r="G47" s="8">
        <f>O$5/12</f>
        <v>0.002057875</v>
      </c>
      <c r="H47" s="8">
        <f t="shared" si="1"/>
        <v>-0.037857875</v>
      </c>
      <c r="J47" s="8">
        <f t="shared" si="2"/>
        <v>-0.037857875</v>
      </c>
      <c r="T47">
        <v>39</v>
      </c>
      <c r="U47" s="8">
        <f t="shared" si="3"/>
        <v>0.0027008809</v>
      </c>
      <c r="Y47" s="8">
        <f t="shared" si="4"/>
        <v>0.00088495231824417</v>
      </c>
    </row>
    <row r="48" spans="1:25">
      <c r="A48">
        <v>40</v>
      </c>
      <c r="B48" s="5">
        <v>44075</v>
      </c>
      <c r="C48" s="6">
        <v>157.44</v>
      </c>
      <c r="D48" s="7">
        <v>-0.0876</v>
      </c>
      <c r="E48" s="4"/>
      <c r="F48" s="8">
        <f t="shared" si="0"/>
        <v>-0.0876</v>
      </c>
      <c r="G48" s="8">
        <f>O$5/12</f>
        <v>0.002057875</v>
      </c>
      <c r="H48" s="8">
        <f t="shared" si="1"/>
        <v>-0.089657875</v>
      </c>
      <c r="J48" s="8">
        <f t="shared" si="2"/>
        <v>-0.089657875</v>
      </c>
      <c r="T48">
        <v>40</v>
      </c>
      <c r="U48" s="8">
        <f t="shared" si="3"/>
        <v>0.0107682129</v>
      </c>
      <c r="Y48" s="8">
        <f t="shared" si="4"/>
        <v>0.000486284170096022</v>
      </c>
    </row>
    <row r="49" spans="1:25">
      <c r="A49">
        <v>41</v>
      </c>
      <c r="B49" s="5">
        <v>44044</v>
      </c>
      <c r="C49" s="6">
        <v>172.55</v>
      </c>
      <c r="D49" s="7">
        <v>0.0905</v>
      </c>
      <c r="E49" s="4"/>
      <c r="F49" s="8">
        <f t="shared" si="0"/>
        <v>0.0905</v>
      </c>
      <c r="G49" s="8">
        <f>O$5/12</f>
        <v>0.002057875</v>
      </c>
      <c r="H49" s="8">
        <f t="shared" si="1"/>
        <v>0.088442125</v>
      </c>
      <c r="J49" s="8" t="str">
        <f t="shared" si="2"/>
        <v/>
      </c>
      <c r="T49">
        <v>41</v>
      </c>
      <c r="U49" s="8">
        <f t="shared" si="3"/>
        <v>0.0055249489</v>
      </c>
      <c r="Y49" s="8" t="str">
        <f t="shared" si="4"/>
        <v/>
      </c>
    </row>
    <row r="50" spans="1:25">
      <c r="A50">
        <v>42</v>
      </c>
      <c r="B50" s="5">
        <v>44013</v>
      </c>
      <c r="C50" s="6">
        <v>158.23</v>
      </c>
      <c r="D50" s="7">
        <v>0.1471</v>
      </c>
      <c r="E50" s="4"/>
      <c r="F50" s="8">
        <f t="shared" si="0"/>
        <v>0.1471</v>
      </c>
      <c r="G50" s="8">
        <f>O$5/12</f>
        <v>0.002057875</v>
      </c>
      <c r="H50" s="8">
        <f t="shared" si="1"/>
        <v>0.145042125</v>
      </c>
      <c r="J50" s="8" t="str">
        <f t="shared" si="2"/>
        <v/>
      </c>
      <c r="T50">
        <v>42</v>
      </c>
      <c r="U50" s="8">
        <f t="shared" si="3"/>
        <v>0.0171426649</v>
      </c>
      <c r="Y50" s="8" t="str">
        <f t="shared" si="4"/>
        <v/>
      </c>
    </row>
    <row r="51" spans="1:25">
      <c r="A51">
        <v>43</v>
      </c>
      <c r="B51" s="5">
        <v>43983</v>
      </c>
      <c r="C51" s="6">
        <v>137.94</v>
      </c>
      <c r="D51" s="7">
        <v>0.1296</v>
      </c>
      <c r="E51" s="4"/>
      <c r="F51" s="8">
        <f t="shared" si="0"/>
        <v>0.1296</v>
      </c>
      <c r="G51" s="8">
        <f>O$5/12</f>
        <v>0.002057875</v>
      </c>
      <c r="H51" s="8">
        <f t="shared" si="1"/>
        <v>0.127542125</v>
      </c>
      <c r="J51" s="8" t="str">
        <f t="shared" si="2"/>
        <v/>
      </c>
      <c r="T51">
        <v>43</v>
      </c>
      <c r="U51" s="8">
        <f t="shared" si="3"/>
        <v>0.0128663649</v>
      </c>
      <c r="Y51" s="8" t="str">
        <f t="shared" si="4"/>
        <v/>
      </c>
    </row>
    <row r="52" spans="1:25">
      <c r="A52">
        <v>44</v>
      </c>
      <c r="B52" s="5">
        <v>43952</v>
      </c>
      <c r="C52" s="6">
        <v>122.12</v>
      </c>
      <c r="D52" s="7">
        <v>-0.0128</v>
      </c>
      <c r="E52" s="4"/>
      <c r="F52" s="8">
        <f t="shared" si="0"/>
        <v>-0.0128</v>
      </c>
      <c r="G52" s="8">
        <f>O$5/12</f>
        <v>0.002057875</v>
      </c>
      <c r="H52" s="8">
        <f t="shared" si="1"/>
        <v>-0.014857875</v>
      </c>
      <c r="J52" s="8">
        <f t="shared" si="2"/>
        <v>-0.014857875</v>
      </c>
      <c r="T52">
        <v>44</v>
      </c>
      <c r="U52" s="8">
        <f t="shared" si="3"/>
        <v>0.0008392609</v>
      </c>
      <c r="Y52" s="8">
        <f t="shared" si="4"/>
        <v>0.00278236713305898</v>
      </c>
    </row>
    <row r="53" spans="1:25">
      <c r="A53">
        <v>45</v>
      </c>
      <c r="B53" s="5">
        <v>43922</v>
      </c>
      <c r="C53" s="6">
        <v>123.7</v>
      </c>
      <c r="D53" s="7">
        <v>0.2689</v>
      </c>
      <c r="E53" s="4"/>
      <c r="F53" s="8">
        <f t="shared" si="0"/>
        <v>0.2689</v>
      </c>
      <c r="G53" s="8">
        <f>O$5/12</f>
        <v>0.002057875</v>
      </c>
      <c r="H53" s="8">
        <f t="shared" si="1"/>
        <v>0.266842125</v>
      </c>
      <c r="J53" s="8" t="str">
        <f t="shared" si="2"/>
        <v/>
      </c>
      <c r="T53">
        <v>45</v>
      </c>
      <c r="U53" s="8">
        <f t="shared" si="3"/>
        <v>0.0638724529</v>
      </c>
      <c r="Y53" s="8" t="str">
        <f t="shared" si="4"/>
        <v/>
      </c>
    </row>
    <row r="54" spans="1:25">
      <c r="A54">
        <v>46</v>
      </c>
      <c r="B54" s="5">
        <v>43891</v>
      </c>
      <c r="C54" s="6">
        <v>97.49</v>
      </c>
      <c r="D54" s="7">
        <v>0.035</v>
      </c>
      <c r="E54" s="4"/>
      <c r="F54" s="8">
        <f t="shared" si="0"/>
        <v>0.035</v>
      </c>
      <c r="G54" s="8">
        <f>O$5/12</f>
        <v>0.002057875</v>
      </c>
      <c r="H54" s="8">
        <f t="shared" si="1"/>
        <v>0.032942125</v>
      </c>
      <c r="J54" s="8" t="str">
        <f t="shared" si="2"/>
        <v/>
      </c>
      <c r="T54">
        <v>46</v>
      </c>
      <c r="U54" s="8">
        <f t="shared" si="3"/>
        <v>0.0003545689</v>
      </c>
      <c r="Y54" s="8" t="str">
        <f t="shared" si="4"/>
        <v/>
      </c>
    </row>
    <row r="55" spans="1:25">
      <c r="A55">
        <v>47</v>
      </c>
      <c r="B55" s="5">
        <v>43862</v>
      </c>
      <c r="C55" s="6">
        <v>94.19</v>
      </c>
      <c r="D55" s="7">
        <v>-0.0622</v>
      </c>
      <c r="E55" s="4"/>
      <c r="F55" s="8">
        <f t="shared" si="0"/>
        <v>-0.0622</v>
      </c>
      <c r="G55" s="8">
        <f>O$5/12</f>
        <v>0.002057875</v>
      </c>
      <c r="H55" s="8">
        <f t="shared" si="1"/>
        <v>-0.064257875</v>
      </c>
      <c r="J55" s="8">
        <f t="shared" si="2"/>
        <v>-0.064257875</v>
      </c>
      <c r="T55">
        <v>47</v>
      </c>
      <c r="U55" s="8">
        <f t="shared" si="3"/>
        <v>0.0061418569</v>
      </c>
      <c r="Y55" s="8">
        <f t="shared" si="4"/>
        <v>1.12100960219479e-5</v>
      </c>
    </row>
    <row r="56" spans="1:25">
      <c r="A56">
        <v>48</v>
      </c>
      <c r="B56" s="5">
        <v>43831</v>
      </c>
      <c r="C56" s="6">
        <v>100.44</v>
      </c>
      <c r="D56" s="7">
        <v>0.0871</v>
      </c>
      <c r="E56" s="4"/>
      <c r="F56" s="8">
        <f t="shared" si="0"/>
        <v>0.0871</v>
      </c>
      <c r="G56" s="8">
        <f>O$5/12</f>
        <v>0.002057875</v>
      </c>
      <c r="H56" s="8">
        <f t="shared" si="1"/>
        <v>0.085042125</v>
      </c>
      <c r="J56" s="8" t="str">
        <f t="shared" si="2"/>
        <v/>
      </c>
      <c r="T56">
        <v>48</v>
      </c>
      <c r="U56" s="8">
        <f t="shared" si="3"/>
        <v>0.0050310649</v>
      </c>
      <c r="Y56" s="8" t="str">
        <f t="shared" si="4"/>
        <v/>
      </c>
    </row>
    <row r="57" spans="1:25">
      <c r="A57">
        <v>49</v>
      </c>
      <c r="B57" s="5">
        <v>43800</v>
      </c>
      <c r="C57" s="6">
        <v>92.39</v>
      </c>
      <c r="D57" s="7">
        <v>0.0261</v>
      </c>
      <c r="E57" s="4"/>
      <c r="F57" s="8">
        <f t="shared" si="0"/>
        <v>0.0261</v>
      </c>
      <c r="G57" s="8">
        <f>O$5/12</f>
        <v>0.002057875</v>
      </c>
      <c r="H57" s="8">
        <f t="shared" si="1"/>
        <v>0.024042125</v>
      </c>
      <c r="J57" s="8" t="str">
        <f t="shared" si="2"/>
        <v/>
      </c>
      <c r="T57">
        <v>49</v>
      </c>
      <c r="U57" s="8">
        <f t="shared" si="3"/>
        <v>9.86049000000001e-5</v>
      </c>
      <c r="Y57" s="8" t="str">
        <f t="shared" si="4"/>
        <v/>
      </c>
    </row>
    <row r="58" spans="1:25">
      <c r="A58">
        <v>50</v>
      </c>
      <c r="B58" s="5">
        <v>43770</v>
      </c>
      <c r="C58" s="6">
        <v>90.04</v>
      </c>
      <c r="D58" s="7">
        <v>0.0136</v>
      </c>
      <c r="E58" s="4"/>
      <c r="F58" s="8">
        <f t="shared" si="0"/>
        <v>0.0136</v>
      </c>
      <c r="G58" s="8">
        <f>O$5/12</f>
        <v>0.002057875</v>
      </c>
      <c r="H58" s="8">
        <f t="shared" si="1"/>
        <v>0.011542125</v>
      </c>
      <c r="J58" s="8" t="str">
        <f t="shared" si="2"/>
        <v/>
      </c>
      <c r="T58">
        <v>50</v>
      </c>
      <c r="U58" s="8">
        <f t="shared" si="3"/>
        <v>6.6049e-6</v>
      </c>
      <c r="Y58" s="8" t="str">
        <f t="shared" si="4"/>
        <v/>
      </c>
    </row>
    <row r="59" spans="1:25">
      <c r="A59">
        <v>51</v>
      </c>
      <c r="B59" s="5">
        <v>43739</v>
      </c>
      <c r="C59" s="6">
        <v>88.83</v>
      </c>
      <c r="D59" s="7">
        <v>0.0235</v>
      </c>
      <c r="E59" s="4"/>
      <c r="F59" s="8">
        <f t="shared" si="0"/>
        <v>0.0235</v>
      </c>
      <c r="G59" s="8">
        <f>O$5/12</f>
        <v>0.002057875</v>
      </c>
      <c r="H59" s="8">
        <f t="shared" si="1"/>
        <v>0.021442125</v>
      </c>
      <c r="J59" s="8" t="str">
        <f t="shared" si="2"/>
        <v/>
      </c>
      <c r="T59">
        <v>51</v>
      </c>
      <c r="U59" s="8">
        <f t="shared" si="3"/>
        <v>5.37289e-5</v>
      </c>
      <c r="Y59" s="8" t="str">
        <f t="shared" si="4"/>
        <v/>
      </c>
    </row>
    <row r="60" spans="1:25">
      <c r="A60">
        <v>52</v>
      </c>
      <c r="B60" s="5">
        <v>43709</v>
      </c>
      <c r="C60" s="6">
        <v>86.8</v>
      </c>
      <c r="D60" s="7">
        <v>-0.0227</v>
      </c>
      <c r="E60" s="4"/>
      <c r="F60" s="8">
        <f t="shared" si="0"/>
        <v>-0.0227</v>
      </c>
      <c r="G60" s="8">
        <f>O$5/12</f>
        <v>0.002057875</v>
      </c>
      <c r="H60" s="8">
        <f t="shared" si="1"/>
        <v>-0.024757875</v>
      </c>
      <c r="J60" s="8">
        <f t="shared" si="2"/>
        <v>-0.024757875</v>
      </c>
      <c r="T60">
        <v>52</v>
      </c>
      <c r="U60" s="8">
        <f t="shared" si="3"/>
        <v>0.0015108769</v>
      </c>
      <c r="Y60" s="8">
        <f t="shared" si="4"/>
        <v>0.00183596379972565</v>
      </c>
    </row>
    <row r="61" spans="1:25">
      <c r="A61">
        <v>53</v>
      </c>
      <c r="B61" s="5">
        <v>43678</v>
      </c>
      <c r="C61" s="6">
        <v>88.81</v>
      </c>
      <c r="D61" s="7">
        <v>-0.0485</v>
      </c>
      <c r="E61" s="4"/>
      <c r="F61" s="8">
        <f t="shared" si="0"/>
        <v>-0.0485</v>
      </c>
      <c r="G61" s="8">
        <f>O$5/12</f>
        <v>0.002057875</v>
      </c>
      <c r="H61" s="8">
        <f t="shared" si="1"/>
        <v>-0.050557875</v>
      </c>
      <c r="J61" s="8">
        <f t="shared" si="2"/>
        <v>-0.050557875</v>
      </c>
      <c r="T61">
        <v>53</v>
      </c>
      <c r="U61" s="8">
        <f t="shared" si="3"/>
        <v>0.0041822089</v>
      </c>
      <c r="Y61" s="8">
        <f t="shared" si="4"/>
        <v>0.000290639355281207</v>
      </c>
    </row>
    <row r="62" spans="1:25">
      <c r="A62">
        <v>54</v>
      </c>
      <c r="B62" s="5">
        <v>43647</v>
      </c>
      <c r="C62" s="6">
        <v>93.34</v>
      </c>
      <c r="D62" s="7">
        <v>-0.0142</v>
      </c>
      <c r="E62" s="4"/>
      <c r="F62" s="8">
        <f t="shared" si="0"/>
        <v>-0.0142</v>
      </c>
      <c r="G62" s="8">
        <f>O$5/12</f>
        <v>0.002057875</v>
      </c>
      <c r="H62" s="8">
        <f t="shared" si="1"/>
        <v>-0.016257875</v>
      </c>
      <c r="J62" s="8">
        <f t="shared" si="2"/>
        <v>-0.016257875</v>
      </c>
      <c r="T62">
        <v>54</v>
      </c>
      <c r="U62" s="8">
        <f t="shared" si="3"/>
        <v>0.0009223369</v>
      </c>
      <c r="Y62" s="8">
        <f t="shared" si="4"/>
        <v>0.00263663231824417</v>
      </c>
    </row>
    <row r="63" spans="1:25">
      <c r="A63">
        <v>55</v>
      </c>
      <c r="B63" s="5">
        <v>43617</v>
      </c>
      <c r="C63" s="6">
        <v>94.68</v>
      </c>
      <c r="D63" s="7">
        <v>0.0668</v>
      </c>
      <c r="E63" s="4"/>
      <c r="F63" s="8">
        <f t="shared" si="0"/>
        <v>0.0668</v>
      </c>
      <c r="G63" s="8">
        <f>O$5/12</f>
        <v>0.002057875</v>
      </c>
      <c r="H63" s="8">
        <f t="shared" si="1"/>
        <v>0.064742125</v>
      </c>
      <c r="J63" s="8" t="str">
        <f t="shared" si="2"/>
        <v/>
      </c>
      <c r="T63">
        <v>55</v>
      </c>
      <c r="U63" s="8">
        <f t="shared" si="3"/>
        <v>0.0025633969</v>
      </c>
      <c r="Y63" s="8" t="str">
        <f t="shared" si="4"/>
        <v/>
      </c>
    </row>
    <row r="64" spans="1:25">
      <c r="A64">
        <v>56</v>
      </c>
      <c r="B64" s="5">
        <v>43586</v>
      </c>
      <c r="C64" s="6">
        <v>88.75</v>
      </c>
      <c r="D64" s="7">
        <v>-0.0786</v>
      </c>
      <c r="E64" s="4"/>
      <c r="F64" s="8">
        <f t="shared" si="0"/>
        <v>-0.0786</v>
      </c>
      <c r="G64" s="8">
        <f>O$5/12</f>
        <v>0.002057875</v>
      </c>
      <c r="H64" s="8">
        <f t="shared" si="1"/>
        <v>-0.080657875</v>
      </c>
      <c r="J64" s="8">
        <f t="shared" si="2"/>
        <v>-0.080657875</v>
      </c>
      <c r="T64">
        <v>56</v>
      </c>
      <c r="U64" s="8">
        <f t="shared" si="3"/>
        <v>0.0089813529</v>
      </c>
      <c r="Y64" s="8">
        <f t="shared" si="4"/>
        <v>0.000170350836762689</v>
      </c>
    </row>
    <row r="65" spans="1:25">
      <c r="A65">
        <v>57</v>
      </c>
      <c r="B65" s="5">
        <v>43556</v>
      </c>
      <c r="C65" s="6">
        <v>96.33</v>
      </c>
      <c r="D65" s="7">
        <v>0.0819</v>
      </c>
      <c r="E65" s="4"/>
      <c r="F65" s="8">
        <f t="shared" si="0"/>
        <v>0.0819</v>
      </c>
      <c r="G65" s="8">
        <f>O$5/12</f>
        <v>0.002057875</v>
      </c>
      <c r="H65" s="8">
        <f t="shared" si="1"/>
        <v>0.079842125</v>
      </c>
      <c r="J65" s="8" t="str">
        <f t="shared" si="2"/>
        <v/>
      </c>
      <c r="T65">
        <v>57</v>
      </c>
      <c r="U65" s="8">
        <f t="shared" si="3"/>
        <v>0.0043204329</v>
      </c>
      <c r="Y65" s="8" t="str">
        <f t="shared" si="4"/>
        <v/>
      </c>
    </row>
    <row r="66" spans="1:25">
      <c r="A66">
        <v>58</v>
      </c>
      <c r="B66" s="5">
        <v>43525</v>
      </c>
      <c r="C66" s="6">
        <v>89.04</v>
      </c>
      <c r="D66" s="7">
        <v>0.0859</v>
      </c>
      <c r="E66" s="4"/>
      <c r="F66" s="8">
        <f t="shared" si="0"/>
        <v>0.0859</v>
      </c>
      <c r="G66" s="8">
        <f>O$5/12</f>
        <v>0.002057875</v>
      </c>
      <c r="H66" s="8">
        <f t="shared" si="1"/>
        <v>0.083842125</v>
      </c>
      <c r="J66" s="8" t="str">
        <f t="shared" si="2"/>
        <v/>
      </c>
      <c r="T66">
        <v>58</v>
      </c>
      <c r="U66" s="8">
        <f t="shared" si="3"/>
        <v>0.0048622729</v>
      </c>
      <c r="Y66" s="8" t="str">
        <f t="shared" si="4"/>
        <v/>
      </c>
    </row>
    <row r="67" spans="1:25">
      <c r="A67">
        <v>59</v>
      </c>
      <c r="B67" s="5">
        <v>43497</v>
      </c>
      <c r="C67" s="6">
        <v>81.99</v>
      </c>
      <c r="D67" s="7">
        <v>-0.0459</v>
      </c>
      <c r="E67" s="4"/>
      <c r="F67" s="8">
        <f t="shared" si="0"/>
        <v>-0.0459</v>
      </c>
      <c r="G67" s="8">
        <f>O$5/12</f>
        <v>0.002057875</v>
      </c>
      <c r="H67" s="8">
        <f t="shared" si="1"/>
        <v>-0.047957875</v>
      </c>
      <c r="J67" s="8">
        <f t="shared" si="2"/>
        <v>-0.047957875</v>
      </c>
      <c r="T67">
        <v>59</v>
      </c>
      <c r="U67" s="8">
        <f t="shared" si="3"/>
        <v>0.0038526849</v>
      </c>
      <c r="Y67" s="8">
        <f t="shared" si="4"/>
        <v>0.000386049725651577</v>
      </c>
    </row>
    <row r="68" spans="1:25">
      <c r="A68">
        <v>60</v>
      </c>
      <c r="B68" s="5">
        <v>43466</v>
      </c>
      <c r="C68" s="6">
        <v>85.94</v>
      </c>
      <c r="D68" s="7">
        <v>0.1443</v>
      </c>
      <c r="E68" s="4"/>
      <c r="F68" s="8">
        <f t="shared" si="0"/>
        <v>0.1443</v>
      </c>
      <c r="G68" s="8">
        <f>O$5/12</f>
        <v>0.002057875</v>
      </c>
      <c r="H68" s="8">
        <f t="shared" si="1"/>
        <v>0.142242125</v>
      </c>
      <c r="J68" s="8" t="str">
        <f t="shared" si="2"/>
        <v/>
      </c>
      <c r="T68">
        <v>60</v>
      </c>
      <c r="U68" s="8">
        <f t="shared" si="3"/>
        <v>0.0164172969</v>
      </c>
      <c r="Y68" s="8" t="str">
        <f t="shared" si="4"/>
        <v/>
      </c>
    </row>
    <row r="69" spans="5:7">
      <c r="E69" s="4"/>
      <c r="F69" s="4"/>
      <c r="G69" s="8"/>
    </row>
    <row r="70" spans="5:25">
      <c r="E70" s="4"/>
      <c r="F70" s="4"/>
      <c r="G70" s="8"/>
      <c r="U70" s="21">
        <f>SUM(U9:U69)</f>
        <v>0.537087486</v>
      </c>
      <c r="Y70" s="21">
        <f>SUM(Y9:Y69)</f>
        <v>0.0608522274074074</v>
      </c>
    </row>
    <row r="71" spans="2:10">
      <c r="B71" s="18"/>
      <c r="C71" s="19"/>
      <c r="D71" s="20"/>
      <c r="E71" s="4"/>
      <c r="F71" s="4"/>
      <c r="G71" s="4"/>
      <c r="J71" s="8"/>
    </row>
    <row r="72" spans="2:7">
      <c r="B72" s="18"/>
      <c r="C72" s="19"/>
      <c r="D72" s="20"/>
      <c r="E72" s="4"/>
      <c r="F72" s="4"/>
      <c r="G72" s="4"/>
    </row>
    <row r="73" spans="2:7">
      <c r="B73" s="18"/>
      <c r="C73" s="19"/>
      <c r="D73" s="20"/>
      <c r="E73" s="4"/>
      <c r="F73" s="4"/>
      <c r="G73" s="4"/>
    </row>
    <row r="74" spans="2:7">
      <c r="B74" s="18"/>
      <c r="C74" s="19"/>
      <c r="D74" s="20"/>
      <c r="E74" s="4"/>
      <c r="F74" s="4"/>
      <c r="G74" s="4"/>
    </row>
    <row r="75" spans="2:7">
      <c r="B75" s="18"/>
      <c r="C75" s="19"/>
      <c r="D75" s="20"/>
      <c r="E75" s="4"/>
      <c r="F75" s="4"/>
      <c r="G75" s="4"/>
    </row>
    <row r="76" spans="2:7">
      <c r="B76" s="18"/>
      <c r="C76" s="19"/>
      <c r="D76" s="20"/>
      <c r="E76" s="4"/>
      <c r="F76" s="4"/>
      <c r="G76" s="4"/>
    </row>
    <row r="77" spans="2:7">
      <c r="B77" s="18"/>
      <c r="C77" s="19"/>
      <c r="D77" s="20"/>
      <c r="E77" s="4"/>
      <c r="F77" s="4"/>
      <c r="G77" s="4"/>
    </row>
    <row r="78" spans="2:7">
      <c r="B78" s="18"/>
      <c r="C78" s="19"/>
      <c r="D78" s="20"/>
      <c r="E78" s="4"/>
      <c r="F78" s="4"/>
      <c r="G78" s="4"/>
    </row>
    <row r="79" spans="2:7">
      <c r="B79" s="18"/>
      <c r="C79" s="19"/>
      <c r="D79" s="20"/>
      <c r="E79" s="4"/>
      <c r="F79" s="4"/>
      <c r="G79" s="4"/>
    </row>
    <row r="80" spans="2:7">
      <c r="B80" s="18"/>
      <c r="C80" s="19"/>
      <c r="D80" s="20"/>
      <c r="E80" s="4"/>
      <c r="F80" s="4"/>
      <c r="G80" s="4"/>
    </row>
    <row r="81" spans="2:7">
      <c r="B81" s="18"/>
      <c r="C81" s="19"/>
      <c r="D81" s="20"/>
      <c r="E81" s="4"/>
      <c r="F81" s="4"/>
      <c r="G81" s="4"/>
    </row>
    <row r="82" spans="2:7">
      <c r="B82" s="18"/>
      <c r="C82" s="19"/>
      <c r="D82" s="20"/>
      <c r="E82" s="4"/>
      <c r="F82" s="4"/>
      <c r="G82" s="4"/>
    </row>
    <row r="83" spans="2:7">
      <c r="B83" s="18"/>
      <c r="C83" s="19"/>
      <c r="D83" s="20"/>
      <c r="E83" s="4"/>
      <c r="F83" s="4"/>
      <c r="G83" s="4"/>
    </row>
    <row r="84" spans="2:7">
      <c r="B84" s="18"/>
      <c r="C84" s="19"/>
      <c r="D84" s="20"/>
      <c r="E84" s="4"/>
      <c r="F84" s="4"/>
      <c r="G84" s="4"/>
    </row>
    <row r="85" spans="2:7">
      <c r="B85" s="18"/>
      <c r="C85" s="19"/>
      <c r="D85" s="20"/>
      <c r="E85" s="4"/>
      <c r="F85" s="4"/>
      <c r="G85" s="4"/>
    </row>
    <row r="86" spans="2:7">
      <c r="B86" s="18"/>
      <c r="C86" s="19"/>
      <c r="D86" s="20"/>
      <c r="E86" s="4"/>
      <c r="F86" s="4"/>
      <c r="G86" s="4"/>
    </row>
    <row r="87" spans="2:7">
      <c r="B87" s="18"/>
      <c r="C87" s="19"/>
      <c r="D87" s="20"/>
      <c r="E87" s="4"/>
      <c r="F87" s="4"/>
      <c r="G87" s="4"/>
    </row>
    <row r="88" spans="2:7">
      <c r="B88" s="18"/>
      <c r="C88" s="19"/>
      <c r="D88" s="20"/>
      <c r="E88" s="4"/>
      <c r="F88" s="4"/>
      <c r="G88" s="4"/>
    </row>
    <row r="89" spans="2:7">
      <c r="B89" s="18"/>
      <c r="C89" s="19"/>
      <c r="D89" s="20"/>
      <c r="E89" s="4"/>
      <c r="F89" s="4"/>
      <c r="G89" s="4"/>
    </row>
    <row r="90" spans="2:7">
      <c r="B90" s="18"/>
      <c r="C90" s="19"/>
      <c r="D90" s="20"/>
      <c r="E90" s="4"/>
      <c r="F90" s="4"/>
      <c r="G90" s="4"/>
    </row>
    <row r="91" spans="2:7">
      <c r="B91" s="18"/>
      <c r="C91" s="19"/>
      <c r="D91" s="20"/>
      <c r="E91" s="4"/>
      <c r="F91" s="4"/>
      <c r="G91" s="4"/>
    </row>
    <row r="92" spans="2:7">
      <c r="B92" s="18"/>
      <c r="C92" s="19"/>
      <c r="D92" s="20"/>
      <c r="E92" s="4"/>
      <c r="F92" s="4"/>
      <c r="G92" s="4"/>
    </row>
    <row r="93" spans="2:7">
      <c r="B93" s="18"/>
      <c r="C93" s="19"/>
      <c r="D93" s="20"/>
      <c r="E93" s="4"/>
      <c r="F93" s="4"/>
      <c r="G93" s="4"/>
    </row>
    <row r="94" spans="2:7">
      <c r="B94" s="18"/>
      <c r="C94" s="19"/>
      <c r="D94" s="20"/>
      <c r="E94" s="4"/>
      <c r="F94" s="4"/>
      <c r="G94" s="4"/>
    </row>
    <row r="95" spans="2:7">
      <c r="B95" s="18"/>
      <c r="C95" s="19"/>
      <c r="D95" s="20"/>
      <c r="E95" s="4"/>
      <c r="F95" s="4"/>
      <c r="G95" s="4"/>
    </row>
    <row r="96" spans="2:7">
      <c r="B96" s="18"/>
      <c r="C96" s="19"/>
      <c r="D96" s="20"/>
      <c r="E96" s="4"/>
      <c r="F96" s="4"/>
      <c r="G96" s="4"/>
    </row>
    <row r="97" spans="2:7">
      <c r="B97" s="18"/>
      <c r="C97" s="19"/>
      <c r="D97" s="20"/>
      <c r="E97" s="4"/>
      <c r="F97" s="4"/>
      <c r="G97" s="4"/>
    </row>
    <row r="98" spans="2:7">
      <c r="B98" s="18"/>
      <c r="C98" s="19"/>
      <c r="D98" s="20"/>
      <c r="E98" s="4"/>
      <c r="F98" s="4"/>
      <c r="G98" s="4"/>
    </row>
    <row r="99" spans="2:7">
      <c r="B99" s="18"/>
      <c r="C99" s="19"/>
      <c r="D99" s="20"/>
      <c r="E99" s="4"/>
      <c r="F99" s="4"/>
      <c r="G99" s="4"/>
    </row>
    <row r="100" spans="2:7">
      <c r="B100" s="18"/>
      <c r="C100" s="19"/>
      <c r="D100" s="20"/>
      <c r="E100" s="4"/>
      <c r="F100" s="4"/>
      <c r="G100" s="4"/>
    </row>
    <row r="101" spans="2:7">
      <c r="B101" s="18"/>
      <c r="C101" s="19"/>
      <c r="D101" s="20"/>
      <c r="E101" s="4"/>
      <c r="F101" s="4"/>
      <c r="G101" s="4"/>
    </row>
    <row r="102" spans="2:7">
      <c r="B102" s="18"/>
      <c r="C102" s="19"/>
      <c r="D102" s="20"/>
      <c r="E102" s="4"/>
      <c r="F102" s="4"/>
      <c r="G102" s="4"/>
    </row>
    <row r="103" spans="2:7">
      <c r="B103" s="18"/>
      <c r="C103" s="19"/>
      <c r="D103" s="20"/>
      <c r="E103" s="4"/>
      <c r="F103" s="4"/>
      <c r="G103" s="4"/>
    </row>
    <row r="104" spans="2:7">
      <c r="B104" s="18"/>
      <c r="C104" s="19"/>
      <c r="D104" s="20"/>
      <c r="E104" s="4"/>
      <c r="F104" s="4"/>
      <c r="G104" s="4"/>
    </row>
    <row r="105" spans="2:7">
      <c r="B105" s="18"/>
      <c r="C105" s="19"/>
      <c r="D105" s="20"/>
      <c r="E105" s="4"/>
      <c r="F105" s="4"/>
      <c r="G105" s="4"/>
    </row>
    <row r="106" spans="2:7">
      <c r="B106" s="18"/>
      <c r="C106" s="19"/>
      <c r="D106" s="20"/>
      <c r="E106" s="4"/>
      <c r="F106" s="4"/>
      <c r="G106" s="4"/>
    </row>
    <row r="107" spans="2:7">
      <c r="B107" s="18"/>
      <c r="C107" s="19"/>
      <c r="D107" s="20"/>
      <c r="E107" s="4"/>
      <c r="F107" s="4"/>
      <c r="G107" s="4"/>
    </row>
    <row r="108" spans="2:7">
      <c r="B108" s="18"/>
      <c r="C108" s="19"/>
      <c r="D108" s="20"/>
      <c r="E108" s="4"/>
      <c r="F108" s="4"/>
      <c r="G108" s="4"/>
    </row>
    <row r="109" spans="2:7">
      <c r="B109" s="18"/>
      <c r="C109" s="19"/>
      <c r="D109" s="20"/>
      <c r="E109" s="4"/>
      <c r="F109" s="4"/>
      <c r="G109" s="4"/>
    </row>
    <row r="110" spans="2:7">
      <c r="B110" s="18"/>
      <c r="C110" s="19"/>
      <c r="D110" s="20"/>
      <c r="E110" s="4"/>
      <c r="F110" s="4"/>
      <c r="G110" s="4"/>
    </row>
    <row r="111" spans="2:7">
      <c r="B111" s="18"/>
      <c r="C111" s="19"/>
      <c r="D111" s="20"/>
      <c r="E111" s="4"/>
      <c r="F111" s="4"/>
      <c r="G111" s="4"/>
    </row>
    <row r="112" spans="2:7">
      <c r="B112" s="18"/>
      <c r="C112" s="19"/>
      <c r="D112" s="20"/>
      <c r="E112" s="4"/>
      <c r="F112" s="4"/>
      <c r="G112" s="4"/>
    </row>
    <row r="113" spans="2:7">
      <c r="B113" s="18"/>
      <c r="C113" s="19"/>
      <c r="D113" s="20"/>
      <c r="E113" s="4"/>
      <c r="F113" s="4"/>
      <c r="G113" s="4"/>
    </row>
    <row r="114" spans="2:7">
      <c r="B114" s="18"/>
      <c r="C114" s="19"/>
      <c r="D114" s="20"/>
      <c r="E114" s="4"/>
      <c r="F114" s="4"/>
      <c r="G114" s="4"/>
    </row>
    <row r="115" spans="2:7">
      <c r="B115" s="18"/>
      <c r="C115" s="19"/>
      <c r="D115" s="20"/>
      <c r="E115" s="4"/>
      <c r="F115" s="4"/>
      <c r="G115" s="4"/>
    </row>
    <row r="116" spans="2:7">
      <c r="B116" s="18"/>
      <c r="C116" s="19"/>
      <c r="D116" s="20"/>
      <c r="E116" s="4"/>
      <c r="F116" s="4"/>
      <c r="G116" s="4"/>
    </row>
    <row r="117" spans="2:7">
      <c r="B117" s="18"/>
      <c r="C117" s="19"/>
      <c r="D117" s="20"/>
      <c r="E117" s="4"/>
      <c r="F117" s="4"/>
      <c r="G117" s="4"/>
    </row>
    <row r="118" spans="2:7">
      <c r="B118" s="18"/>
      <c r="C118" s="19"/>
      <c r="D118" s="20"/>
      <c r="E118" s="4"/>
      <c r="F118" s="4"/>
      <c r="G118" s="4"/>
    </row>
    <row r="119" spans="2:7">
      <c r="B119" s="18"/>
      <c r="C119" s="19"/>
      <c r="D119" s="20"/>
      <c r="E119" s="4"/>
      <c r="F119" s="4"/>
      <c r="G119" s="4"/>
    </row>
    <row r="120" spans="2:7">
      <c r="B120" s="18"/>
      <c r="C120" s="19"/>
      <c r="D120" s="20"/>
      <c r="E120" s="4"/>
      <c r="F120" s="4"/>
      <c r="G120" s="4"/>
    </row>
    <row r="121" spans="2:7">
      <c r="B121" s="18"/>
      <c r="C121" s="19"/>
      <c r="D121" s="20"/>
      <c r="E121" s="4"/>
      <c r="F121" s="4"/>
      <c r="G121" s="4"/>
    </row>
    <row r="122" spans="2:7">
      <c r="B122" s="18"/>
      <c r="C122" s="19"/>
      <c r="D122" s="20"/>
      <c r="E122" s="4"/>
      <c r="F122" s="4"/>
      <c r="G122" s="4"/>
    </row>
    <row r="123" spans="2:7">
      <c r="B123" s="18"/>
      <c r="C123" s="19"/>
      <c r="D123" s="20"/>
      <c r="E123" s="4"/>
      <c r="F123" s="4"/>
      <c r="G123" s="4"/>
    </row>
    <row r="124" spans="2:7">
      <c r="B124" s="18"/>
      <c r="C124" s="19"/>
      <c r="D124" s="20"/>
      <c r="E124" s="4"/>
      <c r="F124" s="4"/>
      <c r="G124" s="4"/>
    </row>
    <row r="125" spans="2:7">
      <c r="B125" s="18"/>
      <c r="C125" s="19"/>
      <c r="D125" s="20"/>
      <c r="E125" s="4"/>
      <c r="F125" s="4"/>
      <c r="G125" s="4"/>
    </row>
    <row r="126" spans="2:7">
      <c r="B126" s="18"/>
      <c r="C126" s="19"/>
      <c r="D126" s="20"/>
      <c r="E126" s="4"/>
      <c r="F126" s="4"/>
      <c r="G126" s="4"/>
    </row>
    <row r="127" spans="2:7">
      <c r="B127" s="18"/>
      <c r="C127" s="19"/>
      <c r="D127" s="20"/>
      <c r="E127" s="4"/>
      <c r="F127" s="4"/>
      <c r="G127" s="4"/>
    </row>
    <row r="128" spans="2:7">
      <c r="B128" s="18"/>
      <c r="C128" s="19"/>
      <c r="D128" s="20"/>
      <c r="E128" s="4"/>
      <c r="F128" s="4"/>
      <c r="G128" s="4"/>
    </row>
    <row r="129" spans="2:7">
      <c r="B129" s="18"/>
      <c r="C129" s="19"/>
      <c r="D129" s="20"/>
      <c r="E129" s="4"/>
      <c r="F129" s="4"/>
      <c r="G129" s="4"/>
    </row>
    <row r="130" spans="2:7">
      <c r="B130" s="18"/>
      <c r="C130" s="19"/>
      <c r="D130" s="20"/>
      <c r="E130" s="4"/>
      <c r="F130" s="4"/>
      <c r="G130" s="4"/>
    </row>
    <row r="131" spans="2:7">
      <c r="B131" s="18"/>
      <c r="C131" s="19"/>
      <c r="D131" s="20"/>
      <c r="E131" s="4"/>
      <c r="F131" s="4"/>
      <c r="G131" s="4"/>
    </row>
    <row r="132" spans="2:7">
      <c r="B132" s="18"/>
      <c r="C132" s="19"/>
      <c r="D132" s="20"/>
      <c r="E132" s="4"/>
      <c r="F132" s="4"/>
      <c r="G132" s="4"/>
    </row>
    <row r="133" spans="2:7">
      <c r="B133" s="18"/>
      <c r="C133" s="19"/>
      <c r="D133" s="20"/>
      <c r="E133" s="4"/>
      <c r="F133" s="4"/>
      <c r="G133" s="4"/>
    </row>
    <row r="134" spans="2:7">
      <c r="B134" s="18"/>
      <c r="C134" s="19"/>
      <c r="D134" s="20"/>
      <c r="E134" s="4"/>
      <c r="F134" s="4"/>
      <c r="G134" s="4"/>
    </row>
    <row r="135" spans="2:7">
      <c r="B135" s="18"/>
      <c r="C135" s="19"/>
      <c r="D135" s="20"/>
      <c r="E135" s="4"/>
      <c r="F135" s="4"/>
      <c r="G135" s="4"/>
    </row>
    <row r="136" spans="2:7">
      <c r="B136" s="18"/>
      <c r="C136" s="19"/>
      <c r="D136" s="20"/>
      <c r="E136" s="4"/>
      <c r="F136" s="4"/>
      <c r="G136" s="4"/>
    </row>
    <row r="137" spans="2:7">
      <c r="B137" s="18"/>
      <c r="C137" s="19"/>
      <c r="D137" s="20"/>
      <c r="E137" s="4"/>
      <c r="F137" s="4"/>
      <c r="G137" s="4"/>
    </row>
    <row r="138" spans="2:7">
      <c r="B138" s="18"/>
      <c r="C138" s="19"/>
      <c r="D138" s="20"/>
      <c r="E138" s="4"/>
      <c r="F138" s="4"/>
      <c r="G138" s="4"/>
    </row>
    <row r="139" spans="2:7">
      <c r="B139" s="18"/>
      <c r="C139" s="19"/>
      <c r="D139" s="20"/>
      <c r="E139" s="4"/>
      <c r="F139" s="4"/>
      <c r="G139" s="4"/>
    </row>
    <row r="140" spans="2:7">
      <c r="B140" s="18"/>
      <c r="C140" s="19"/>
      <c r="D140" s="20"/>
      <c r="E140" s="4"/>
      <c r="F140" s="4"/>
      <c r="G140" s="4"/>
    </row>
    <row r="141" spans="2:7">
      <c r="B141" s="18"/>
      <c r="C141" s="19"/>
      <c r="D141" s="20"/>
      <c r="E141" s="4"/>
      <c r="F141" s="4"/>
      <c r="G141" s="4"/>
    </row>
    <row r="142" spans="2:7">
      <c r="B142" s="18"/>
      <c r="C142" s="19"/>
      <c r="D142" s="20"/>
      <c r="E142" s="4"/>
      <c r="F142" s="4"/>
      <c r="G14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Overall</vt:lpstr>
      <vt:lpstr>FS</vt:lpstr>
      <vt:lpstr>Sharpe, Sortino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2025-01-10T20:17:13Z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