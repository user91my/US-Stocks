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yWindow="5730" windowWidth="9210" windowHeight="6570"/>
    <workbookView windowWidth="28800" windowHeight="11850" firstSheet="1" activeTab="1"/>
  </bookViews>
  <sheets>
    <sheet name="Overall" sheetId="8" r:id="rId1"/>
    <sheet name="FS" sheetId="3" r:id="rId2"/>
    <sheet name="Sharpe, Sortino" sheetId="9"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7" authorId="0">
      <text>
        <r>
          <rPr>
            <b/>
            <sz val="9"/>
            <rFont val="Times New Roman"/>
            <charset val="0"/>
          </rPr>
          <t>core2quad:</t>
        </r>
        <r>
          <rPr>
            <sz val="9"/>
            <rFont val="Times New Roman"/>
            <charset val="0"/>
          </rPr>
          <t xml:space="preserve">
includes Russia &amp; Turkey</t>
        </r>
      </text>
    </comment>
    <comment ref="D8" authorId="0">
      <text>
        <r>
          <rPr>
            <b/>
            <sz val="9"/>
            <rFont val="Times New Roman"/>
            <charset val="0"/>
          </rPr>
          <t>core2quad:</t>
        </r>
        <r>
          <rPr>
            <sz val="9"/>
            <rFont val="Times New Roman"/>
            <charset val="0"/>
          </rPr>
          <t xml:space="preserve">
includes China</t>
        </r>
      </text>
    </comment>
    <comment ref="D9" authorId="0">
      <text>
        <r>
          <rPr>
            <b/>
            <sz val="9"/>
            <rFont val="Times New Roman"/>
            <charset val="0"/>
          </rPr>
          <t>core2quad:</t>
        </r>
        <r>
          <rPr>
            <sz val="9"/>
            <rFont val="Times New Roman"/>
            <charset val="0"/>
          </rPr>
          <t xml:space="preserve">
includes Africa, Latin America &amp; Middle East</t>
        </r>
      </text>
    </comment>
    <comment ref="D15" authorId="0">
      <text>
        <r>
          <rPr>
            <b/>
            <sz val="9"/>
            <rFont val="Times New Roman"/>
            <charset val="0"/>
          </rPr>
          <t>core2quad:</t>
        </r>
        <r>
          <rPr>
            <sz val="9"/>
            <rFont val="Times New Roman"/>
            <charset val="0"/>
          </rPr>
          <t xml:space="preserve">
Reality Labs, formerly Oculus VR, is a business and research unit of Meta Platforms (formerly Facebook Inc.) that produces virtual reality (VR) and augmented reality (AR) hardware and software, including virtual reality headsets such as the Quest, and online platforms such as Horizon Worlds. In June 2022, several artificial intelligence (AI) initiatives that were previously a part of Meta AI were transitioned to Reality Labs. This also includes Meta's fundamental AI Research laboratory FAIR which is now part of the Reality Labs - Research (RLR) division.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<sst xmlns="http://schemas.openxmlformats.org/spreadsheetml/2006/main" count="276" uniqueCount="196">
  <si>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</si>
  <si>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</si>
  <si>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</si>
  <si>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</si>
  <si>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</si>
  <si>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</si>
  <si>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</si>
  <si>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</si>
  <si>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</si>
  <si>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</si>
  <si>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</si>
  <si>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</si>
  <si>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</si>
  <si>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</si>
  <si>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</si>
  <si>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</si>
  <si>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</si>
  <si>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</si>
  <si>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</si>
  <si>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</si>
  <si>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</si>
  <si>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</si>
  <si>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</si>
  <si>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</si>
  <si>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</si>
  <si>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</si>
  <si>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</si>
  <si>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</si>
  <si>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</si>
  <si>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</si>
  <si>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31/12</t>
  </si>
  <si>
    <t>&lt; Figures are in millions &gt;</t>
  </si>
  <si>
    <t>Y/E 31/12</t>
  </si>
  <si>
    <t>Annualized</t>
  </si>
  <si>
    <t>Average</t>
  </si>
  <si>
    <t>Median</t>
  </si>
  <si>
    <t>Std Dev</t>
  </si>
  <si>
    <t>Revenue By Geography</t>
  </si>
  <si>
    <t>United States &amp; Canada</t>
  </si>
  <si>
    <t>Europe</t>
  </si>
  <si>
    <t>Asia Pacific</t>
  </si>
  <si>
    <t>Rest of World</t>
  </si>
  <si>
    <t>Total Revenues</t>
  </si>
  <si>
    <t>Revenue by Segments</t>
  </si>
  <si>
    <t>Advertising</t>
  </si>
  <si>
    <t>Others</t>
  </si>
  <si>
    <t>Reality Labs</t>
  </si>
  <si>
    <t>Operating Income/(loss) Breakdown</t>
  </si>
  <si>
    <t>Undisclosed</t>
  </si>
  <si>
    <t>Advertising &amp; Others ("Family of Apps")</t>
  </si>
  <si>
    <t>Total Operating Income</t>
  </si>
  <si>
    <t>Composition By Geography</t>
  </si>
  <si>
    <t>Composition By Segments</t>
  </si>
  <si>
    <t>Revenue Growth by Segments (%)</t>
  </si>
  <si>
    <t>TOTAL REVENUE GROWTH (%)</t>
  </si>
  <si>
    <t>Operating Income Growth (%)</t>
  </si>
  <si>
    <t>OPERATING INCOME GROWTH (%)</t>
  </si>
  <si>
    <t>P&amp;L</t>
  </si>
  <si>
    <t>Revenue</t>
  </si>
  <si>
    <t>Cost of Revenue</t>
  </si>
  <si>
    <t>Gross Profit</t>
  </si>
  <si>
    <t>GP margin (%)</t>
  </si>
  <si>
    <t>Research &amp; Development</t>
  </si>
  <si>
    <t>Marketing and Sales</t>
  </si>
  <si>
    <t>Genral and Administrative</t>
  </si>
  <si>
    <t>Total Cost &amp; Expenses</t>
  </si>
  <si>
    <t>Operating Income</t>
  </si>
  <si>
    <t>Operating margin (%)</t>
  </si>
  <si>
    <t>Other Income / (expense), Net</t>
  </si>
  <si>
    <t>Income before provision for income taxes</t>
  </si>
  <si>
    <t>Provision for income taxes</t>
  </si>
  <si>
    <t>Net Income</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</si>
  <si>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</si>
  <si>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</si>
  <si>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</si>
  <si>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</si>
  <si>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</si>
  <si>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</si>
  <si>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</si>
  <si>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</si>
  <si>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</si>
  <si>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</si>
  <si>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</si>
  <si>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</si>
  <si>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Dividend / Share</t>
  </si>
  <si>
    <t>Dividend yield</t>
  </si>
  <si>
    <t>Balance Sheet</t>
  </si>
  <si>
    <t>Current Assets</t>
  </si>
  <si>
    <t>Cash &amp; Cash Equivalents</t>
  </si>
  <si>
    <t>Marketable Securities</t>
  </si>
  <si>
    <t>Accounts Receivables</t>
  </si>
  <si>
    <t>Prepayments &amp; other current assets</t>
  </si>
  <si>
    <t>Total Current Assets</t>
  </si>
  <si>
    <t>Non-Current Assets</t>
  </si>
  <si>
    <t>Non-Marketable Securities</t>
  </si>
  <si>
    <t>Property &amp; Equipment</t>
  </si>
  <si>
    <t>Operating Lease Assets</t>
  </si>
  <si>
    <t>Intangible Assets, net</t>
  </si>
  <si>
    <t>Goodwill</t>
  </si>
  <si>
    <t>Other Non-Current Assets</t>
  </si>
  <si>
    <t>Total Non-Current Assets</t>
  </si>
  <si>
    <t>Total Assets</t>
  </si>
  <si>
    <t>Current Liabilities</t>
  </si>
  <si>
    <t>Accounts Payable</t>
  </si>
  <si>
    <t>Partners payable</t>
  </si>
  <si>
    <t>Operating Lease Liabilities</t>
  </si>
  <si>
    <t>Accrued and other current liabilities</t>
  </si>
  <si>
    <t>Total Current Liabilities</t>
  </si>
  <si>
    <t>Non-Current Liabilities</t>
  </si>
  <si>
    <t>Long-Term Debt</t>
  </si>
  <si>
    <t>Other long-term liabilities</t>
  </si>
  <si>
    <t>Total Non-Current Liabilities</t>
  </si>
  <si>
    <t>Total Liabilities</t>
  </si>
  <si>
    <t>Equity</t>
  </si>
  <si>
    <t>Share Capital</t>
  </si>
  <si>
    <t>Additional paid-in capital (share premium)</t>
  </si>
  <si>
    <t>Accumulated other comprehensive income / (loss)</t>
  </si>
  <si>
    <t>Retained Earnings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</si>
  <si>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</si>
  <si>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</si>
  <si>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</si>
  <si>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</si>
  <si>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</si>
  <si>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</si>
  <si>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</si>
  <si>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</si>
  <si>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</si>
  <si>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</si>
  <si>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Depreciation &amp; Amortization</t>
  </si>
  <si>
    <t>Stock-based compensation expense</t>
  </si>
  <si>
    <t>Deferred Income Taxes</t>
  </si>
  <si>
    <t>Impairment charges for facilities consolidation</t>
  </si>
  <si>
    <t>Data center assets abandonment</t>
  </si>
  <si>
    <t>Other</t>
  </si>
  <si>
    <t>Changes in Assets &amp; Liabilities</t>
  </si>
  <si>
    <t>Cash Flow from Operating Activities</t>
  </si>
  <si>
    <t>Investing Activities</t>
  </si>
  <si>
    <t>Purchases of PPE (CapEx)</t>
  </si>
  <si>
    <t>Proceeds relating to PPE</t>
  </si>
  <si>
    <t>Purchases of marketable securities</t>
  </si>
  <si>
    <t>Maturities &amp; Sales of Marketable Securities</t>
  </si>
  <si>
    <t>Acquisitions of businesses and intangible assets</t>
  </si>
  <si>
    <t>Other investing activities</t>
  </si>
  <si>
    <t>Cash Flow from Investing Activities</t>
  </si>
  <si>
    <t>Financing Activities</t>
  </si>
  <si>
    <t>Taxes paid related to settlement of equity awards</t>
  </si>
  <si>
    <t>Repurchases of stock (buybacks)</t>
  </si>
  <si>
    <t>Proceeds from issuance of shares</t>
  </si>
  <si>
    <t>Proceeds of debt issuance</t>
  </si>
  <si>
    <t>Principal payments on finance leases</t>
  </si>
  <si>
    <t>Dividends</t>
  </si>
  <si>
    <t>Cash Flow from Financing Activities</t>
  </si>
  <si>
    <t>Effect of Exchange Rate Changes</t>
  </si>
  <si>
    <t>Net Increase / (Decrease) in cash and cash equivalents</t>
  </si>
  <si>
    <t>Cash &amp; cash equivalents at the beginning of the period</t>
  </si>
  <si>
    <t>Cash &amp; cash equivalents at the end of the period</t>
  </si>
  <si>
    <t>Free Cash Flow (FCF)</t>
  </si>
  <si>
    <t>FCF / share</t>
  </si>
  <si>
    <t>META Monthly Price Changes (5 years)</t>
  </si>
  <si>
    <t>United States 10-Year Bond Yield</t>
  </si>
  <si>
    <t>https://www.investing.com/equities/nvidia-corp-historical-data</t>
  </si>
  <si>
    <t>https://www.investing.com/rates-bonds/u.s.-10-year-bond-yield-historical-data</t>
  </si>
  <si>
    <t>Jan'19 - Dec'23</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</si>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</sst>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1"/>
      <color theme="1"/>
      <name val="Calibri"/>
      <charset val="134"/>
      <scheme val="minor"/>
    </font>
    <font>
      <b/>
      <i/>
      <u/>
      <sz val="11"/>
      <color theme="1"/>
      <name val="Calibri"/>
      <charset val="134"/>
      <scheme val="minor"/>
    </font>
    <font>
      <b/>
      <i/>
      <sz val="11"/>
      <color theme="1"/>
      <name val="Calibri"/>
      <charset val="134"/>
      <scheme val="minor"/>
    </font>
    <font>
      <i/>
      <sz val="11"/>
      <color theme="1"/>
      <name val="Calibri"/>
      <charset val="134"/>
      <scheme val="minor"/>
    </font>
    <font>
      <b/>
      <u/>
      <sz val="12"/>
      <color theme="1"/>
      <name val="Calibri"/>
      <charset val="134"/>
      <scheme val="minor"/>
    </font>
    <font>
      <sz val="10"/>
      <color theme="1"/>
      <name val="Calibri"/>
      <charset val="134"/>
      <scheme val="minor"/>
    </font>
    <font>
      <b/>
      <i/>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b/>
      <sz val="9"/>
      <name val="Times New Roman"/>
      <charset val="0"/>
    </font>
    <font>
      <sz val="9"/>
      <name val="Times New Roman"/>
      <charset val="0"/>
    </font>
  </fonts>
  <fills count="36">
    <fill>
      <patternFill patternType="none"/>
    </fill>
    <fill>
      <patternFill patternType="gray125"/>
    </fill>
    <fill>
      <patternFill patternType="solid">
        <fgColor rgb="FFFFFF00"/>
        <bgColor indexed="64"/>
      </patternFill>
    </fill>
    <fill>
      <patternFill patternType="solid">
        <fgColor theme="5" tint="0.4"/>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double">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6" borderId="6" applyNumberFormat="0" applyAlignment="0" applyProtection="0">
      <alignment vertical="center"/>
    </xf>
    <xf numFmtId="0" fontId="17" fillId="7" borderId="7" applyNumberFormat="0" applyAlignment="0" applyProtection="0">
      <alignment vertical="center"/>
    </xf>
    <xf numFmtId="0" fontId="18" fillId="7" borderId="6" applyNumberFormat="0" applyAlignment="0" applyProtection="0">
      <alignment vertical="center"/>
    </xf>
    <xf numFmtId="0" fontId="19" fillId="8"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87">
    <xf numFmtId="0" fontId="0" fillId="0" borderId="0" xfId="0">
      <alignment vertical="center"/>
    </xf>
    <xf numFmtId="0" fontId="1" fillId="0" borderId="0" xfId="0" applyFont="1" applyAlignment="1">
      <alignment horizontal="righ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vertical="center" wrapText="1"/>
    </xf>
    <xf numFmtId="15" fontId="0" fillId="2" borderId="0" xfId="0" applyNumberFormat="1" applyFill="1" applyAlignment="1">
      <alignment vertical="center" wrapText="1"/>
    </xf>
    <xf numFmtId="0" fontId="0" fillId="2" borderId="0" xfId="0" applyFill="1" applyAlignment="1">
      <alignment vertical="center" wrapText="1" readingOrder="1"/>
    </xf>
    <xf numFmtId="10" fontId="0" fillId="2" borderId="0" xfId="0" applyNumberFormat="1" applyFill="1" applyAlignment="1">
      <alignment vertical="center" wrapText="1" readingOrder="1"/>
    </xf>
    <xf numFmtId="10" fontId="0" fillId="0" borderId="0" xfId="0" applyNumberFormat="1">
      <alignment vertical="center"/>
    </xf>
    <xf numFmtId="10" fontId="0" fillId="2" borderId="0" xfId="0" applyNumberFormat="1" applyFill="1">
      <alignment vertical="center"/>
    </xf>
    <xf numFmtId="0" fontId="0" fillId="0" borderId="0" xfId="0" applyFont="1" applyAlignment="1">
      <alignment vertical="center" wrapText="1"/>
    </xf>
    <xf numFmtId="0" fontId="2" fillId="0" borderId="0" xfId="0" applyFont="1">
      <alignment vertical="center"/>
    </xf>
    <xf numFmtId="0" fontId="0" fillId="0" borderId="0" xfId="0" applyAlignment="1">
      <alignment horizontal="center"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43" fontId="3" fillId="0" borderId="0" xfId="0" applyNumberFormat="1" applyFont="1">
      <alignment vertical="center"/>
    </xf>
    <xf numFmtId="0" fontId="0" fillId="0" borderId="1" xfId="0" applyBorder="1">
      <alignment vertical="center"/>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10" fontId="0" fillId="0" borderId="2" xfId="0" applyNumberFormat="1" applyBorder="1">
      <alignment vertical="center"/>
    </xf>
    <xf numFmtId="43" fontId="4" fillId="0" borderId="0" xfId="0" applyNumberFormat="1" applyFont="1">
      <alignment vertical="center"/>
    </xf>
    <xf numFmtId="39" fontId="1" fillId="0" borderId="0" xfId="0" applyNumberFormat="1" applyFont="1">
      <alignment vertical="center"/>
    </xf>
    <xf numFmtId="39" fontId="0" fillId="0" borderId="0" xfId="0" applyNumberFormat="1">
      <alignment vertical="center"/>
    </xf>
    <xf numFmtId="0" fontId="3" fillId="0" borderId="0" xfId="0" applyFont="1">
      <alignment vertical="center"/>
    </xf>
    <xf numFmtId="0" fontId="4" fillId="0" borderId="0" xfId="0" applyFont="1">
      <alignment vertical="center"/>
    </xf>
    <xf numFmtId="43" fontId="0" fillId="0" borderId="0" xfId="0" applyNumberFormat="1">
      <alignment vertical="center"/>
    </xf>
    <xf numFmtId="41" fontId="1" fillId="0" borderId="0" xfId="0" applyNumberFormat="1" applyFont="1">
      <alignment vertical="center"/>
    </xf>
    <xf numFmtId="43" fontId="0" fillId="0" borderId="0" xfId="0" applyNumberFormat="1" applyFont="1">
      <alignment vertical="center"/>
    </xf>
    <xf numFmtId="41" fontId="0" fillId="0" borderId="0" xfId="0" applyNumberFormat="1">
      <alignment vertical="center"/>
    </xf>
    <xf numFmtId="0" fontId="0" fillId="0" borderId="0" xfId="0" applyFill="1">
      <alignment vertical="center"/>
    </xf>
    <xf numFmtId="41" fontId="0" fillId="0" borderId="0" xfId="0" applyNumberFormat="1" applyFill="1">
      <alignment vertical="center"/>
    </xf>
    <xf numFmtId="43" fontId="0" fillId="0" borderId="0" xfId="0" applyNumberFormat="1" applyFill="1">
      <alignment vertical="center"/>
    </xf>
    <xf numFmtId="41" fontId="3"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41" fontId="0" fillId="0" borderId="0" xfId="0" applyNumberFormat="1" applyFill="1" applyAlignment="1">
      <alignment horizontal="center" vertical="center"/>
    </xf>
    <xf numFmtId="41" fontId="0" fillId="0" borderId="2" xfId="0" applyNumberFormat="1" applyFill="1" applyBorder="1">
      <alignment vertical="center"/>
    </xf>
    <xf numFmtId="41" fontId="6" fillId="3" borderId="0" xfId="0" applyNumberFormat="1" applyFont="1" applyFill="1" applyAlignment="1">
      <alignment horizontal="center" vertical="center"/>
    </xf>
    <xf numFmtId="41" fontId="0" fillId="3" borderId="0" xfId="0" applyNumberFormat="1" applyFill="1" applyAlignment="1">
      <alignment vertical="center"/>
    </xf>
    <xf numFmtId="41" fontId="0" fillId="3" borderId="0" xfId="0" applyNumberFormat="1" applyFill="1">
      <alignment vertical="center"/>
    </xf>
    <xf numFmtId="0" fontId="5" fillId="4" borderId="0" xfId="0" applyFont="1" applyFill="1">
      <alignment vertical="center"/>
    </xf>
    <xf numFmtId="0" fontId="0" fillId="4" borderId="0" xfId="0" applyFill="1">
      <alignment vertical="center"/>
    </xf>
    <xf numFmtId="43" fontId="4" fillId="0" borderId="0" xfId="0" applyNumberFormat="1" applyFont="1" applyFill="1">
      <alignment vertical="center"/>
    </xf>
    <xf numFmtId="43" fontId="4" fillId="0" borderId="2" xfId="0" applyNumberFormat="1" applyFont="1" applyFill="1" applyBorder="1">
      <alignment vertical="center"/>
    </xf>
    <xf numFmtId="43" fontId="0" fillId="0" borderId="0" xfId="0" applyNumberFormat="1" applyFont="1" applyFill="1">
      <alignment vertical="center"/>
    </xf>
    <xf numFmtId="39" fontId="0" fillId="0" borderId="0" xfId="0" applyNumberFormat="1" applyFill="1">
      <alignment vertical="center"/>
    </xf>
    <xf numFmtId="39" fontId="1" fillId="4" borderId="0" xfId="0" applyNumberFormat="1" applyFont="1" applyFill="1">
      <alignment vertical="center"/>
    </xf>
    <xf numFmtId="39" fontId="1" fillId="0" borderId="0" xfId="0" applyNumberFormat="1" applyFont="1" applyFill="1">
      <alignment vertical="center"/>
    </xf>
    <xf numFmtId="0" fontId="1" fillId="4" borderId="0" xfId="0" applyFont="1" applyFill="1">
      <alignment vertical="center"/>
    </xf>
    <xf numFmtId="0" fontId="1" fillId="0" borderId="0" xfId="0" applyFont="1" applyFill="1">
      <alignment vertical="center"/>
    </xf>
    <xf numFmtId="41" fontId="1" fillId="0" borderId="0" xfId="0" applyNumberFormat="1" applyFont="1" applyFill="1">
      <alignment vertical="center"/>
    </xf>
    <xf numFmtId="0" fontId="7" fillId="4" borderId="0" xfId="0" applyFont="1" applyFill="1">
      <alignment vertical="center"/>
    </xf>
    <xf numFmtId="0" fontId="3" fillId="4" borderId="0" xfId="0" applyFont="1" applyFill="1">
      <alignment vertical="center"/>
    </xf>
    <xf numFmtId="0" fontId="3" fillId="0" borderId="0" xfId="0" applyFont="1" applyFill="1">
      <alignment vertical="center"/>
    </xf>
    <xf numFmtId="43" fontId="3" fillId="0" borderId="0" xfId="0" applyNumberFormat="1" applyFont="1" applyFill="1">
      <alignment vertical="center"/>
    </xf>
    <xf numFmtId="43" fontId="0" fillId="0" borderId="0" xfId="0" applyNumberFormat="1" applyFill="1" applyAlignment="1">
      <alignment horizontal="center" vertical="center"/>
    </xf>
    <xf numFmtId="39" fontId="0" fillId="0" borderId="0" xfId="0" applyNumberFormat="1" applyFont="1" applyFill="1" applyBorder="1">
      <alignment vertical="center"/>
    </xf>
    <xf numFmtId="43" fontId="0" fillId="0" borderId="0" xfId="0" applyNumberFormat="1" applyFill="1" applyBorder="1">
      <alignment vertical="center"/>
    </xf>
    <xf numFmtId="41" fontId="0" fillId="0" borderId="0" xfId="0" applyNumberFormat="1" applyFill="1" applyBorder="1">
      <alignment vertical="center"/>
    </xf>
    <xf numFmtId="41" fontId="0" fillId="0" borderId="0" xfId="0" applyNumberFormat="1" applyFill="1" applyBorder="1" applyAlignment="1">
      <alignment horizontal="center" vertical="center"/>
    </xf>
    <xf numFmtId="43" fontId="1" fillId="0" borderId="0" xfId="0" applyNumberFormat="1" applyFont="1" applyFill="1">
      <alignment vertical="center"/>
    </xf>
    <xf numFmtId="0" fontId="4" fillId="4" borderId="0" xfId="0" applyFont="1" applyFill="1">
      <alignment vertical="center"/>
    </xf>
    <xf numFmtId="41" fontId="4" fillId="0" borderId="0" xfId="0" applyNumberFormat="1" applyFont="1" applyFill="1">
      <alignment vertical="center"/>
    </xf>
    <xf numFmtId="0" fontId="4" fillId="0" borderId="0" xfId="0" applyFont="1" applyFill="1">
      <alignment vertical="center"/>
    </xf>
    <xf numFmtId="43" fontId="4" fillId="4" borderId="0" xfId="0" applyNumberFormat="1" applyFont="1" applyFill="1">
      <alignment vertical="center"/>
    </xf>
    <xf numFmtId="43" fontId="0" fillId="4" borderId="0" xfId="0" applyNumberFormat="1" applyFill="1">
      <alignment vertical="center"/>
    </xf>
    <xf numFmtId="41" fontId="3" fillId="4" borderId="0" xfId="0" applyNumberFormat="1" applyFont="1" applyFill="1">
      <alignment vertical="center"/>
    </xf>
    <xf numFmtId="41" fontId="1" fillId="4" borderId="0" xfId="0" applyNumberFormat="1" applyFont="1" applyFill="1">
      <alignment vertical="center"/>
    </xf>
    <xf numFmtId="43" fontId="0" fillId="4" borderId="0" xfId="0" applyNumberFormat="1" applyFont="1" applyFill="1">
      <alignment vertical="center"/>
    </xf>
    <xf numFmtId="41" fontId="4" fillId="4" borderId="0" xfId="0" applyNumberFormat="1" applyFont="1" applyFill="1">
      <alignment vertical="center"/>
    </xf>
    <xf numFmtId="41" fontId="0" fillId="4" borderId="0" xfId="0" applyNumberFormat="1" applyFill="1">
      <alignment vertical="center"/>
    </xf>
    <xf numFmtId="37" fontId="3" fillId="4" borderId="0" xfId="0" applyNumberFormat="1" applyFont="1" applyFill="1">
      <alignment vertical="center"/>
    </xf>
    <xf numFmtId="37" fontId="1" fillId="4" borderId="0" xfId="0" applyNumberFormat="1" applyFont="1" applyFill="1">
      <alignment vertical="center"/>
    </xf>
    <xf numFmtId="41" fontId="0" fillId="0" borderId="0" xfId="0" applyNumberFormat="1" applyFont="1" applyFill="1">
      <alignment vertical="center"/>
    </xf>
    <xf numFmtId="41" fontId="0" fillId="3" borderId="2" xfId="0" applyNumberFormat="1" applyFill="1" applyBorder="1">
      <alignment vertical="center"/>
    </xf>
    <xf numFmtId="39" fontId="0" fillId="0" borderId="0" xfId="0" applyNumberFormat="1" applyFont="1" applyFill="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right" vertical="center"/>
    </xf>
    <xf numFmtId="0" fontId="0" fillId="2"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0" fontId="1"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D6" sqref="D6"/>
    </sheetView>
    <sheetView workbookViewId="1">
      <selection activeCell="A1" sqref="A1"/>
    </sheetView>
  </sheetViews>
  <sheetFormatPr defaultColWidth="9.14285714285714" defaultRowHeight="15"/>
  <cols>
    <col min="3" max="3" width="4.42857142857143" customWidth="1"/>
    <col min="6" max="6" width="10.5714285714286"/>
    <col min="15" max="16" width="9.14285714285714" customWidth="1"/>
  </cols>
  <sheetData>
    <row r="2" spans="2:2">
      <c r="B2" s="2" t="s">
        <v>0</v>
      </c>
    </row>
    <row r="3" spans="2:49">
      <c r="B3" s="79"/>
      <c r="E3" s="79"/>
      <c r="F3" s="79"/>
      <c r="G3" s="79"/>
      <c r="H3" s="79" t="s">
        <v>1</v>
      </c>
      <c r="J3" s="79"/>
      <c r="K3" s="79" t="s">
        <v>2</v>
      </c>
      <c r="L3" s="79"/>
      <c r="M3" s="79"/>
      <c r="N3" s="79"/>
      <c r="O3" s="79"/>
      <c r="P3" s="79"/>
      <c r="Q3" s="79"/>
      <c r="R3" s="79"/>
      <c r="S3" s="79"/>
      <c r="T3" s="79" t="s">
        <v>3</v>
      </c>
      <c r="U3" s="79"/>
      <c r="V3" s="79"/>
      <c r="W3" s="79"/>
      <c r="X3" s="79"/>
      <c r="Y3" s="79"/>
      <c r="Z3" s="79"/>
      <c r="AA3" s="79"/>
      <c r="AB3" s="79"/>
      <c r="AC3" s="79" t="s">
        <v>4</v>
      </c>
      <c r="AD3" s="79"/>
      <c r="AE3" s="79"/>
      <c r="AF3" s="79"/>
      <c r="AG3" s="79"/>
      <c r="AH3" s="79"/>
      <c r="AI3" s="79"/>
      <c r="AJ3" s="79"/>
      <c r="AK3" s="79"/>
      <c r="AL3" s="79" t="s">
        <v>5</v>
      </c>
      <c r="AM3" s="79"/>
      <c r="AN3" s="79"/>
      <c r="AO3" s="79"/>
      <c r="AP3" s="79"/>
      <c r="AQ3" s="79"/>
      <c r="AR3" s="79"/>
      <c r="AS3" s="79"/>
      <c r="AT3" s="79"/>
      <c r="AU3" s="79" t="s">
        <v>6</v>
      </c>
      <c r="AV3" s="79"/>
      <c r="AW3" s="79"/>
    </row>
    <row r="4" spans="2:50">
      <c r="B4" s="79"/>
      <c r="E4" s="79"/>
      <c r="F4" s="79"/>
      <c r="G4" s="79"/>
      <c r="H4" s="79" t="s">
        <v>7</v>
      </c>
      <c r="J4" s="4"/>
      <c r="K4" s="4" t="s">
        <v>8</v>
      </c>
      <c r="L4" s="79"/>
      <c r="M4" s="79"/>
      <c r="N4" s="4" t="s">
        <v>9</v>
      </c>
      <c r="O4" s="79"/>
      <c r="P4" s="79"/>
      <c r="Q4" s="4" t="s">
        <v>10</v>
      </c>
      <c r="R4" s="79"/>
      <c r="S4" s="79"/>
      <c r="T4" s="4" t="s">
        <v>11</v>
      </c>
      <c r="U4" s="79"/>
      <c r="V4" s="79"/>
      <c r="W4" s="4" t="s">
        <v>12</v>
      </c>
      <c r="X4" s="79"/>
      <c r="Y4" s="79"/>
      <c r="Z4" s="79" t="s">
        <v>13</v>
      </c>
      <c r="AA4" s="79"/>
      <c r="AB4" s="79"/>
      <c r="AC4" s="79" t="s">
        <v>14</v>
      </c>
      <c r="AD4" s="79"/>
      <c r="AE4" s="79"/>
      <c r="AF4" s="79" t="s">
        <v>15</v>
      </c>
      <c r="AG4" s="79"/>
      <c r="AH4" s="79"/>
      <c r="AI4" s="79" t="s">
        <v>16</v>
      </c>
      <c r="AJ4" s="79"/>
      <c r="AK4" s="79"/>
      <c r="AL4" s="79" t="s">
        <v>17</v>
      </c>
      <c r="AM4" s="79"/>
      <c r="AN4" s="79"/>
      <c r="AO4" s="79" t="s">
        <v>18</v>
      </c>
      <c r="AP4" s="79"/>
      <c r="AQ4" s="79"/>
      <c r="AR4" s="79" t="s">
        <v>19</v>
      </c>
      <c r="AS4" s="79"/>
      <c r="AT4" s="79"/>
      <c r="AU4" s="79" t="s">
        <v>20</v>
      </c>
      <c r="AV4" s="79"/>
      <c r="AW4" s="79"/>
      <c r="AX4" t="s">
        <v>21</v>
      </c>
    </row>
    <row r="5" ht="45" spans="2:52">
      <c r="B5" s="80" t="s">
        <v>22</v>
      </c>
      <c r="D5" s="80" t="s">
        <v>23</v>
      </c>
      <c r="E5" s="80" t="s">
        <v>24</v>
      </c>
      <c r="F5" s="80" t="s">
        <v>25</v>
      </c>
      <c r="G5" s="80" t="s">
        <v>26</v>
      </c>
      <c r="H5" s="80" t="s">
        <v>27</v>
      </c>
      <c r="I5" s="80" t="s">
        <v>28</v>
      </c>
      <c r="J5" s="80" t="s">
        <v>29</v>
      </c>
      <c r="K5" s="80" t="s">
        <v>27</v>
      </c>
      <c r="L5" s="80" t="s">
        <v>28</v>
      </c>
      <c r="M5" s="80" t="s">
        <v>29</v>
      </c>
      <c r="N5" s="80" t="s">
        <v>27</v>
      </c>
      <c r="O5" s="80" t="s">
        <v>28</v>
      </c>
      <c r="P5" s="80" t="s">
        <v>29</v>
      </c>
      <c r="Q5" s="80" t="s">
        <v>27</v>
      </c>
      <c r="R5" s="80" t="s">
        <v>28</v>
      </c>
      <c r="S5" s="80" t="s">
        <v>29</v>
      </c>
      <c r="T5" s="80" t="s">
        <v>27</v>
      </c>
      <c r="U5" s="80" t="s">
        <v>28</v>
      </c>
      <c r="V5" s="80" t="s">
        <v>29</v>
      </c>
      <c r="W5" s="80" t="s">
        <v>27</v>
      </c>
      <c r="X5" s="80" t="s">
        <v>28</v>
      </c>
      <c r="Y5" s="80" t="s">
        <v>29</v>
      </c>
      <c r="Z5" s="80" t="s">
        <v>27</v>
      </c>
      <c r="AA5" s="80" t="s">
        <v>28</v>
      </c>
      <c r="AB5" s="80" t="s">
        <v>29</v>
      </c>
      <c r="AC5" s="80" t="s">
        <v>27</v>
      </c>
      <c r="AD5" s="80" t="s">
        <v>28</v>
      </c>
      <c r="AE5" s="80" t="s">
        <v>29</v>
      </c>
      <c r="AF5" s="80" t="s">
        <v>27</v>
      </c>
      <c r="AG5" s="80" t="s">
        <v>28</v>
      </c>
      <c r="AH5" s="80" t="s">
        <v>29</v>
      </c>
      <c r="AI5" s="80" t="s">
        <v>27</v>
      </c>
      <c r="AJ5" s="80" t="s">
        <v>28</v>
      </c>
      <c r="AK5" s="80" t="s">
        <v>29</v>
      </c>
      <c r="AL5" s="80" t="s">
        <v>27</v>
      </c>
      <c r="AM5" s="80" t="s">
        <v>28</v>
      </c>
      <c r="AN5" s="80" t="s">
        <v>29</v>
      </c>
      <c r="AO5" s="80" t="s">
        <v>27</v>
      </c>
      <c r="AP5" s="80" t="s">
        <v>28</v>
      </c>
      <c r="AQ5" s="80" t="s">
        <v>29</v>
      </c>
      <c r="AR5" s="80" t="s">
        <v>27</v>
      </c>
      <c r="AS5" s="80" t="s">
        <v>28</v>
      </c>
      <c r="AT5" s="80" t="s">
        <v>29</v>
      </c>
      <c r="AU5" s="86" t="s">
        <v>27</v>
      </c>
      <c r="AV5" s="86" t="s">
        <v>28</v>
      </c>
      <c r="AW5" s="86" t="s">
        <v>29</v>
      </c>
      <c r="AX5" s="86" t="s">
        <v>27</v>
      </c>
      <c r="AY5" s="86" t="s">
        <v>28</v>
      </c>
      <c r="AZ5" s="86" t="s">
        <v>29</v>
      </c>
    </row>
    <row r="6" spans="2:52">
      <c r="B6" s="79">
        <v>2023</v>
      </c>
      <c r="D6" s="81" t="s">
        <v>30</v>
      </c>
      <c r="E6" s="82">
        <v>2023</v>
      </c>
      <c r="F6" s="37">
        <f ca="1">OFFSET(FS!P85,0,E$6-B$6)</f>
        <v>994857</v>
      </c>
      <c r="G6" s="57">
        <f ca="1">OFFSET(FS!P79,0,E$6-B$6)</f>
        <v>390.14</v>
      </c>
      <c r="H6" s="83">
        <f ca="1">((OFFSET(FS!P79,0,E$6-B$6)/OFFSET(FS!P79,0,-1+E$6-B$6))^(1/1)-1)*100</f>
        <v>161.891656038129</v>
      </c>
      <c r="I6" s="83">
        <f ca="1">((OFFSET(FS!P79,0,E$6-B$6)/OFFSET(FS!P79,0,-2+E$6-B$6))^(1/3)-1)*100</f>
        <v>7.5899845989621</v>
      </c>
      <c r="J6" s="83">
        <f ca="1">((OFFSET(FS!P79,0,E$6-B$6)/OFFSET(FS!P79,0,-4+E$6-B$6))^(1/5)-1)*100</f>
        <v>14.0807926788505</v>
      </c>
      <c r="K6" s="84">
        <f ca="1">OFFSET(FS!P55,0,0+E$6-B$6)</f>
        <v>80.757142221761</v>
      </c>
      <c r="L6" s="84">
        <f ca="1">AVERAGE(OFFSET(FS!P55,0,-2+E$6-B$6):OFFSET(FS!P55,0,E$6-B$6))</f>
        <v>79.9662719591437</v>
      </c>
      <c r="M6" s="84">
        <f ca="1">AVERAGE(OFFSET(FS!P55,0,-4+E$6-B$6):OFFSET(FS!P55,0,E$6-B$6))</f>
        <v>80.4837219884431</v>
      </c>
      <c r="N6" s="84">
        <f ca="1">OFFSET(FS!P63,0,0+E$6-B$6)</f>
        <v>34.6555277164164</v>
      </c>
      <c r="O6" s="84">
        <f ca="1">AVERAGE(OFFSET(FS!P63,0,-2+E$6-B$6):OFFSET(FS!P63,0,E$6-B$6))</f>
        <v>33.0406600342807</v>
      </c>
      <c r="P6" s="84">
        <f ca="1">AVERAGE(OFFSET(FS!P63,0,-4+E$6-B$6):OFFSET(FS!P63,0,E$6-B$6))</f>
        <v>34.2109743164473</v>
      </c>
      <c r="Q6" s="84">
        <f ca="1">OFFSET(FS!P72,0,0+E$6-B$6)</f>
        <v>28.9825206446161</v>
      </c>
      <c r="R6" s="84">
        <f ca="1">AVERAGE(OFFSET(FS!P72,0,-2+E$6-B$6):OFFSET(FS!P72,0,E$6-B$6))</f>
        <v>27.4208543585511</v>
      </c>
      <c r="S6" s="84">
        <f ca="1">AVERAGE(OFFSET(FS!P72,0,-4+E$6-B$6):OFFSET(FS!P72,0,E$6-B$6))</f>
        <v>28.4627709141546</v>
      </c>
      <c r="T6" s="85">
        <f ca="1">OFFSET(FS!P81,0,0+E$6-B$6)</f>
        <v>25.4452145889815</v>
      </c>
      <c r="U6" s="85">
        <f ca="1">AVERAGE(OFFSET(FS!P81,0,-2+E$6-B$6):OFFSET(FS!P81,0,E$6-B$6))</f>
        <v>21.3465558183423</v>
      </c>
      <c r="V6" s="85">
        <f ca="1">AVERAGE(OFFSET(FS!P81,0,-4+E$6-B$6):OFFSET(FS!P81,0,E$6-B$6))</f>
        <v>24.0886750096942</v>
      </c>
      <c r="W6" s="84">
        <f ca="1">OFFSET(FS!P80,0,0+E$6-B$6)</f>
        <v>15.3325490196078</v>
      </c>
      <c r="X6" s="84">
        <f ca="1">AVERAGE(OFFSET(FS!P80,0,-2+E$6-B$6):OFFSET(FS!P80,0,E$6-B$6))</f>
        <v>12.8570689895602</v>
      </c>
      <c r="Y6" s="84">
        <f ca="1">AVERAGE(OFFSET(FS!P80,0,-4+E$6-B$6):OFFSET(FS!P80,0,E$6-B$6))</f>
        <v>11.0565759497453</v>
      </c>
      <c r="Z6" s="84">
        <f ca="1">OFFSET(FS!P91,0,0+E$6-B$6)</f>
        <v>0</v>
      </c>
      <c r="AA6" s="84">
        <f ca="1">AVERAGE(OFFSET(FS!P91,0,-2+E$6-B$6):OFFSET(FS!P91,0,E$6-B$6))</f>
        <v>0</v>
      </c>
      <c r="AB6" s="84">
        <f ca="1">AVERAGE(OFFSET(FS!P91,0,-4+E$6-B$6):OFFSET(FS!P91,0,E$6-B$6))</f>
        <v>0</v>
      </c>
      <c r="AC6" s="84">
        <f ca="1">OFFSET(FS!P139,0,0+E$6-B$6)</f>
        <v>0.332958806391346</v>
      </c>
      <c r="AD6" s="84">
        <f ca="1">AVERAGE(OFFSET(FS!P139,0,-2+E$6-B$6):OFFSET(FS!P139,0,E$6-B$6))</f>
        <v>0.301248980403505</v>
      </c>
      <c r="AE6" s="84">
        <f ca="1">AVERAGE(OFFSET(FS!P139,0,-4+E$6-B$6):OFFSET(FS!P139,0,E$6-B$6))</f>
        <v>0.26816588565012</v>
      </c>
      <c r="AF6" s="84">
        <f ca="1">OFFSET(FS!P140,0,0+E$6-B$6)</f>
        <v>0.499157787527421</v>
      </c>
      <c r="AG6" s="84">
        <f ca="1">AVERAGE(OFFSET(FS!P140,0,-2+E$6-B$6):OFFSET(FS!P140,0,E$6-B$6))</f>
        <v>0.435243136542594</v>
      </c>
      <c r="AH6" s="84">
        <f ca="1">AVERAGE(OFFSET(FS!P140,0,-4+E$6-B$6):OFFSET(FS!P140,0,E$6-B$6))</f>
        <v>0.373484180694909</v>
      </c>
      <c r="AI6" s="84">
        <f ca="1">OFFSET(FS!P141,0,0+E$6-B$6)</f>
        <v>0.566744748039317</v>
      </c>
      <c r="AJ6" s="84">
        <f ca="1">AVERAGE(OFFSET(FS!P141,0,-2+E$6-B$6):OFFSET(FS!P141,0,E$6-B$6))</f>
        <v>0.476662491069616</v>
      </c>
      <c r="AK6" s="84">
        <f ca="1">AVERAGE(OFFSET(FS!P141,0,-4+E$6-B$6):OFFSET(FS!P141,0,E$6-B$6))</f>
        <v>0.449618468874836</v>
      </c>
      <c r="AL6" s="84">
        <f ca="1">OFFSET(FS!P144,0,0+E$6-B$6)</f>
        <v>0</v>
      </c>
      <c r="AM6" s="84">
        <f ca="1">AVERAGE(OFFSET(FS!P144,0,-2+E$6-B$6):OFFSET(FS!P144,0,E$6-B$6))</f>
        <v>0</v>
      </c>
      <c r="AN6" s="84">
        <f ca="1">AVERAGE(OFFSET(FS!P144,0,-4+E$6-B$6):OFFSET(FS!P144,0,E$6-B$6))</f>
        <v>0</v>
      </c>
      <c r="AO6" s="84">
        <f ca="1">OFFSET(FS!P145,0,0+E$6-B$6)</f>
        <v>8.34324942791762</v>
      </c>
      <c r="AP6" s="84">
        <f ca="1">AVERAGE(OFFSET(FS!P145,0,-2+E$6-B$6):OFFSET(FS!P145,0,E$6-B$6))</f>
        <v>8.46762066576357</v>
      </c>
      <c r="AQ6" s="84">
        <f ca="1">AVERAGE(OFFSET(FS!P145,0,-4+E$6-B$6):OFFSET(FS!P145,0,E$6-B$6))</f>
        <v>8.08292193280582</v>
      </c>
      <c r="AR6" s="84">
        <f ca="1">OFFSET(FS!P146,0,0+E$6-B$6)</f>
        <v>5.35347494328728</v>
      </c>
      <c r="AS6" s="84">
        <f ca="1">AVERAGE(OFFSET(FS!P146,0,-2+E$6-B$6):OFFSET(FS!P146,0,E$6-B$6))</f>
        <v>5.32018049627339</v>
      </c>
      <c r="AT6" s="84">
        <f ca="1">AVERAGE(OFFSET(FS!P146,0,-4+E$6-B$6):OFFSET(FS!P146,0,E$6-B$6))</f>
        <v>7.57410540605644</v>
      </c>
      <c r="AU6" s="27">
        <f>'Sharpe, Sortino'!O23</f>
        <v>4.63880423152843</v>
      </c>
      <c r="AV6" s="27">
        <f>'Sharpe, Sortino'!P23</f>
        <v>0.192578921484114</v>
      </c>
      <c r="AW6" s="27">
        <f>'Sharpe, Sortino'!Q23</f>
        <v>0.337120670486391</v>
      </c>
      <c r="AX6" s="27">
        <f>'Sharpe, Sortino'!O40</f>
        <v>5.31779859118645</v>
      </c>
      <c r="AY6" s="27">
        <f>'Sharpe, Sortino'!P40</f>
        <v>0.236956687104866</v>
      </c>
      <c r="AZ6" s="27">
        <f>'Sharpe, Sortino'!Q40</f>
        <v>0.453261464770302</v>
      </c>
    </row>
    <row r="11" spans="3:3">
      <c r="C11" s="3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89"/>
  <sheetViews>
    <sheetView workbookViewId="0">
      <pane xSplit="4" ySplit="3" topLeftCell="E147" activePane="bottomRight" state="frozen"/>
      <selection/>
      <selection pane="topRight"/>
      <selection pane="bottomLeft"/>
      <selection pane="bottomRight" activeCell="T141" sqref="T141"/>
    </sheetView>
    <sheetView tabSelected="1" workbookViewId="1">
      <pane xSplit="4" ySplit="4" topLeftCell="E69" activePane="bottomRight" state="frozen"/>
      <selection/>
      <selection pane="topRight"/>
      <selection pane="bottomLeft"/>
      <selection pane="bottomRight" activeCell="T74" sqref="T74"/>
    </sheetView>
  </sheetViews>
  <sheetFormatPr defaultColWidth="9.14285714285714" defaultRowHeight="15"/>
  <cols>
    <col min="2" max="3" width="6.28571428571429" customWidth="1"/>
    <col min="4" max="4" width="39.7142857142857" customWidth="1"/>
    <col min="5" max="5" width="9.14285714285714" style="31"/>
    <col min="6" max="12" width="11.7142857142857" style="32"/>
    <col min="13" max="16" width="10.5714285714286" style="32"/>
    <col min="17" max="17" width="9.14285714285714" style="31"/>
    <col min="18" max="18" width="9.14285714285714" style="32"/>
    <col min="19" max="21" width="9.14285714285714" style="33"/>
    <col min="22" max="22" width="9.14285714285714" style="32"/>
    <col min="23" max="23" width="9.14285714285714" style="31"/>
  </cols>
  <sheetData>
    <row r="1" spans="6:16">
      <c r="F1" s="34" t="s">
        <v>31</v>
      </c>
      <c r="G1" s="34"/>
      <c r="H1" s="34"/>
      <c r="I1" s="34"/>
      <c r="J1" s="34"/>
      <c r="K1" s="34"/>
      <c r="M1" s="31"/>
      <c r="N1" s="31"/>
      <c r="O1" s="31"/>
      <c r="P1" s="31"/>
    </row>
    <row r="2" s="12" customFormat="1" spans="5:23">
      <c r="E2" s="35"/>
      <c r="F2" s="35" t="s">
        <v>32</v>
      </c>
      <c r="G2" s="35"/>
      <c r="H2" s="35"/>
      <c r="I2" s="35"/>
      <c r="J2" s="35"/>
      <c r="K2" s="35"/>
      <c r="M2" s="35"/>
      <c r="N2" s="35"/>
      <c r="O2" s="35"/>
      <c r="P2" s="35"/>
      <c r="Q2" s="35"/>
      <c r="R2" s="37"/>
      <c r="S2" s="57"/>
      <c r="T2" s="57"/>
      <c r="U2" s="57" t="s">
        <v>33</v>
      </c>
      <c r="V2" s="37"/>
      <c r="W2" s="35"/>
    </row>
    <row r="3" s="12" customFormat="1" spans="5:23">
      <c r="E3" s="35"/>
      <c r="F3" s="35">
        <v>2013</v>
      </c>
      <c r="G3" s="35">
        <v>2014</v>
      </c>
      <c r="H3" s="35">
        <v>2015</v>
      </c>
      <c r="I3" s="35">
        <v>2016</v>
      </c>
      <c r="J3" s="35">
        <v>2017</v>
      </c>
      <c r="K3" s="35">
        <v>2018</v>
      </c>
      <c r="L3" s="35">
        <v>2019</v>
      </c>
      <c r="M3" s="35">
        <v>2020</v>
      </c>
      <c r="N3" s="35">
        <v>2021</v>
      </c>
      <c r="O3" s="35">
        <v>2022</v>
      </c>
      <c r="P3" s="35">
        <v>2023</v>
      </c>
      <c r="Q3" s="35"/>
      <c r="R3" s="37" t="s">
        <v>34</v>
      </c>
      <c r="S3" s="57" t="s">
        <v>35</v>
      </c>
      <c r="T3" s="57" t="s">
        <v>7</v>
      </c>
      <c r="U3" s="57" t="s">
        <v>36</v>
      </c>
      <c r="V3" s="37"/>
      <c r="W3" s="35"/>
    </row>
    <row r="5" ht="15.75" spans="2:2">
      <c r="B5" s="36" t="s">
        <v>37</v>
      </c>
    </row>
    <row r="6" spans="3:16">
      <c r="C6" t="s">
        <v>38</v>
      </c>
      <c r="F6" s="32">
        <v>3613</v>
      </c>
      <c r="G6" s="32">
        <v>5649</v>
      </c>
      <c r="H6" s="32">
        <v>8513</v>
      </c>
      <c r="I6" s="32">
        <v>13432</v>
      </c>
      <c r="J6" s="32">
        <v>19065</v>
      </c>
      <c r="K6" s="32">
        <v>25727</v>
      </c>
      <c r="L6" s="32">
        <v>32206</v>
      </c>
      <c r="M6" s="32">
        <v>38433</v>
      </c>
      <c r="N6" s="32">
        <v>51541</v>
      </c>
      <c r="O6" s="32">
        <v>50150</v>
      </c>
      <c r="P6" s="32">
        <v>52888</v>
      </c>
    </row>
    <row r="7" spans="3:16">
      <c r="C7" t="s">
        <v>39</v>
      </c>
      <c r="D7"/>
      <c r="F7" s="37">
        <v>4259</v>
      </c>
      <c r="G7" s="37">
        <v>6817</v>
      </c>
      <c r="H7" s="37">
        <v>9415</v>
      </c>
      <c r="I7" s="32">
        <v>6792</v>
      </c>
      <c r="J7" s="32">
        <v>10126</v>
      </c>
      <c r="K7" s="32">
        <v>13631</v>
      </c>
      <c r="L7" s="32">
        <v>16826</v>
      </c>
      <c r="M7" s="32">
        <v>20349</v>
      </c>
      <c r="N7" s="32">
        <v>29057</v>
      </c>
      <c r="O7" s="32">
        <v>26681</v>
      </c>
      <c r="P7" s="32">
        <v>31210</v>
      </c>
    </row>
    <row r="8" spans="3:16">
      <c r="C8" t="s">
        <v>40</v>
      </c>
      <c r="D8"/>
      <c r="F8" s="37"/>
      <c r="G8" s="37"/>
      <c r="H8" s="37"/>
      <c r="I8" s="32">
        <v>5037</v>
      </c>
      <c r="J8" s="32">
        <v>7921</v>
      </c>
      <c r="K8" s="32">
        <v>11733</v>
      </c>
      <c r="L8" s="32">
        <v>15406</v>
      </c>
      <c r="M8" s="32">
        <v>19848</v>
      </c>
      <c r="N8" s="32">
        <v>26739</v>
      </c>
      <c r="O8" s="32">
        <v>27760</v>
      </c>
      <c r="P8" s="32">
        <v>36154</v>
      </c>
    </row>
    <row r="9" spans="3:16">
      <c r="C9" t="s">
        <v>41</v>
      </c>
      <c r="D9"/>
      <c r="F9" s="37"/>
      <c r="G9" s="37"/>
      <c r="H9" s="37"/>
      <c r="I9" s="32">
        <v>2377</v>
      </c>
      <c r="J9" s="32">
        <v>3541</v>
      </c>
      <c r="K9" s="32">
        <v>4747</v>
      </c>
      <c r="L9" s="32">
        <v>6529</v>
      </c>
      <c r="M9" s="32">
        <v>7335</v>
      </c>
      <c r="N9" s="32">
        <v>10592</v>
      </c>
      <c r="O9" s="32">
        <v>12018</v>
      </c>
      <c r="P9" s="32">
        <v>14650</v>
      </c>
    </row>
    <row r="10" spans="2:16">
      <c r="B10" t="s">
        <v>42</v>
      </c>
      <c r="F10" s="38">
        <f t="shared" ref="F10:P10" si="0">SUM(F6:F9)</f>
        <v>7872</v>
      </c>
      <c r="G10" s="38">
        <f t="shared" si="0"/>
        <v>12466</v>
      </c>
      <c r="H10" s="38">
        <f t="shared" si="0"/>
        <v>17928</v>
      </c>
      <c r="I10" s="38">
        <f t="shared" si="0"/>
        <v>27638</v>
      </c>
      <c r="J10" s="38">
        <f t="shared" si="0"/>
        <v>40653</v>
      </c>
      <c r="K10" s="38">
        <f t="shared" si="0"/>
        <v>55838</v>
      </c>
      <c r="L10" s="38">
        <f t="shared" si="0"/>
        <v>70967</v>
      </c>
      <c r="M10" s="38">
        <f t="shared" si="0"/>
        <v>85965</v>
      </c>
      <c r="N10" s="38">
        <f t="shared" si="0"/>
        <v>117929</v>
      </c>
      <c r="O10" s="38">
        <f t="shared" si="0"/>
        <v>116609</v>
      </c>
      <c r="P10" s="38">
        <f t="shared" si="0"/>
        <v>134902</v>
      </c>
    </row>
    <row r="12" ht="15.75" spans="2:2">
      <c r="B12" s="36" t="s">
        <v>43</v>
      </c>
    </row>
    <row r="13" spans="3:18">
      <c r="C13" t="s">
        <v>44</v>
      </c>
      <c r="F13" s="32">
        <v>6986</v>
      </c>
      <c r="G13" s="32">
        <v>11492</v>
      </c>
      <c r="H13" s="32">
        <v>17079</v>
      </c>
      <c r="I13" s="32">
        <v>26885</v>
      </c>
      <c r="J13" s="32">
        <v>39942</v>
      </c>
      <c r="K13" s="32">
        <v>55013</v>
      </c>
      <c r="L13" s="32">
        <v>69655</v>
      </c>
      <c r="M13" s="32">
        <v>84169</v>
      </c>
      <c r="N13" s="32">
        <v>114934</v>
      </c>
      <c r="O13" s="32">
        <v>113642</v>
      </c>
      <c r="P13" s="32">
        <v>131948</v>
      </c>
      <c r="R13" s="58"/>
    </row>
    <row r="14" spans="3:18">
      <c r="C14" t="s">
        <v>45</v>
      </c>
      <c r="F14" s="37">
        <v>886</v>
      </c>
      <c r="G14" s="37">
        <v>974</v>
      </c>
      <c r="H14" s="37">
        <v>849</v>
      </c>
      <c r="I14" s="37">
        <v>753</v>
      </c>
      <c r="J14" s="37">
        <v>711</v>
      </c>
      <c r="K14" s="37">
        <v>825</v>
      </c>
      <c r="L14" s="32">
        <v>541</v>
      </c>
      <c r="M14" s="32">
        <v>657</v>
      </c>
      <c r="N14" s="32">
        <v>721</v>
      </c>
      <c r="O14" s="32">
        <v>808</v>
      </c>
      <c r="P14" s="32">
        <v>1058</v>
      </c>
      <c r="R14" s="58"/>
    </row>
    <row r="15" spans="3:18">
      <c r="C15" t="s">
        <v>46</v>
      </c>
      <c r="D15"/>
      <c r="F15" s="37"/>
      <c r="G15" s="37"/>
      <c r="H15" s="37"/>
      <c r="I15" s="37"/>
      <c r="J15" s="37"/>
      <c r="K15" s="37"/>
      <c r="L15" s="32">
        <v>501</v>
      </c>
      <c r="M15" s="32">
        <v>1139</v>
      </c>
      <c r="N15" s="32">
        <v>2274</v>
      </c>
      <c r="O15" s="32">
        <v>2159</v>
      </c>
      <c r="P15" s="32">
        <v>1896</v>
      </c>
      <c r="R15" s="58"/>
    </row>
    <row r="16" spans="2:18">
      <c r="B16" t="s">
        <v>42</v>
      </c>
      <c r="F16" s="38">
        <f>SUM(F13:F15)</f>
        <v>7872</v>
      </c>
      <c r="G16" s="38">
        <f t="shared" ref="G16:P16" si="1">SUM(G13:G15)</f>
        <v>12466</v>
      </c>
      <c r="H16" s="38">
        <f t="shared" si="1"/>
        <v>17928</v>
      </c>
      <c r="I16" s="38">
        <f t="shared" si="1"/>
        <v>27638</v>
      </c>
      <c r="J16" s="38">
        <f t="shared" si="1"/>
        <v>40653</v>
      </c>
      <c r="K16" s="38">
        <f t="shared" si="1"/>
        <v>55838</v>
      </c>
      <c r="L16" s="38">
        <f t="shared" si="1"/>
        <v>70697</v>
      </c>
      <c r="M16" s="38">
        <f t="shared" si="1"/>
        <v>85965</v>
      </c>
      <c r="N16" s="38">
        <f t="shared" si="1"/>
        <v>117929</v>
      </c>
      <c r="O16" s="38">
        <f t="shared" si="1"/>
        <v>116609</v>
      </c>
      <c r="P16" s="38">
        <f t="shared" si="1"/>
        <v>134902</v>
      </c>
      <c r="R16" s="59"/>
    </row>
    <row r="17" spans="18:18">
      <c r="R17" s="60"/>
    </row>
    <row r="18" ht="15.75" spans="2:18">
      <c r="B18" s="36" t="s">
        <v>47</v>
      </c>
      <c r="F18" s="39" t="s">
        <v>48</v>
      </c>
      <c r="R18" s="60"/>
    </row>
    <row r="19" spans="3:22">
      <c r="C19" t="s">
        <v>49</v>
      </c>
      <c r="F19" s="40"/>
      <c r="G19" s="40"/>
      <c r="H19" s="40"/>
      <c r="I19" s="40"/>
      <c r="J19" s="40"/>
      <c r="K19" s="40"/>
      <c r="L19" s="32">
        <v>28489</v>
      </c>
      <c r="M19" s="32">
        <v>39294</v>
      </c>
      <c r="N19" s="32">
        <v>59946</v>
      </c>
      <c r="O19" s="32">
        <v>42661</v>
      </c>
      <c r="P19" s="32">
        <v>62871</v>
      </c>
      <c r="R19" s="61"/>
      <c r="S19" s="57"/>
      <c r="T19" s="57"/>
      <c r="U19" s="57"/>
      <c r="V19" s="37"/>
    </row>
    <row r="20" spans="3:16">
      <c r="C20" t="s">
        <v>46</v>
      </c>
      <c r="F20" s="41"/>
      <c r="G20" s="41"/>
      <c r="H20" s="41"/>
      <c r="I20" s="41"/>
      <c r="J20" s="41"/>
      <c r="K20" s="41"/>
      <c r="L20" s="32">
        <v>-4503</v>
      </c>
      <c r="M20" s="32">
        <v>-6623</v>
      </c>
      <c r="N20" s="32">
        <v>-10193</v>
      </c>
      <c r="O20" s="32">
        <v>-13717</v>
      </c>
      <c r="P20" s="32">
        <v>-16120</v>
      </c>
    </row>
    <row r="21" spans="2:16">
      <c r="B21" t="s">
        <v>50</v>
      </c>
      <c r="F21" s="38">
        <f t="shared" ref="F21:P21" si="2">SUM(F19:F20)</f>
        <v>0</v>
      </c>
      <c r="G21" s="38">
        <f t="shared" si="2"/>
        <v>0</v>
      </c>
      <c r="H21" s="38">
        <f t="shared" si="2"/>
        <v>0</v>
      </c>
      <c r="I21" s="38">
        <f t="shared" si="2"/>
        <v>0</v>
      </c>
      <c r="J21" s="38">
        <f t="shared" si="2"/>
        <v>0</v>
      </c>
      <c r="K21" s="38">
        <f t="shared" si="2"/>
        <v>0</v>
      </c>
      <c r="L21" s="38">
        <f t="shared" si="2"/>
        <v>23986</v>
      </c>
      <c r="M21" s="38">
        <f t="shared" si="2"/>
        <v>32671</v>
      </c>
      <c r="N21" s="38">
        <f t="shared" si="2"/>
        <v>49753</v>
      </c>
      <c r="O21" s="38">
        <f t="shared" si="2"/>
        <v>28944</v>
      </c>
      <c r="P21" s="38">
        <f t="shared" si="2"/>
        <v>46751</v>
      </c>
    </row>
    <row r="24" ht="15.75" spans="3:4">
      <c r="C24" s="42" t="s">
        <v>51</v>
      </c>
      <c r="D24" s="43"/>
    </row>
    <row r="25" spans="3:18">
      <c r="C25" s="43" t="s">
        <v>38</v>
      </c>
      <c r="D25" s="43"/>
      <c r="F25" s="44">
        <f t="shared" ref="F25:P25" si="3">F6/F$10*100</f>
        <v>45.8968495934959</v>
      </c>
      <c r="G25" s="44">
        <f t="shared" si="3"/>
        <v>45.3152575004011</v>
      </c>
      <c r="H25" s="44">
        <f t="shared" si="3"/>
        <v>47.4843819723338</v>
      </c>
      <c r="I25" s="44">
        <f t="shared" si="3"/>
        <v>48.5997539619365</v>
      </c>
      <c r="J25" s="44">
        <f t="shared" si="3"/>
        <v>46.896907977271</v>
      </c>
      <c r="K25" s="44">
        <f t="shared" si="3"/>
        <v>46.0743579641105</v>
      </c>
      <c r="L25" s="44">
        <f t="shared" si="3"/>
        <v>45.38165626277</v>
      </c>
      <c r="M25" s="44">
        <f t="shared" si="3"/>
        <v>44.7077298900715</v>
      </c>
      <c r="N25" s="44">
        <f t="shared" si="3"/>
        <v>43.7051107022022</v>
      </c>
      <c r="O25" s="44">
        <f t="shared" si="3"/>
        <v>43.0069720175973</v>
      </c>
      <c r="P25" s="44">
        <f t="shared" si="3"/>
        <v>39.2047560451291</v>
      </c>
      <c r="R25" s="46">
        <f>AVERAGEIF(E25:Q25,"&lt;&gt;0")</f>
        <v>45.1157939897563</v>
      </c>
    </row>
    <row r="26" spans="3:18">
      <c r="C26" s="43" t="s">
        <v>39</v>
      </c>
      <c r="D26" s="43"/>
      <c r="F26" s="44"/>
      <c r="G26" s="44"/>
      <c r="H26" s="44"/>
      <c r="I26" s="44">
        <f t="shared" ref="F26:P26" si="4">I7/I$10*100</f>
        <v>24.5748606990376</v>
      </c>
      <c r="J26" s="44">
        <f t="shared" si="4"/>
        <v>24.90837084594</v>
      </c>
      <c r="K26" s="44">
        <f t="shared" si="4"/>
        <v>24.4116909631434</v>
      </c>
      <c r="L26" s="44">
        <f t="shared" si="4"/>
        <v>23.7096115095749</v>
      </c>
      <c r="M26" s="44">
        <f t="shared" si="4"/>
        <v>23.6712615599372</v>
      </c>
      <c r="N26" s="44">
        <f t="shared" si="4"/>
        <v>24.6394016738885</v>
      </c>
      <c r="O26" s="44">
        <f t="shared" si="4"/>
        <v>22.8807381934499</v>
      </c>
      <c r="P26" s="44">
        <f t="shared" si="4"/>
        <v>23.1353130420602</v>
      </c>
      <c r="R26" s="46">
        <f>AVERAGEIF(E26:Q26,"&lt;&gt;0")</f>
        <v>23.991406060879</v>
      </c>
    </row>
    <row r="27" spans="3:18">
      <c r="C27" s="43" t="s">
        <v>40</v>
      </c>
      <c r="D27" s="43"/>
      <c r="F27" s="44"/>
      <c r="G27" s="44"/>
      <c r="H27" s="44"/>
      <c r="I27" s="44">
        <f t="shared" ref="F27:P27" si="5">I8/I$10*100</f>
        <v>18.2249077357262</v>
      </c>
      <c r="J27" s="44">
        <f t="shared" si="5"/>
        <v>19.4844168942021</v>
      </c>
      <c r="K27" s="44">
        <f t="shared" si="5"/>
        <v>21.0125720835273</v>
      </c>
      <c r="L27" s="44">
        <f t="shared" si="5"/>
        <v>21.708681499852</v>
      </c>
      <c r="M27" s="44">
        <f t="shared" si="5"/>
        <v>23.0884662362589</v>
      </c>
      <c r="N27" s="44">
        <f t="shared" si="5"/>
        <v>22.673812209041</v>
      </c>
      <c r="O27" s="44">
        <f t="shared" si="5"/>
        <v>23.8060527060518</v>
      </c>
      <c r="P27" s="44">
        <f t="shared" si="5"/>
        <v>26.8001956976175</v>
      </c>
      <c r="R27" s="46">
        <f>AVERAGEIF(E27:Q27,"&lt;&gt;0")</f>
        <v>22.0998881327846</v>
      </c>
    </row>
    <row r="28" spans="3:18">
      <c r="C28" s="43" t="s">
        <v>41</v>
      </c>
      <c r="D28" s="43"/>
      <c r="F28" s="44"/>
      <c r="G28" s="44"/>
      <c r="H28" s="44"/>
      <c r="I28" s="44">
        <f t="shared" ref="F28:P28" si="6">I9/I$10*100</f>
        <v>8.6004776032998</v>
      </c>
      <c r="J28" s="44">
        <f t="shared" si="6"/>
        <v>8.71030428258677</v>
      </c>
      <c r="K28" s="44">
        <f t="shared" si="6"/>
        <v>8.50137898921881</v>
      </c>
      <c r="L28" s="44">
        <f t="shared" si="6"/>
        <v>9.20005072780306</v>
      </c>
      <c r="M28" s="44">
        <f t="shared" si="6"/>
        <v>8.53254231373233</v>
      </c>
      <c r="N28" s="44">
        <f t="shared" si="6"/>
        <v>8.98167541486827</v>
      </c>
      <c r="O28" s="44">
        <f t="shared" si="6"/>
        <v>10.306237082901</v>
      </c>
      <c r="P28" s="44">
        <f t="shared" si="6"/>
        <v>10.8597352151933</v>
      </c>
      <c r="R28" s="46">
        <f>AVERAGEIF(E28:Q28,"&lt;&gt;0")</f>
        <v>9.21155020370041</v>
      </c>
    </row>
    <row r="29" spans="6:16">
      <c r="F29" s="45">
        <f t="shared" ref="F29:P29" si="7">SUM(F25:F28)</f>
        <v>45.8968495934959</v>
      </c>
      <c r="G29" s="45">
        <f t="shared" si="7"/>
        <v>45.3152575004011</v>
      </c>
      <c r="H29" s="45">
        <f t="shared" si="7"/>
        <v>47.4843819723338</v>
      </c>
      <c r="I29" s="45">
        <f t="shared" si="7"/>
        <v>100</v>
      </c>
      <c r="J29" s="45">
        <f t="shared" si="7"/>
        <v>100</v>
      </c>
      <c r="K29" s="45">
        <f t="shared" si="7"/>
        <v>100</v>
      </c>
      <c r="L29" s="45">
        <f t="shared" si="7"/>
        <v>100</v>
      </c>
      <c r="M29" s="45">
        <f t="shared" si="7"/>
        <v>100</v>
      </c>
      <c r="N29" s="45">
        <f t="shared" si="7"/>
        <v>100</v>
      </c>
      <c r="O29" s="45">
        <f t="shared" si="7"/>
        <v>100</v>
      </c>
      <c r="P29" s="45">
        <f t="shared" si="7"/>
        <v>100</v>
      </c>
    </row>
    <row r="30" spans="6:16">
      <c r="F30" s="46"/>
      <c r="G30" s="46"/>
      <c r="H30" s="46"/>
      <c r="I30" s="46"/>
      <c r="J30" s="46"/>
      <c r="K30" s="46"/>
      <c r="L30" s="46"/>
      <c r="M30" s="46"/>
      <c r="N30" s="46"/>
      <c r="O30" s="46"/>
      <c r="P30" s="46"/>
    </row>
    <row r="31" ht="15.75" spans="3:4">
      <c r="C31" s="42" t="s">
        <v>52</v>
      </c>
      <c r="D31" s="43"/>
    </row>
    <row r="32" spans="3:18">
      <c r="C32" s="43" t="s">
        <v>44</v>
      </c>
      <c r="D32" s="43"/>
      <c r="F32" s="44">
        <f t="shared" ref="F32:P32" si="8">F13/F$16*100</f>
        <v>88.744918699187</v>
      </c>
      <c r="G32" s="44">
        <f t="shared" si="8"/>
        <v>92.1867479544361</v>
      </c>
      <c r="H32" s="44">
        <f t="shared" si="8"/>
        <v>95.264390896921</v>
      </c>
      <c r="I32" s="44">
        <f t="shared" si="8"/>
        <v>97.2754902670237</v>
      </c>
      <c r="J32" s="44">
        <f t="shared" si="8"/>
        <v>98.251051582909</v>
      </c>
      <c r="K32" s="44">
        <f t="shared" si="8"/>
        <v>98.5225115512733</v>
      </c>
      <c r="L32" s="44">
        <f t="shared" si="8"/>
        <v>98.526104360864</v>
      </c>
      <c r="M32" s="44">
        <f t="shared" si="8"/>
        <v>97.9107776420636</v>
      </c>
      <c r="N32" s="44">
        <f t="shared" si="8"/>
        <v>97.4603363040473</v>
      </c>
      <c r="O32" s="44">
        <f t="shared" si="8"/>
        <v>97.4555994820297</v>
      </c>
      <c r="P32" s="44">
        <f t="shared" si="8"/>
        <v>97.8102622644586</v>
      </c>
      <c r="R32" s="46">
        <f>AVERAGEIF(E32:Q32,"&lt;&gt;0")</f>
        <v>96.3098355459285</v>
      </c>
    </row>
    <row r="33" spans="3:18">
      <c r="C33" s="43" t="s">
        <v>45</v>
      </c>
      <c r="D33" s="43"/>
      <c r="F33" s="44">
        <f t="shared" ref="F33:P33" si="9">F14/F$16*100</f>
        <v>11.255081300813</v>
      </c>
      <c r="G33" s="44">
        <f t="shared" si="9"/>
        <v>7.81325204556393</v>
      </c>
      <c r="H33" s="44">
        <f t="shared" si="9"/>
        <v>4.73560910307898</v>
      </c>
      <c r="I33" s="44">
        <f t="shared" si="9"/>
        <v>2.72450973297634</v>
      </c>
      <c r="J33" s="44">
        <f t="shared" si="9"/>
        <v>1.74894841709099</v>
      </c>
      <c r="K33" s="44">
        <f t="shared" si="9"/>
        <v>1.47748844872667</v>
      </c>
      <c r="L33" s="44">
        <f t="shared" si="9"/>
        <v>0.76523756312149</v>
      </c>
      <c r="M33" s="44">
        <f t="shared" si="9"/>
        <v>0.764264526260687</v>
      </c>
      <c r="N33" s="44">
        <f t="shared" si="9"/>
        <v>0.611384816287766</v>
      </c>
      <c r="O33" s="44">
        <f t="shared" si="9"/>
        <v>0.692913926026293</v>
      </c>
      <c r="P33" s="44">
        <f t="shared" si="9"/>
        <v>0.784273027827608</v>
      </c>
      <c r="R33" s="46">
        <f>AVERAGEIF(E33:Q33,"&lt;&gt;0")</f>
        <v>3.03390571888852</v>
      </c>
    </row>
    <row r="34" spans="3:18">
      <c r="C34" s="43" t="s">
        <v>46</v>
      </c>
      <c r="D34" s="43"/>
      <c r="F34" s="44"/>
      <c r="G34" s="44"/>
      <c r="H34" s="44"/>
      <c r="I34" s="44"/>
      <c r="J34" s="44"/>
      <c r="K34" s="44"/>
      <c r="L34" s="44">
        <f t="shared" ref="F34:P34" si="10">L15/L$16*100</f>
        <v>0.708658076014541</v>
      </c>
      <c r="M34" s="44">
        <f t="shared" si="10"/>
        <v>1.32495783167568</v>
      </c>
      <c r="N34" s="44">
        <f t="shared" si="10"/>
        <v>1.92827887966488</v>
      </c>
      <c r="O34" s="44">
        <f t="shared" si="10"/>
        <v>1.85148659194402</v>
      </c>
      <c r="P34" s="44">
        <f t="shared" si="10"/>
        <v>1.40546470771375</v>
      </c>
      <c r="R34" s="46">
        <f>AVERAGEIF(E34:Q34,"&lt;&gt;0")</f>
        <v>1.44376921740257</v>
      </c>
    </row>
    <row r="35" s="22" customFormat="1" spans="5:23">
      <c r="E35" s="44"/>
      <c r="F35" s="45">
        <f t="shared" ref="F35:P35" si="11">SUM(F32:F34)</f>
        <v>100</v>
      </c>
      <c r="G35" s="45">
        <f t="shared" si="11"/>
        <v>100</v>
      </c>
      <c r="H35" s="45">
        <f t="shared" si="11"/>
        <v>100</v>
      </c>
      <c r="I35" s="45">
        <f t="shared" si="11"/>
        <v>100</v>
      </c>
      <c r="J35" s="45">
        <f t="shared" si="11"/>
        <v>100</v>
      </c>
      <c r="K35" s="45">
        <f t="shared" si="11"/>
        <v>100</v>
      </c>
      <c r="L35" s="45">
        <f t="shared" si="11"/>
        <v>100</v>
      </c>
      <c r="M35" s="45">
        <f t="shared" si="11"/>
        <v>100</v>
      </c>
      <c r="N35" s="45">
        <f t="shared" si="11"/>
        <v>100</v>
      </c>
      <c r="O35" s="45">
        <f t="shared" si="11"/>
        <v>100</v>
      </c>
      <c r="P35" s="45">
        <f t="shared" si="11"/>
        <v>100</v>
      </c>
      <c r="Q35" s="44"/>
      <c r="R35" s="44"/>
      <c r="S35" s="44"/>
      <c r="T35" s="44"/>
      <c r="U35" s="44"/>
      <c r="V35" s="44"/>
      <c r="W35" s="44"/>
    </row>
    <row r="36" s="22" customFormat="1" spans="5:23">
      <c r="E36" s="44"/>
      <c r="F36" s="46"/>
      <c r="G36" s="46"/>
      <c r="H36" s="46"/>
      <c r="I36" s="46"/>
      <c r="J36" s="46"/>
      <c r="K36" s="46"/>
      <c r="L36" s="46"/>
      <c r="M36" s="46"/>
      <c r="N36" s="46"/>
      <c r="O36" s="46"/>
      <c r="P36" s="46"/>
      <c r="Q36" s="46"/>
      <c r="R36" s="46"/>
      <c r="S36" s="44"/>
      <c r="T36" s="44"/>
      <c r="U36" s="44"/>
      <c r="V36" s="44"/>
      <c r="W36" s="44"/>
    </row>
    <row r="37" ht="15.75" spans="3:4">
      <c r="C37" s="42" t="s">
        <v>53</v>
      </c>
      <c r="D37" s="43"/>
    </row>
    <row r="38" spans="3:21">
      <c r="C38" s="43" t="s">
        <v>44</v>
      </c>
      <c r="D38" s="43"/>
      <c r="F38" s="47"/>
      <c r="G38" s="47">
        <f t="shared" ref="G38:P38" si="12">(G13-F13)/ABS(F13)*100</f>
        <v>64.5004294302892</v>
      </c>
      <c r="H38" s="47">
        <f t="shared" si="12"/>
        <v>48.6164288200487</v>
      </c>
      <c r="I38" s="47">
        <f t="shared" si="12"/>
        <v>57.415539551496</v>
      </c>
      <c r="J38" s="47">
        <f t="shared" si="12"/>
        <v>48.5661149339781</v>
      </c>
      <c r="K38" s="47">
        <f t="shared" si="12"/>
        <v>37.7322117069751</v>
      </c>
      <c r="L38" s="47">
        <f t="shared" si="12"/>
        <v>26.6155272390162</v>
      </c>
      <c r="M38" s="47">
        <f t="shared" si="12"/>
        <v>20.8369822697581</v>
      </c>
      <c r="N38" s="47">
        <f t="shared" si="12"/>
        <v>36.551461939669</v>
      </c>
      <c r="O38" s="47">
        <f t="shared" si="12"/>
        <v>-1.12412340995702</v>
      </c>
      <c r="P38" s="47">
        <f t="shared" si="12"/>
        <v>16.1084810193414</v>
      </c>
      <c r="R38" s="46">
        <f>AVERAGEIF(E38:Q38,"&lt;&gt;0")</f>
        <v>35.5819053500615</v>
      </c>
      <c r="U38" s="46" cm="1">
        <f t="array" ref="U38">_xlfn.STDEV.S(IF(E38:Q38&lt;&gt;0,E38:Q38))</f>
        <v>20.2248375107012</v>
      </c>
    </row>
    <row r="39" spans="3:21">
      <c r="C39" s="43" t="s">
        <v>45</v>
      </c>
      <c r="D39" s="43"/>
      <c r="F39" s="47"/>
      <c r="G39" s="47">
        <f t="shared" ref="G39:P39" si="13">(G14-F14)/ABS(F14)*100</f>
        <v>9.93227990970655</v>
      </c>
      <c r="H39" s="47">
        <f t="shared" si="13"/>
        <v>-12.8336755646817</v>
      </c>
      <c r="I39" s="47">
        <f t="shared" si="13"/>
        <v>-11.3074204946996</v>
      </c>
      <c r="J39" s="47">
        <f t="shared" si="13"/>
        <v>-5.57768924302789</v>
      </c>
      <c r="K39" s="47">
        <f t="shared" si="13"/>
        <v>16.0337552742616</v>
      </c>
      <c r="L39" s="47"/>
      <c r="M39" s="47">
        <f t="shared" si="13"/>
        <v>21.4417744916821</v>
      </c>
      <c r="N39" s="47">
        <f t="shared" si="13"/>
        <v>9.74124809741248</v>
      </c>
      <c r="O39" s="47">
        <f t="shared" si="13"/>
        <v>12.0665742024965</v>
      </c>
      <c r="P39" s="47">
        <f t="shared" si="13"/>
        <v>30.9405940594059</v>
      </c>
      <c r="R39" s="46">
        <f>AVERAGEIF(E39:Q39,"&lt;&gt;0")</f>
        <v>7.82638230361732</v>
      </c>
      <c r="U39" s="46" cm="1">
        <f t="array" ref="U39">_xlfn.STDEV.S(IF(E39:Q39&lt;&gt;0,E39:Q39))</f>
        <v>14.9402850472905</v>
      </c>
    </row>
    <row r="40" spans="3:21">
      <c r="C40" s="43" t="s">
        <v>46</v>
      </c>
      <c r="D40" s="43"/>
      <c r="F40" s="47"/>
      <c r="G40" s="47"/>
      <c r="H40" s="47"/>
      <c r="I40" s="47"/>
      <c r="J40" s="47"/>
      <c r="K40" s="47"/>
      <c r="L40" s="47"/>
      <c r="M40" s="47">
        <f>(M15-L15)/ABS(L15)*100</f>
        <v>127.345309381238</v>
      </c>
      <c r="N40" s="47">
        <f>(N15-M15)/ABS(M15)*100</f>
        <v>99.6488147497805</v>
      </c>
      <c r="O40" s="47">
        <f>(O15-N15)/ABS(N15)*100</f>
        <v>-5.05716798592788</v>
      </c>
      <c r="P40" s="47">
        <f>(P15-O15)/ABS(O15)*100</f>
        <v>-12.1815655396017</v>
      </c>
      <c r="R40" s="46">
        <f>AVERAGEIF(E40:Q40,"&lt;&gt;0")</f>
        <v>52.4388476513721</v>
      </c>
      <c r="U40" s="46" cm="1">
        <f t="array" ref="U40">_xlfn.STDEV.S(IF(E40:Q40&lt;&gt;0,E40:Q40))</f>
        <v>71.4640903238762</v>
      </c>
    </row>
    <row r="41" s="23" customFormat="1" spans="3:23">
      <c r="C41" s="48" t="s">
        <v>54</v>
      </c>
      <c r="D41" s="48"/>
      <c r="E41" s="49"/>
      <c r="F41" s="49"/>
      <c r="G41" s="49">
        <f t="shared" ref="G41:P41" si="14">(G16-F16)/ABS(F16)*100</f>
        <v>58.3587398373984</v>
      </c>
      <c r="H41" s="49">
        <f t="shared" si="14"/>
        <v>43.8151772822076</v>
      </c>
      <c r="I41" s="49">
        <f t="shared" si="14"/>
        <v>54.161088799643</v>
      </c>
      <c r="J41" s="49">
        <f t="shared" si="14"/>
        <v>47.0909617193719</v>
      </c>
      <c r="K41" s="49">
        <f t="shared" si="14"/>
        <v>37.352716896662</v>
      </c>
      <c r="L41" s="49">
        <f t="shared" si="14"/>
        <v>26.6109101328844</v>
      </c>
      <c r="M41" s="49">
        <f t="shared" si="14"/>
        <v>21.5963902287226</v>
      </c>
      <c r="N41" s="49">
        <f t="shared" si="14"/>
        <v>37.1825743034956</v>
      </c>
      <c r="O41" s="49">
        <f t="shared" si="14"/>
        <v>-1.1193175554783</v>
      </c>
      <c r="P41" s="49">
        <f t="shared" si="14"/>
        <v>15.6874683772265</v>
      </c>
      <c r="Q41" s="49"/>
      <c r="R41" s="62">
        <f>AVERAGEIF(E41:Q41,"&lt;&gt;0")</f>
        <v>34.0736710022134</v>
      </c>
      <c r="S41" s="62">
        <f>MEDIAN(E41:Q41)</f>
        <v>37.2676456000788</v>
      </c>
      <c r="T41" s="62"/>
      <c r="U41" s="62" cm="1">
        <f t="array" ref="U41">_xlfn.STDEV.S(IF(E41:Q41&lt;&gt;0,E41:Q41))</f>
        <v>18.4571797891263</v>
      </c>
      <c r="V41" s="49">
        <f>R41-U41</f>
        <v>15.6164912130871</v>
      </c>
      <c r="W41" s="49"/>
    </row>
    <row r="42" s="24" customFormat="1" spans="5:23">
      <c r="E42" s="47"/>
      <c r="F42" s="47"/>
      <c r="G42" s="47"/>
      <c r="H42" s="47"/>
      <c r="I42" s="47"/>
      <c r="J42" s="47"/>
      <c r="K42" s="47"/>
      <c r="L42" s="47"/>
      <c r="M42" s="47"/>
      <c r="N42" s="47"/>
      <c r="O42" s="47"/>
      <c r="P42" s="47"/>
      <c r="Q42" s="47"/>
      <c r="R42" s="47"/>
      <c r="S42" s="33"/>
      <c r="T42" s="33"/>
      <c r="U42" s="33"/>
      <c r="V42" s="47"/>
      <c r="W42" s="47"/>
    </row>
    <row r="44" ht="15.75" spans="3:4">
      <c r="C44" s="42" t="s">
        <v>55</v>
      </c>
      <c r="D44" s="43"/>
    </row>
    <row r="45" spans="3:21">
      <c r="C45" s="43" t="s">
        <v>44</v>
      </c>
      <c r="D45" s="43"/>
      <c r="G45" s="47"/>
      <c r="H45" s="47"/>
      <c r="I45" s="47"/>
      <c r="J45" s="47"/>
      <c r="K45" s="47"/>
      <c r="L45" s="47"/>
      <c r="M45" s="47">
        <f>(M19-L19)/ABS(L19)*100</f>
        <v>37.9269191617817</v>
      </c>
      <c r="N45" s="47">
        <f>(N19-M19)/ABS(M19)*100</f>
        <v>52.5576423881509</v>
      </c>
      <c r="O45" s="47">
        <f>(O19-N19)/ABS(N19)*100</f>
        <v>-28.8342841891035</v>
      </c>
      <c r="P45" s="47">
        <f>(P19-O19)/ABS(O19)*100</f>
        <v>47.3734792902182</v>
      </c>
      <c r="R45" s="46">
        <f>AVERAGEIF(E45:Q45,"&lt;&gt;0")</f>
        <v>27.2559391627618</v>
      </c>
      <c r="U45" s="46" cm="1">
        <f t="array" ref="U45">_xlfn.STDEV.S(IF(E45:Q45&lt;&gt;0,E45:Q45))</f>
        <v>37.8808420211198</v>
      </c>
    </row>
    <row r="46" spans="3:21">
      <c r="C46" s="43" t="s">
        <v>46</v>
      </c>
      <c r="D46" s="43"/>
      <c r="G46" s="47"/>
      <c r="H46" s="47"/>
      <c r="I46" s="47"/>
      <c r="J46" s="47"/>
      <c r="K46" s="47"/>
      <c r="L46" s="47"/>
      <c r="M46" s="47">
        <f>(M20-L20)/ABS(L20)*100</f>
        <v>-47.0797246280258</v>
      </c>
      <c r="N46" s="47">
        <f>(N20-M20)/ABS(M20)*100</f>
        <v>-53.9030650762494</v>
      </c>
      <c r="O46" s="47">
        <f>(O20-N20)/ABS(N20)*100</f>
        <v>-34.5727460021583</v>
      </c>
      <c r="P46" s="47">
        <f>(P20-O20)/ABS(O20)*100</f>
        <v>-17.5184078151199</v>
      </c>
      <c r="R46" s="46">
        <f>AVERAGEIF(E46:Q46,"&lt;&gt;0")</f>
        <v>-38.2684858803884</v>
      </c>
      <c r="U46" s="46" cm="1">
        <f t="array" ref="U46">_xlfn.STDEV.S(IF(E46:Q46&lt;&gt;0,E46:Q46))</f>
        <v>15.9823050888766</v>
      </c>
    </row>
    <row r="47" s="2" customFormat="1" spans="3:23">
      <c r="C47" s="50" t="s">
        <v>56</v>
      </c>
      <c r="D47" s="50"/>
      <c r="E47" s="51"/>
      <c r="F47" s="52"/>
      <c r="G47" s="49"/>
      <c r="H47" s="49"/>
      <c r="I47" s="49"/>
      <c r="J47" s="49"/>
      <c r="K47" s="49"/>
      <c r="L47" s="49"/>
      <c r="M47" s="49">
        <f>(M21-L21)/ABS(L21)*100</f>
        <v>36.2086216959893</v>
      </c>
      <c r="N47" s="49">
        <f>(N21-M21)/ABS(M21)*100</f>
        <v>52.2849009825227</v>
      </c>
      <c r="O47" s="49">
        <f>(O21-N21)/ABS(N21)*100</f>
        <v>-41.8246135911402</v>
      </c>
      <c r="P47" s="49">
        <f>(P21-O21)/ABS(O21)*100</f>
        <v>61.5222498618021</v>
      </c>
      <c r="Q47" s="51"/>
      <c r="R47" s="62">
        <f>AVERAGEIF(E47:Q47,"&lt;&gt;0")</f>
        <v>27.0477897372935</v>
      </c>
      <c r="S47" s="62">
        <f>MEDIAN(E47:Q47)</f>
        <v>44.246761339256</v>
      </c>
      <c r="T47" s="62"/>
      <c r="U47" s="62" cm="1">
        <f t="array" ref="U47">_xlfn.STDEV.S(IF(E47:Q47&lt;&gt;0,E47:Q47))</f>
        <v>47.0911490880198</v>
      </c>
      <c r="V47" s="52"/>
      <c r="W47" s="51"/>
    </row>
    <row r="51" ht="15.75" spans="2:2">
      <c r="B51" s="36" t="s">
        <v>57</v>
      </c>
    </row>
    <row r="52" spans="2:16">
      <c r="B52" t="s">
        <v>58</v>
      </c>
      <c r="F52" s="32">
        <v>7872</v>
      </c>
      <c r="G52" s="32">
        <v>12466</v>
      </c>
      <c r="H52" s="32">
        <v>17928</v>
      </c>
      <c r="I52" s="32">
        <v>27638</v>
      </c>
      <c r="J52" s="32">
        <v>40653</v>
      </c>
      <c r="K52" s="32">
        <v>55838</v>
      </c>
      <c r="L52" s="32">
        <v>70697</v>
      </c>
      <c r="M52" s="32">
        <v>85965</v>
      </c>
      <c r="N52" s="32">
        <v>117929</v>
      </c>
      <c r="O52" s="32">
        <v>116609</v>
      </c>
      <c r="P52" s="32">
        <v>134902</v>
      </c>
    </row>
    <row r="53" spans="2:16">
      <c r="B53" t="s">
        <v>59</v>
      </c>
      <c r="F53" s="32">
        <v>1875</v>
      </c>
      <c r="G53" s="32">
        <v>2153</v>
      </c>
      <c r="H53" s="32">
        <v>2867</v>
      </c>
      <c r="I53" s="32">
        <v>3789</v>
      </c>
      <c r="J53" s="32">
        <v>5454</v>
      </c>
      <c r="K53" s="32">
        <v>9355</v>
      </c>
      <c r="L53" s="32">
        <v>12770</v>
      </c>
      <c r="M53" s="32">
        <v>16692</v>
      </c>
      <c r="N53" s="32">
        <v>22649</v>
      </c>
      <c r="O53" s="32">
        <v>25249</v>
      </c>
      <c r="P53" s="32">
        <v>25959</v>
      </c>
    </row>
    <row r="54" spans="2:16">
      <c r="B54" t="s">
        <v>60</v>
      </c>
      <c r="F54" s="38">
        <f t="shared" ref="F54:P54" si="15">F52-F53</f>
        <v>5997</v>
      </c>
      <c r="G54" s="38">
        <f t="shared" si="15"/>
        <v>10313</v>
      </c>
      <c r="H54" s="38">
        <f t="shared" si="15"/>
        <v>15061</v>
      </c>
      <c r="I54" s="38">
        <f t="shared" si="15"/>
        <v>23849</v>
      </c>
      <c r="J54" s="38">
        <f t="shared" si="15"/>
        <v>35199</v>
      </c>
      <c r="K54" s="38">
        <f t="shared" si="15"/>
        <v>46483</v>
      </c>
      <c r="L54" s="38">
        <f t="shared" si="15"/>
        <v>57927</v>
      </c>
      <c r="M54" s="38">
        <f t="shared" si="15"/>
        <v>69273</v>
      </c>
      <c r="N54" s="38">
        <f t="shared" si="15"/>
        <v>95280</v>
      </c>
      <c r="O54" s="38">
        <f t="shared" si="15"/>
        <v>91360</v>
      </c>
      <c r="P54" s="38">
        <f t="shared" si="15"/>
        <v>108943</v>
      </c>
    </row>
    <row r="55" s="25" customFormat="1" ht="15.75" spans="3:23">
      <c r="C55" s="53" t="s">
        <v>61</v>
      </c>
      <c r="D55" s="54"/>
      <c r="E55" s="55"/>
      <c r="F55" s="56">
        <f t="shared" ref="F55:P55" si="16">IFERROR(F54/F52*100,0)</f>
        <v>76.1814024390244</v>
      </c>
      <c r="G55" s="56">
        <f t="shared" si="16"/>
        <v>82.7290229424033</v>
      </c>
      <c r="H55" s="56">
        <f t="shared" si="16"/>
        <v>84.008255243195</v>
      </c>
      <c r="I55" s="56">
        <f t="shared" si="16"/>
        <v>86.2906143715175</v>
      </c>
      <c r="J55" s="56">
        <f t="shared" si="16"/>
        <v>86.584015939783</v>
      </c>
      <c r="K55" s="56">
        <f t="shared" si="16"/>
        <v>83.2461764389842</v>
      </c>
      <c r="L55" s="56">
        <f t="shared" si="16"/>
        <v>81.9369987411064</v>
      </c>
      <c r="M55" s="56">
        <f t="shared" si="16"/>
        <v>80.5827953236782</v>
      </c>
      <c r="N55" s="56">
        <f t="shared" si="16"/>
        <v>80.7943762772516</v>
      </c>
      <c r="O55" s="56">
        <f t="shared" si="16"/>
        <v>78.3472973784185</v>
      </c>
      <c r="P55" s="56">
        <f t="shared" si="16"/>
        <v>80.757142221761</v>
      </c>
      <c r="Q55" s="55"/>
      <c r="R55" s="49">
        <f>AVERAGE(E55:Q55)</f>
        <v>81.9507361197385</v>
      </c>
      <c r="S55" s="56"/>
      <c r="T55" s="56"/>
      <c r="U55" s="56"/>
      <c r="V55" s="56"/>
      <c r="W55" s="55"/>
    </row>
    <row r="57" spans="2:18">
      <c r="B57" t="s">
        <v>62</v>
      </c>
      <c r="F57" s="32">
        <v>1415</v>
      </c>
      <c r="G57" s="32">
        <v>2666</v>
      </c>
      <c r="H57" s="32">
        <v>4816</v>
      </c>
      <c r="I57" s="32">
        <v>5919</v>
      </c>
      <c r="J57" s="32">
        <v>7754</v>
      </c>
      <c r="K57" s="32">
        <v>10273</v>
      </c>
      <c r="L57" s="32">
        <v>13600</v>
      </c>
      <c r="M57" s="32">
        <v>18447</v>
      </c>
      <c r="N57" s="32">
        <v>24655</v>
      </c>
      <c r="O57" s="32">
        <v>35338</v>
      </c>
      <c r="P57" s="32">
        <v>38483</v>
      </c>
      <c r="R57" s="33">
        <f>AVERAGE(E57:Q57)/AVERAGE($E$52:$Q$52)*100</f>
        <v>23.727917478217</v>
      </c>
    </row>
    <row r="58" spans="2:18">
      <c r="B58" t="s">
        <v>63</v>
      </c>
      <c r="F58" s="32">
        <v>997</v>
      </c>
      <c r="G58" s="32">
        <v>1680</v>
      </c>
      <c r="H58" s="32">
        <v>2725</v>
      </c>
      <c r="I58" s="32">
        <v>3772</v>
      </c>
      <c r="J58" s="32">
        <v>4725</v>
      </c>
      <c r="K58" s="32">
        <v>7846</v>
      </c>
      <c r="L58" s="32">
        <v>9876</v>
      </c>
      <c r="M58" s="32">
        <v>11591</v>
      </c>
      <c r="N58" s="32">
        <v>14043</v>
      </c>
      <c r="O58" s="32">
        <v>15262</v>
      </c>
      <c r="P58" s="32">
        <v>12301</v>
      </c>
      <c r="R58" s="33">
        <f>AVERAGE(E58:Q58)/AVERAGE($E$52:$Q$52)*100</f>
        <v>12.3192984137912</v>
      </c>
    </row>
    <row r="59" spans="2:18">
      <c r="B59" t="s">
        <v>64</v>
      </c>
      <c r="F59" s="32">
        <v>781</v>
      </c>
      <c r="G59" s="32">
        <v>973</v>
      </c>
      <c r="H59" s="32">
        <v>1295</v>
      </c>
      <c r="I59" s="32">
        <v>1731</v>
      </c>
      <c r="J59" s="32">
        <v>2517</v>
      </c>
      <c r="K59" s="32">
        <v>3451</v>
      </c>
      <c r="L59" s="32">
        <v>10465</v>
      </c>
      <c r="M59" s="32">
        <v>6564</v>
      </c>
      <c r="N59" s="32">
        <v>9829</v>
      </c>
      <c r="O59" s="32">
        <v>11816</v>
      </c>
      <c r="P59" s="32">
        <v>11408</v>
      </c>
      <c r="R59" s="33"/>
    </row>
    <row r="60" spans="2:16">
      <c r="B60" t="s">
        <v>65</v>
      </c>
      <c r="F60" s="38">
        <f>SUM(F57:F59)</f>
        <v>3193</v>
      </c>
      <c r="G60" s="38">
        <f t="shared" ref="G60:P60" si="17">SUM(G57:G59)</f>
        <v>5319</v>
      </c>
      <c r="H60" s="38">
        <f t="shared" si="17"/>
        <v>8836</v>
      </c>
      <c r="I60" s="38">
        <f t="shared" si="17"/>
        <v>11422</v>
      </c>
      <c r="J60" s="38">
        <f t="shared" si="17"/>
        <v>14996</v>
      </c>
      <c r="K60" s="38">
        <f t="shared" si="17"/>
        <v>21570</v>
      </c>
      <c r="L60" s="38">
        <f t="shared" si="17"/>
        <v>33941</v>
      </c>
      <c r="M60" s="38">
        <f t="shared" si="17"/>
        <v>36602</v>
      </c>
      <c r="N60" s="38">
        <f t="shared" si="17"/>
        <v>48527</v>
      </c>
      <c r="O60" s="38">
        <f t="shared" si="17"/>
        <v>62416</v>
      </c>
      <c r="P60" s="38">
        <f t="shared" si="17"/>
        <v>62192</v>
      </c>
    </row>
    <row r="62" spans="2:16">
      <c r="B62" t="s">
        <v>66</v>
      </c>
      <c r="F62" s="38">
        <f t="shared" ref="F62:P62" si="18">F54-F60</f>
        <v>2804</v>
      </c>
      <c r="G62" s="38">
        <f t="shared" si="18"/>
        <v>4994</v>
      </c>
      <c r="H62" s="38">
        <f t="shared" si="18"/>
        <v>6225</v>
      </c>
      <c r="I62" s="38">
        <f t="shared" si="18"/>
        <v>12427</v>
      </c>
      <c r="J62" s="38">
        <f t="shared" si="18"/>
        <v>20203</v>
      </c>
      <c r="K62" s="38">
        <f t="shared" si="18"/>
        <v>24913</v>
      </c>
      <c r="L62" s="38">
        <f t="shared" si="18"/>
        <v>23986</v>
      </c>
      <c r="M62" s="38">
        <f t="shared" si="18"/>
        <v>32671</v>
      </c>
      <c r="N62" s="38">
        <f t="shared" si="18"/>
        <v>46753</v>
      </c>
      <c r="O62" s="38">
        <f t="shared" si="18"/>
        <v>28944</v>
      </c>
      <c r="P62" s="38">
        <f t="shared" si="18"/>
        <v>46751</v>
      </c>
    </row>
    <row r="63" s="25" customFormat="1" ht="15.75" spans="3:23">
      <c r="C63" s="53" t="s">
        <v>67</v>
      </c>
      <c r="D63" s="54"/>
      <c r="E63" s="55"/>
      <c r="F63" s="56">
        <f t="shared" ref="F63:P63" si="19">IFERROR(F62/F52*100,0)</f>
        <v>35.619918699187</v>
      </c>
      <c r="G63" s="56">
        <f t="shared" si="19"/>
        <v>40.0609658270496</v>
      </c>
      <c r="H63" s="56">
        <f t="shared" si="19"/>
        <v>34.7222222222222</v>
      </c>
      <c r="I63" s="56">
        <f t="shared" si="19"/>
        <v>44.9634561111513</v>
      </c>
      <c r="J63" s="56">
        <f t="shared" si="19"/>
        <v>49.6962093818414</v>
      </c>
      <c r="K63" s="56">
        <f t="shared" si="19"/>
        <v>44.6165693613668</v>
      </c>
      <c r="L63" s="56">
        <f t="shared" si="19"/>
        <v>33.9278894436822</v>
      </c>
      <c r="M63" s="56">
        <f t="shared" si="19"/>
        <v>38.0050020357122</v>
      </c>
      <c r="N63" s="56">
        <f t="shared" si="19"/>
        <v>39.6450406600582</v>
      </c>
      <c r="O63" s="56">
        <f t="shared" si="19"/>
        <v>24.8214117263676</v>
      </c>
      <c r="P63" s="56">
        <f t="shared" si="19"/>
        <v>34.6555277164164</v>
      </c>
      <c r="Q63" s="55"/>
      <c r="R63" s="49">
        <f>AVERAGE(E63:Q63)</f>
        <v>38.248564835005</v>
      </c>
      <c r="S63" s="56"/>
      <c r="T63" s="56"/>
      <c r="U63" s="56"/>
      <c r="V63" s="56"/>
      <c r="W63" s="55"/>
    </row>
    <row r="65" spans="2:18">
      <c r="B65" t="s">
        <v>68</v>
      </c>
      <c r="F65" s="32">
        <v>-50</v>
      </c>
      <c r="G65" s="32">
        <v>-84</v>
      </c>
      <c r="H65" s="32">
        <v>-31</v>
      </c>
      <c r="I65" s="32">
        <v>91</v>
      </c>
      <c r="J65" s="32">
        <v>391</v>
      </c>
      <c r="K65" s="32">
        <f>448</f>
        <v>448</v>
      </c>
      <c r="L65" s="32">
        <v>826</v>
      </c>
      <c r="M65" s="32">
        <v>509</v>
      </c>
      <c r="N65" s="32">
        <v>531</v>
      </c>
      <c r="O65" s="32">
        <v>-125</v>
      </c>
      <c r="P65" s="32">
        <v>677</v>
      </c>
      <c r="R65" s="33">
        <f>AVERAGE(E65:Q65)/AVERAGE(E52:Q52)*100</f>
        <v>0.462311382620404</v>
      </c>
    </row>
    <row r="67" spans="2:16">
      <c r="B67" t="s">
        <v>69</v>
      </c>
      <c r="F67" s="38">
        <f t="shared" ref="F67:P67" si="20">F62+F65</f>
        <v>2754</v>
      </c>
      <c r="G67" s="38">
        <f t="shared" si="20"/>
        <v>4910</v>
      </c>
      <c r="H67" s="38">
        <f t="shared" si="20"/>
        <v>6194</v>
      </c>
      <c r="I67" s="38">
        <f t="shared" si="20"/>
        <v>12518</v>
      </c>
      <c r="J67" s="38">
        <f t="shared" si="20"/>
        <v>20594</v>
      </c>
      <c r="K67" s="38">
        <f t="shared" si="20"/>
        <v>25361</v>
      </c>
      <c r="L67" s="38">
        <f t="shared" si="20"/>
        <v>24812</v>
      </c>
      <c r="M67" s="38">
        <f t="shared" si="20"/>
        <v>33180</v>
      </c>
      <c r="N67" s="38">
        <f t="shared" si="20"/>
        <v>47284</v>
      </c>
      <c r="O67" s="38">
        <f t="shared" si="20"/>
        <v>28819</v>
      </c>
      <c r="P67" s="38">
        <f t="shared" si="20"/>
        <v>47428</v>
      </c>
    </row>
    <row r="69" spans="2:18">
      <c r="B69" t="s">
        <v>70</v>
      </c>
      <c r="F69" s="32">
        <v>1254</v>
      </c>
      <c r="G69" s="32">
        <v>1970</v>
      </c>
      <c r="H69" s="32">
        <v>2506</v>
      </c>
      <c r="I69" s="32">
        <v>2301</v>
      </c>
      <c r="J69" s="32">
        <v>4660</v>
      </c>
      <c r="K69" s="32">
        <v>3249</v>
      </c>
      <c r="L69" s="32">
        <v>6327</v>
      </c>
      <c r="M69" s="32">
        <v>4034</v>
      </c>
      <c r="N69" s="32">
        <v>7914</v>
      </c>
      <c r="O69" s="32">
        <v>5619</v>
      </c>
      <c r="P69" s="32">
        <v>8330</v>
      </c>
      <c r="R69" s="33">
        <f>AVERAGE(E69:Q69)/AVERAGE(E67:Q67)*100</f>
        <v>18.9731105280988</v>
      </c>
    </row>
    <row r="71" spans="2:16">
      <c r="B71" t="s">
        <v>71</v>
      </c>
      <c r="F71" s="38">
        <f t="shared" ref="F71:P71" si="21">F67-F69</f>
        <v>1500</v>
      </c>
      <c r="G71" s="38">
        <f t="shared" si="21"/>
        <v>2940</v>
      </c>
      <c r="H71" s="38">
        <f t="shared" si="21"/>
        <v>3688</v>
      </c>
      <c r="I71" s="38">
        <f t="shared" si="21"/>
        <v>10217</v>
      </c>
      <c r="J71" s="38">
        <f t="shared" si="21"/>
        <v>15934</v>
      </c>
      <c r="K71" s="38">
        <f t="shared" si="21"/>
        <v>22112</v>
      </c>
      <c r="L71" s="38">
        <f t="shared" si="21"/>
        <v>18485</v>
      </c>
      <c r="M71" s="38">
        <f t="shared" si="21"/>
        <v>29146</v>
      </c>
      <c r="N71" s="38">
        <f t="shared" si="21"/>
        <v>39370</v>
      </c>
      <c r="O71" s="38">
        <f t="shared" si="21"/>
        <v>23200</v>
      </c>
      <c r="P71" s="38">
        <f t="shared" si="21"/>
        <v>39098</v>
      </c>
    </row>
    <row r="72" ht="15.75" spans="3:18">
      <c r="C72" s="53" t="s">
        <v>72</v>
      </c>
      <c r="D72" s="43"/>
      <c r="F72" s="56">
        <f>IFERROR(F71/F52*100,0)</f>
        <v>19.0548780487805</v>
      </c>
      <c r="G72" s="56">
        <f t="shared" ref="G72:P72" si="22">IFERROR(G71/G52*100,0)</f>
        <v>23.5841488849671</v>
      </c>
      <c r="H72" s="56">
        <f t="shared" si="22"/>
        <v>20.5711735832218</v>
      </c>
      <c r="I72" s="56">
        <f t="shared" si="22"/>
        <v>36.9672190462407</v>
      </c>
      <c r="J72" s="56">
        <f t="shared" si="22"/>
        <v>39.1951393501095</v>
      </c>
      <c r="K72" s="56">
        <f t="shared" si="22"/>
        <v>39.6002722160536</v>
      </c>
      <c r="L72" s="56">
        <f t="shared" si="22"/>
        <v>26.146795479299</v>
      </c>
      <c r="M72" s="56">
        <f t="shared" si="22"/>
        <v>33.9044960158204</v>
      </c>
      <c r="N72" s="56">
        <f t="shared" si="22"/>
        <v>33.3844940599853</v>
      </c>
      <c r="O72" s="56">
        <f t="shared" si="22"/>
        <v>19.895548371052</v>
      </c>
      <c r="P72" s="56">
        <f t="shared" si="22"/>
        <v>28.9825206446161</v>
      </c>
      <c r="R72" s="49">
        <f>AVERAGE(E72:Q72)</f>
        <v>29.2078805181951</v>
      </c>
    </row>
    <row r="76" customFormat="1" ht="15.75" spans="3:23">
      <c r="C76" s="42" t="s">
        <v>73</v>
      </c>
      <c r="D76" s="43"/>
      <c r="E76" s="31"/>
      <c r="F76" s="32"/>
      <c r="G76" s="32"/>
      <c r="H76" s="32"/>
      <c r="I76" s="32"/>
      <c r="J76" s="32"/>
      <c r="K76" s="32"/>
      <c r="L76" s="32"/>
      <c r="M76" s="32"/>
      <c r="N76" s="32"/>
      <c r="O76" s="32"/>
      <c r="P76" s="32"/>
      <c r="Q76" s="31"/>
      <c r="R76" s="32"/>
      <c r="S76" s="33"/>
      <c r="T76" s="33"/>
      <c r="U76" s="33"/>
      <c r="V76" s="32"/>
      <c r="W76" s="31"/>
    </row>
    <row r="77" customFormat="1" spans="3:23">
      <c r="C77" s="63" t="s">
        <v>74</v>
      </c>
      <c r="D77" s="43"/>
      <c r="E77" s="31"/>
      <c r="F77" s="64">
        <f>1970+577</f>
        <v>2547</v>
      </c>
      <c r="G77" s="64">
        <f>2234+563</f>
        <v>2797</v>
      </c>
      <c r="H77" s="64">
        <f>2293+552</f>
        <v>2845</v>
      </c>
      <c r="I77" s="64">
        <f>2354+538</f>
        <v>2892</v>
      </c>
      <c r="J77" s="64">
        <f>2397+509</f>
        <v>2906</v>
      </c>
      <c r="K77" s="64">
        <f>2385+469</f>
        <v>2854</v>
      </c>
      <c r="L77" s="64">
        <f>2407+445</f>
        <v>2852</v>
      </c>
      <c r="M77" s="64">
        <f>2406+443</f>
        <v>2849</v>
      </c>
      <c r="N77" s="64">
        <f>2328+413</f>
        <v>2741</v>
      </c>
      <c r="O77" s="64">
        <f>2247+367</f>
        <v>2614</v>
      </c>
      <c r="P77" s="64">
        <f>2200+350</f>
        <v>2550</v>
      </c>
      <c r="Q77" s="31"/>
      <c r="R77" s="32"/>
      <c r="S77" s="33"/>
      <c r="T77" s="33"/>
      <c r="U77" s="33"/>
      <c r="V77" s="32"/>
      <c r="W77" s="31"/>
    </row>
    <row r="78" s="26" customFormat="1" spans="3:23">
      <c r="C78" s="63" t="s">
        <v>75</v>
      </c>
      <c r="D78" s="63"/>
      <c r="E78" s="65"/>
      <c r="F78" s="64">
        <f t="shared" ref="F78:P78" si="23">F77</f>
        <v>2547</v>
      </c>
      <c r="G78" s="64">
        <f t="shared" si="23"/>
        <v>2797</v>
      </c>
      <c r="H78" s="64">
        <f t="shared" si="23"/>
        <v>2845</v>
      </c>
      <c r="I78" s="64">
        <f t="shared" si="23"/>
        <v>2892</v>
      </c>
      <c r="J78" s="64">
        <f t="shared" si="23"/>
        <v>2906</v>
      </c>
      <c r="K78" s="64">
        <f t="shared" si="23"/>
        <v>2854</v>
      </c>
      <c r="L78" s="64">
        <f t="shared" si="23"/>
        <v>2852</v>
      </c>
      <c r="M78" s="64">
        <f t="shared" si="23"/>
        <v>2849</v>
      </c>
      <c r="N78" s="64">
        <f t="shared" si="23"/>
        <v>2741</v>
      </c>
      <c r="O78" s="64">
        <f t="shared" si="23"/>
        <v>2614</v>
      </c>
      <c r="P78" s="64">
        <f t="shared" si="23"/>
        <v>2550</v>
      </c>
      <c r="Q78" s="65"/>
      <c r="R78" s="64"/>
      <c r="S78" s="44"/>
      <c r="T78" s="44"/>
      <c r="U78" s="44"/>
      <c r="V78" s="64"/>
      <c r="W78" s="65"/>
    </row>
    <row r="79" s="27" customFormat="1" spans="3:23">
      <c r="C79" s="66" t="s">
        <v>76</v>
      </c>
      <c r="D79" s="67"/>
      <c r="E79" s="33"/>
      <c r="F79" s="33">
        <v>62.57</v>
      </c>
      <c r="G79" s="33">
        <v>75.91</v>
      </c>
      <c r="H79" s="33">
        <v>112.21</v>
      </c>
      <c r="I79" s="33">
        <v>130.32</v>
      </c>
      <c r="J79" s="33">
        <v>186.89</v>
      </c>
      <c r="K79" s="33">
        <v>166.69</v>
      </c>
      <c r="L79" s="33">
        <v>201.91</v>
      </c>
      <c r="M79" s="33">
        <v>258.33</v>
      </c>
      <c r="N79" s="33">
        <v>313.26</v>
      </c>
      <c r="O79" s="33">
        <v>148.97</v>
      </c>
      <c r="P79" s="33">
        <v>390.14</v>
      </c>
      <c r="Q79" s="33"/>
      <c r="R79" s="33"/>
      <c r="S79" s="33"/>
      <c r="T79" s="33">
        <f>((P79/F79)^(1/4)-1)*100</f>
        <v>58.0205544074477</v>
      </c>
      <c r="U79" s="33"/>
      <c r="V79" s="33"/>
      <c r="W79" s="33"/>
    </row>
    <row r="80" s="22" customFormat="1" spans="3:23">
      <c r="C80" s="66" t="s">
        <v>12</v>
      </c>
      <c r="D80" s="66"/>
      <c r="E80" s="44"/>
      <c r="F80" s="44">
        <f t="shared" ref="F80:P80" si="24">IFERROR(F71/F78,0)</f>
        <v>0.588928150765607</v>
      </c>
      <c r="G80" s="44">
        <f t="shared" si="24"/>
        <v>1.05112620664998</v>
      </c>
      <c r="H80" s="44">
        <f t="shared" si="24"/>
        <v>1.29630931458699</v>
      </c>
      <c r="I80" s="44">
        <f t="shared" si="24"/>
        <v>3.53284923928077</v>
      </c>
      <c r="J80" s="44">
        <f t="shared" si="24"/>
        <v>5.48313833448039</v>
      </c>
      <c r="K80" s="44">
        <f t="shared" si="24"/>
        <v>7.74772249474422</v>
      </c>
      <c r="L80" s="44">
        <f t="shared" si="24"/>
        <v>6.48141654978962</v>
      </c>
      <c r="M80" s="44">
        <f t="shared" si="24"/>
        <v>10.2302562302562</v>
      </c>
      <c r="N80" s="44">
        <f t="shared" si="24"/>
        <v>14.3633710324699</v>
      </c>
      <c r="O80" s="44">
        <f t="shared" si="24"/>
        <v>8.87528691660291</v>
      </c>
      <c r="P80" s="44">
        <f t="shared" si="24"/>
        <v>15.3325490196078</v>
      </c>
      <c r="Q80" s="44"/>
      <c r="R80" s="44"/>
      <c r="S80" s="44"/>
      <c r="T80" s="44"/>
      <c r="U80" s="44"/>
      <c r="V80" s="44"/>
      <c r="W80" s="44"/>
    </row>
    <row r="81" s="28" customFormat="1" spans="3:23">
      <c r="C81" s="68" t="s">
        <v>77</v>
      </c>
      <c r="D81" s="69"/>
      <c r="E81" s="52"/>
      <c r="F81" s="52">
        <f t="shared" ref="F81:P81" si="25">F79/F80</f>
        <v>106.24386</v>
      </c>
      <c r="G81" s="52">
        <f t="shared" si="25"/>
        <v>72.2177789115646</v>
      </c>
      <c r="H81" s="52">
        <f t="shared" si="25"/>
        <v>86.5611306941432</v>
      </c>
      <c r="I81" s="52">
        <f t="shared" si="25"/>
        <v>36.8880728198101</v>
      </c>
      <c r="J81" s="52">
        <f t="shared" si="25"/>
        <v>34.0844947910129</v>
      </c>
      <c r="K81" s="52">
        <f t="shared" si="25"/>
        <v>21.5147096599132</v>
      </c>
      <c r="L81" s="52">
        <f t="shared" si="25"/>
        <v>31.1521406545848</v>
      </c>
      <c r="M81" s="52">
        <f t="shared" si="25"/>
        <v>25.2515669388595</v>
      </c>
      <c r="N81" s="52">
        <f t="shared" si="25"/>
        <v>21.8096433832868</v>
      </c>
      <c r="O81" s="52">
        <f t="shared" si="25"/>
        <v>16.7848094827586</v>
      </c>
      <c r="P81" s="52">
        <f t="shared" si="25"/>
        <v>25.4452145889815</v>
      </c>
      <c r="Q81" s="52"/>
      <c r="R81" s="52">
        <f>AVERAGE(E81:Q81)</f>
        <v>43.4503110840832</v>
      </c>
      <c r="S81" s="62"/>
      <c r="T81" s="62"/>
      <c r="U81" s="62">
        <f>_xlfn.STDEV.S(E81:Q81)</f>
        <v>30.376112509973</v>
      </c>
      <c r="V81" s="62">
        <f>R81-U81</f>
        <v>13.0741985741102</v>
      </c>
      <c r="W81" s="52"/>
    </row>
    <row r="82" s="29" customFormat="1" spans="3:23">
      <c r="C82" s="66" t="s">
        <v>78</v>
      </c>
      <c r="D82" s="70"/>
      <c r="E82" s="46"/>
      <c r="F82" s="46">
        <f t="shared" ref="F82:P82" si="26">F52/F78</f>
        <v>3.0906949352179</v>
      </c>
      <c r="G82" s="46">
        <f t="shared" si="26"/>
        <v>4.45691812656418</v>
      </c>
      <c r="H82" s="46">
        <f t="shared" si="26"/>
        <v>6.30158172231986</v>
      </c>
      <c r="I82" s="46">
        <f t="shared" si="26"/>
        <v>9.5567081604426</v>
      </c>
      <c r="J82" s="46">
        <f t="shared" si="26"/>
        <v>13.9893324156917</v>
      </c>
      <c r="K82" s="46">
        <f t="shared" si="26"/>
        <v>19.5648213034338</v>
      </c>
      <c r="L82" s="46">
        <f t="shared" si="26"/>
        <v>24.7885694249649</v>
      </c>
      <c r="M82" s="46">
        <f t="shared" si="26"/>
        <v>30.1737451737452</v>
      </c>
      <c r="N82" s="46">
        <f t="shared" si="26"/>
        <v>43.0240788033564</v>
      </c>
      <c r="O82" s="46">
        <f t="shared" si="26"/>
        <v>44.6094108645754</v>
      </c>
      <c r="P82" s="46">
        <f t="shared" si="26"/>
        <v>52.9027450980392</v>
      </c>
      <c r="Q82" s="46"/>
      <c r="R82" s="46"/>
      <c r="S82" s="46"/>
      <c r="T82" s="46"/>
      <c r="U82" s="46"/>
      <c r="V82" s="46"/>
      <c r="W82" s="46"/>
    </row>
    <row r="83" s="28" customFormat="1" spans="3:23">
      <c r="C83" s="68" t="s">
        <v>79</v>
      </c>
      <c r="D83" s="69"/>
      <c r="E83" s="52"/>
      <c r="F83" s="52">
        <f t="shared" ref="F83:P83" si="27">F79/F82</f>
        <v>20.2446379573171</v>
      </c>
      <c r="G83" s="52">
        <f t="shared" si="27"/>
        <v>17.0319484999198</v>
      </c>
      <c r="H83" s="52">
        <f t="shared" si="27"/>
        <v>17.8066404506917</v>
      </c>
      <c r="I83" s="52">
        <f t="shared" si="27"/>
        <v>13.636494681236</v>
      </c>
      <c r="J83" s="52">
        <f t="shared" si="27"/>
        <v>13.3594652301183</v>
      </c>
      <c r="K83" s="52">
        <f t="shared" si="27"/>
        <v>8.51988359181919</v>
      </c>
      <c r="L83" s="52">
        <f t="shared" si="27"/>
        <v>8.14528650437784</v>
      </c>
      <c r="M83" s="52">
        <f t="shared" si="27"/>
        <v>8.56141650671785</v>
      </c>
      <c r="N83" s="52">
        <f t="shared" si="27"/>
        <v>7.28103909979734</v>
      </c>
      <c r="O83" s="52">
        <f t="shared" si="27"/>
        <v>3.33942988963116</v>
      </c>
      <c r="P83" s="52">
        <f t="shared" si="27"/>
        <v>7.37466457131844</v>
      </c>
      <c r="Q83" s="52"/>
      <c r="R83" s="52">
        <f t="shared" ref="R83:R88" si="28">AVERAGE(E83:Q83)</f>
        <v>11.3909915439041</v>
      </c>
      <c r="S83" s="62"/>
      <c r="T83" s="62"/>
      <c r="U83" s="62">
        <f>_xlfn.STDEV.S(E83:Q83)</f>
        <v>5.33778762751861</v>
      </c>
      <c r="V83" s="62">
        <f>R83-U83</f>
        <v>6.05320391638545</v>
      </c>
      <c r="W83" s="52"/>
    </row>
    <row r="84" s="30" customFormat="1" spans="3:23">
      <c r="C84" s="64"/>
      <c r="D84" s="32"/>
      <c r="E84" s="32"/>
      <c r="F84" s="32"/>
      <c r="G84" s="32"/>
      <c r="H84" s="32"/>
      <c r="I84" s="32"/>
      <c r="J84" s="32"/>
      <c r="K84" s="32"/>
      <c r="L84" s="32"/>
      <c r="M84" s="32"/>
      <c r="N84" s="32"/>
      <c r="O84" s="32"/>
      <c r="P84" s="32"/>
      <c r="Q84" s="32"/>
      <c r="R84" s="75"/>
      <c r="S84" s="33"/>
      <c r="T84" s="33"/>
      <c r="U84" s="33"/>
      <c r="V84" s="32"/>
      <c r="W84" s="32"/>
    </row>
    <row r="85" s="30" customFormat="1" spans="3:23">
      <c r="C85" s="71" t="s">
        <v>80</v>
      </c>
      <c r="D85" s="72"/>
      <c r="E85" s="32"/>
      <c r="F85" s="32">
        <f t="shared" ref="F85:P85" si="29">F78*F79</f>
        <v>159365.79</v>
      </c>
      <c r="G85" s="32">
        <f t="shared" si="29"/>
        <v>212320.27</v>
      </c>
      <c r="H85" s="32">
        <f t="shared" si="29"/>
        <v>319237.45</v>
      </c>
      <c r="I85" s="32">
        <f t="shared" si="29"/>
        <v>376885.44</v>
      </c>
      <c r="J85" s="32">
        <f t="shared" si="29"/>
        <v>543102.34</v>
      </c>
      <c r="K85" s="32">
        <f t="shared" si="29"/>
        <v>475733.26</v>
      </c>
      <c r="L85" s="32">
        <f t="shared" si="29"/>
        <v>575847.32</v>
      </c>
      <c r="M85" s="32">
        <f t="shared" si="29"/>
        <v>735982.17</v>
      </c>
      <c r="N85" s="32">
        <f t="shared" si="29"/>
        <v>858645.66</v>
      </c>
      <c r="O85" s="32">
        <f t="shared" si="29"/>
        <v>389407.58</v>
      </c>
      <c r="P85" s="32">
        <f t="shared" si="29"/>
        <v>994857</v>
      </c>
      <c r="Q85" s="32"/>
      <c r="R85" s="32"/>
      <c r="S85" s="33"/>
      <c r="T85" s="33"/>
      <c r="U85" s="33"/>
      <c r="V85" s="32"/>
      <c r="W85" s="32"/>
    </row>
    <row r="86" s="30" customFormat="1" spans="3:23">
      <c r="C86" s="71" t="s">
        <v>81</v>
      </c>
      <c r="D86" s="72"/>
      <c r="E86" s="32"/>
      <c r="F86" s="32">
        <f t="shared" ref="F86:P86" si="30">F85+F123-(F97+F98+F104)</f>
        <v>147916.79</v>
      </c>
      <c r="G86" s="32">
        <f t="shared" si="30"/>
        <v>201121.27</v>
      </c>
      <c r="H86" s="32">
        <f t="shared" si="30"/>
        <v>300803.45</v>
      </c>
      <c r="I86" s="32">
        <f t="shared" si="30"/>
        <v>347436.44</v>
      </c>
      <c r="J86" s="32">
        <f t="shared" si="30"/>
        <v>501391.34</v>
      </c>
      <c r="K86" s="32">
        <f t="shared" si="30"/>
        <v>434619.26</v>
      </c>
      <c r="L86" s="32">
        <f t="shared" si="30"/>
        <v>520906.32</v>
      </c>
      <c r="M86" s="32">
        <f t="shared" si="30"/>
        <v>667794.17</v>
      </c>
      <c r="N86" s="32">
        <f t="shared" si="30"/>
        <v>803872.66</v>
      </c>
      <c r="O86" s="32">
        <f t="shared" si="30"/>
        <v>352391.58</v>
      </c>
      <c r="P86" s="32">
        <f t="shared" si="30"/>
        <v>941698</v>
      </c>
      <c r="Q86" s="32"/>
      <c r="R86" s="32"/>
      <c r="S86" s="32"/>
      <c r="T86" s="32"/>
      <c r="U86" s="32"/>
      <c r="V86" s="32"/>
      <c r="W86" s="32"/>
    </row>
    <row r="87" s="2" customFormat="1" spans="3:23">
      <c r="C87" s="73" t="s">
        <v>82</v>
      </c>
      <c r="D87" s="74"/>
      <c r="E87" s="51"/>
      <c r="F87" s="52">
        <f>F86/(F152+F153+F69)</f>
        <v>39.2873280212483</v>
      </c>
      <c r="G87" s="52">
        <f t="shared" ref="G87:P87" si="31">G86/(G152+G153+G69)</f>
        <v>32.6867007963595</v>
      </c>
      <c r="H87" s="52">
        <f t="shared" si="31"/>
        <v>36.9582811156162</v>
      </c>
      <c r="I87" s="52">
        <f t="shared" si="31"/>
        <v>23.3806487213997</v>
      </c>
      <c r="J87" s="52">
        <f t="shared" si="31"/>
        <v>21.2283051780346</v>
      </c>
      <c r="K87" s="52">
        <f t="shared" si="31"/>
        <v>14.6454798490363</v>
      </c>
      <c r="L87" s="52">
        <f t="shared" si="31"/>
        <v>17.0492691388734</v>
      </c>
      <c r="M87" s="52">
        <f t="shared" si="31"/>
        <v>16.6773430398082</v>
      </c>
      <c r="N87" s="52">
        <f t="shared" si="31"/>
        <v>14.5494680639264</v>
      </c>
      <c r="O87" s="52">
        <f t="shared" si="31"/>
        <v>9.39585601919744</v>
      </c>
      <c r="P87" s="52">
        <f t="shared" si="31"/>
        <v>16.0682865235641</v>
      </c>
      <c r="Q87" s="51"/>
      <c r="R87" s="52">
        <f t="shared" si="28"/>
        <v>21.9933605879149</v>
      </c>
      <c r="S87" s="62"/>
      <c r="T87" s="62"/>
      <c r="U87" s="62"/>
      <c r="V87" s="52"/>
      <c r="W87" s="51"/>
    </row>
    <row r="88" s="2" customFormat="1" spans="3:23">
      <c r="C88" s="73" t="s">
        <v>83</v>
      </c>
      <c r="D88" s="74"/>
      <c r="E88" s="51"/>
      <c r="F88" s="52">
        <f t="shared" ref="F88:P88" si="32">F86/F52</f>
        <v>18.7902426321138</v>
      </c>
      <c r="G88" s="52">
        <f t="shared" si="32"/>
        <v>16.1335849510669</v>
      </c>
      <c r="H88" s="52">
        <f t="shared" si="32"/>
        <v>16.778416443552</v>
      </c>
      <c r="I88" s="52">
        <f t="shared" si="32"/>
        <v>12.5709689557855</v>
      </c>
      <c r="J88" s="52">
        <f t="shared" si="32"/>
        <v>12.3334400905222</v>
      </c>
      <c r="K88" s="52">
        <f t="shared" si="32"/>
        <v>7.78357498477739</v>
      </c>
      <c r="L88" s="52">
        <f t="shared" si="32"/>
        <v>7.36815310409211</v>
      </c>
      <c r="M88" s="52">
        <f t="shared" si="32"/>
        <v>7.7682099691735</v>
      </c>
      <c r="N88" s="52">
        <f t="shared" si="32"/>
        <v>6.816581672023</v>
      </c>
      <c r="O88" s="52">
        <f t="shared" si="32"/>
        <v>3.02199298510407</v>
      </c>
      <c r="P88" s="52">
        <f t="shared" si="32"/>
        <v>6.98060814517205</v>
      </c>
      <c r="Q88" s="51"/>
      <c r="R88" s="52">
        <f t="shared" si="28"/>
        <v>10.5768885393984</v>
      </c>
      <c r="S88" s="62"/>
      <c r="T88" s="62"/>
      <c r="U88" s="62"/>
      <c r="V88" s="52"/>
      <c r="W88" s="51"/>
    </row>
    <row r="90" spans="3:19">
      <c r="C90" s="66" t="s">
        <v>84</v>
      </c>
      <c r="D90" s="67"/>
      <c r="E90" s="33"/>
      <c r="F90" s="44">
        <f t="shared" ref="F90:P90" si="33">ABS(F177/F78)</f>
        <v>0</v>
      </c>
      <c r="G90" s="44">
        <f t="shared" si="33"/>
        <v>0</v>
      </c>
      <c r="H90" s="44">
        <f t="shared" si="33"/>
        <v>0</v>
      </c>
      <c r="I90" s="44">
        <f t="shared" si="33"/>
        <v>0</v>
      </c>
      <c r="J90" s="44">
        <f t="shared" si="33"/>
        <v>0</v>
      </c>
      <c r="K90" s="44">
        <f t="shared" si="33"/>
        <v>0</v>
      </c>
      <c r="L90" s="44">
        <f t="shared" si="33"/>
        <v>0</v>
      </c>
      <c r="M90" s="44">
        <f t="shared" si="33"/>
        <v>0</v>
      </c>
      <c r="N90" s="44">
        <f t="shared" si="33"/>
        <v>0</v>
      </c>
      <c r="O90" s="44">
        <f t="shared" si="33"/>
        <v>0</v>
      </c>
      <c r="P90" s="44">
        <f t="shared" si="33"/>
        <v>0</v>
      </c>
      <c r="Q90" s="33"/>
      <c r="R90" s="33">
        <f>AVERAGE(E90:Q90)</f>
        <v>0</v>
      </c>
      <c r="S90" s="33">
        <f>MEDIAN(E90:Q90)</f>
        <v>0</v>
      </c>
    </row>
    <row r="91" spans="3:19">
      <c r="C91" s="66" t="s">
        <v>85</v>
      </c>
      <c r="D91" s="67"/>
      <c r="E91" s="33"/>
      <c r="F91" s="44">
        <f t="shared" ref="F91:P91" si="34">F90/F79</f>
        <v>0</v>
      </c>
      <c r="G91" s="44">
        <f t="shared" si="34"/>
        <v>0</v>
      </c>
      <c r="H91" s="44">
        <f t="shared" si="34"/>
        <v>0</v>
      </c>
      <c r="I91" s="44">
        <f t="shared" si="34"/>
        <v>0</v>
      </c>
      <c r="J91" s="44">
        <f t="shared" si="34"/>
        <v>0</v>
      </c>
      <c r="K91" s="44">
        <f t="shared" si="34"/>
        <v>0</v>
      </c>
      <c r="L91" s="44">
        <f t="shared" si="34"/>
        <v>0</v>
      </c>
      <c r="M91" s="44">
        <f t="shared" si="34"/>
        <v>0</v>
      </c>
      <c r="N91" s="44">
        <f t="shared" si="34"/>
        <v>0</v>
      </c>
      <c r="O91" s="44">
        <f t="shared" si="34"/>
        <v>0</v>
      </c>
      <c r="P91" s="44">
        <f t="shared" si="34"/>
        <v>0</v>
      </c>
      <c r="Q91" s="33"/>
      <c r="R91" s="33">
        <f>AVERAGE(E91:Q91)</f>
        <v>0</v>
      </c>
      <c r="S91" s="33">
        <f>MEDIAN(E91:Q91)</f>
        <v>0</v>
      </c>
    </row>
    <row r="95" ht="15.75" spans="2:2">
      <c r="B95" s="36" t="s">
        <v>86</v>
      </c>
    </row>
    <row r="96" spans="2:2">
      <c r="B96" t="s">
        <v>87</v>
      </c>
    </row>
    <row r="97" spans="3:16">
      <c r="C97" t="s">
        <v>88</v>
      </c>
      <c r="F97" s="32">
        <v>3323</v>
      </c>
      <c r="G97" s="32">
        <v>4315</v>
      </c>
      <c r="H97" s="32">
        <v>4907</v>
      </c>
      <c r="I97" s="32">
        <v>8903</v>
      </c>
      <c r="J97" s="32">
        <v>8079</v>
      </c>
      <c r="K97" s="32">
        <v>10019</v>
      </c>
      <c r="L97" s="32">
        <v>19079</v>
      </c>
      <c r="M97" s="32">
        <v>17576</v>
      </c>
      <c r="N97" s="32">
        <v>16601</v>
      </c>
      <c r="O97" s="32">
        <v>14681</v>
      </c>
      <c r="P97" s="32">
        <v>41862</v>
      </c>
    </row>
    <row r="98" spans="3:16">
      <c r="C98" t="s">
        <v>89</v>
      </c>
      <c r="F98" s="32">
        <v>8126</v>
      </c>
      <c r="G98" s="32">
        <v>6884</v>
      </c>
      <c r="H98" s="32">
        <v>13527</v>
      </c>
      <c r="I98" s="32">
        <v>20546</v>
      </c>
      <c r="J98" s="32">
        <v>33632</v>
      </c>
      <c r="K98" s="32">
        <v>31095</v>
      </c>
      <c r="L98" s="32">
        <v>35776</v>
      </c>
      <c r="M98" s="32">
        <v>44378</v>
      </c>
      <c r="N98" s="32">
        <v>31397</v>
      </c>
      <c r="O98" s="32">
        <v>26057</v>
      </c>
      <c r="P98" s="32">
        <v>23541</v>
      </c>
    </row>
    <row r="99" spans="3:16">
      <c r="C99" t="s">
        <v>90</v>
      </c>
      <c r="F99" s="32">
        <v>1109</v>
      </c>
      <c r="G99" s="32">
        <v>1678</v>
      </c>
      <c r="H99" s="32">
        <v>2559</v>
      </c>
      <c r="I99" s="32">
        <v>3993</v>
      </c>
      <c r="J99" s="32">
        <v>5832</v>
      </c>
      <c r="K99" s="32">
        <v>7587</v>
      </c>
      <c r="L99" s="32">
        <v>9518</v>
      </c>
      <c r="M99" s="32">
        <v>11335</v>
      </c>
      <c r="N99" s="32">
        <v>14039</v>
      </c>
      <c r="O99" s="32">
        <v>13466</v>
      </c>
      <c r="P99" s="32">
        <v>16169</v>
      </c>
    </row>
    <row r="100" spans="3:16">
      <c r="C100" t="s">
        <v>91</v>
      </c>
      <c r="F100" s="32">
        <v>512</v>
      </c>
      <c r="G100" s="32">
        <v>513</v>
      </c>
      <c r="H100" s="32">
        <v>659</v>
      </c>
      <c r="I100" s="32">
        <v>959</v>
      </c>
      <c r="J100" s="32">
        <v>1020</v>
      </c>
      <c r="K100" s="32">
        <v>1779</v>
      </c>
      <c r="L100" s="32">
        <v>1852</v>
      </c>
      <c r="M100" s="32">
        <v>2381</v>
      </c>
      <c r="N100" s="32">
        <v>4629</v>
      </c>
      <c r="O100" s="32">
        <v>5345</v>
      </c>
      <c r="P100" s="32">
        <v>3793</v>
      </c>
    </row>
    <row r="101" spans="2:16">
      <c r="B101" t="s">
        <v>92</v>
      </c>
      <c r="F101" s="38">
        <f t="shared" ref="F101:P101" si="35">SUM(F97:F100)</f>
        <v>13070</v>
      </c>
      <c r="G101" s="38">
        <f t="shared" si="35"/>
        <v>13390</v>
      </c>
      <c r="H101" s="38">
        <f t="shared" si="35"/>
        <v>21652</v>
      </c>
      <c r="I101" s="38">
        <f t="shared" si="35"/>
        <v>34401</v>
      </c>
      <c r="J101" s="38">
        <f t="shared" si="35"/>
        <v>48563</v>
      </c>
      <c r="K101" s="38">
        <f t="shared" si="35"/>
        <v>50480</v>
      </c>
      <c r="L101" s="38">
        <f t="shared" si="35"/>
        <v>66225</v>
      </c>
      <c r="M101" s="38">
        <f t="shared" si="35"/>
        <v>75670</v>
      </c>
      <c r="N101" s="38">
        <f t="shared" si="35"/>
        <v>66666</v>
      </c>
      <c r="O101" s="38">
        <f t="shared" si="35"/>
        <v>59549</v>
      </c>
      <c r="P101" s="38">
        <f t="shared" si="35"/>
        <v>85365</v>
      </c>
    </row>
    <row r="103" spans="2:2">
      <c r="B103" t="s">
        <v>93</v>
      </c>
    </row>
    <row r="104" spans="3:16">
      <c r="C104" t="s">
        <v>94</v>
      </c>
      <c r="F104" s="32">
        <v>0</v>
      </c>
      <c r="G104" s="32">
        <v>0</v>
      </c>
      <c r="H104" s="32">
        <v>0</v>
      </c>
      <c r="I104" s="32">
        <v>0</v>
      </c>
      <c r="J104" s="32">
        <v>0</v>
      </c>
      <c r="K104" s="32">
        <v>0</v>
      </c>
      <c r="L104" s="32">
        <v>86</v>
      </c>
      <c r="M104" s="32">
        <v>6234</v>
      </c>
      <c r="N104" s="32">
        <v>6775</v>
      </c>
      <c r="O104" s="32">
        <v>6201</v>
      </c>
      <c r="P104" s="32">
        <v>6141</v>
      </c>
    </row>
    <row r="105" spans="3:16">
      <c r="C105" t="s">
        <v>95</v>
      </c>
      <c r="F105" s="32">
        <v>2882</v>
      </c>
      <c r="G105" s="32">
        <v>3967</v>
      </c>
      <c r="H105" s="32">
        <v>5687</v>
      </c>
      <c r="I105" s="32">
        <v>8591</v>
      </c>
      <c r="J105" s="32">
        <v>13721</v>
      </c>
      <c r="K105" s="32">
        <v>24683</v>
      </c>
      <c r="L105" s="32">
        <v>35323</v>
      </c>
      <c r="M105" s="32">
        <v>45633</v>
      </c>
      <c r="N105" s="32">
        <v>57809</v>
      </c>
      <c r="O105" s="32">
        <v>79518</v>
      </c>
      <c r="P105" s="32">
        <v>96587</v>
      </c>
    </row>
    <row r="106" spans="3:16">
      <c r="C106" t="s">
        <v>96</v>
      </c>
      <c r="F106" s="32">
        <v>0</v>
      </c>
      <c r="G106" s="32">
        <v>0</v>
      </c>
      <c r="H106" s="32">
        <v>0</v>
      </c>
      <c r="I106" s="32">
        <v>0</v>
      </c>
      <c r="J106" s="32">
        <v>0</v>
      </c>
      <c r="K106" s="32">
        <v>0</v>
      </c>
      <c r="L106" s="32">
        <v>9460</v>
      </c>
      <c r="M106" s="32">
        <v>9348</v>
      </c>
      <c r="N106" s="32">
        <v>12155</v>
      </c>
      <c r="O106" s="32">
        <v>12673</v>
      </c>
      <c r="P106" s="32">
        <v>13294</v>
      </c>
    </row>
    <row r="107" spans="3:16">
      <c r="C107" t="s">
        <v>97</v>
      </c>
      <c r="F107" s="32">
        <v>883</v>
      </c>
      <c r="G107" s="32">
        <v>3929</v>
      </c>
      <c r="H107" s="32">
        <v>3246</v>
      </c>
      <c r="I107" s="32">
        <v>2535</v>
      </c>
      <c r="J107" s="32">
        <v>1884</v>
      </c>
      <c r="K107" s="32">
        <v>1294</v>
      </c>
      <c r="L107" s="32">
        <v>894</v>
      </c>
      <c r="M107" s="32">
        <v>623</v>
      </c>
      <c r="N107" s="32">
        <v>634</v>
      </c>
      <c r="O107" s="32">
        <v>897</v>
      </c>
      <c r="P107" s="32">
        <v>788</v>
      </c>
    </row>
    <row r="108" spans="3:16">
      <c r="C108" t="s">
        <v>98</v>
      </c>
      <c r="F108" s="32">
        <v>839</v>
      </c>
      <c r="G108" s="32">
        <v>17981</v>
      </c>
      <c r="H108" s="32">
        <v>18026</v>
      </c>
      <c r="I108" s="32">
        <v>18122</v>
      </c>
      <c r="J108" s="32">
        <v>18221</v>
      </c>
      <c r="K108" s="32">
        <v>18301</v>
      </c>
      <c r="L108" s="32">
        <v>18715</v>
      </c>
      <c r="M108" s="32">
        <v>19050</v>
      </c>
      <c r="N108" s="32">
        <v>19197</v>
      </c>
      <c r="O108" s="32">
        <v>20306</v>
      </c>
      <c r="P108" s="32">
        <v>20654</v>
      </c>
    </row>
    <row r="109" spans="3:16">
      <c r="C109" t="s">
        <v>99</v>
      </c>
      <c r="F109" s="32">
        <v>221</v>
      </c>
      <c r="G109" s="32">
        <v>699</v>
      </c>
      <c r="H109" s="32">
        <v>796</v>
      </c>
      <c r="I109" s="32">
        <v>1312</v>
      </c>
      <c r="J109" s="32">
        <v>2135</v>
      </c>
      <c r="K109" s="32">
        <v>2576</v>
      </c>
      <c r="L109" s="32">
        <v>2673</v>
      </c>
      <c r="M109" s="32">
        <v>2758</v>
      </c>
      <c r="N109" s="32">
        <v>2751</v>
      </c>
      <c r="O109" s="32">
        <v>6583</v>
      </c>
      <c r="P109" s="32">
        <v>6794</v>
      </c>
    </row>
    <row r="110" spans="2:16">
      <c r="B110" t="s">
        <v>100</v>
      </c>
      <c r="F110" s="38">
        <f t="shared" ref="F110:P110" si="36">SUM(F104:F109)</f>
        <v>4825</v>
      </c>
      <c r="G110" s="38">
        <f t="shared" si="36"/>
        <v>26576</v>
      </c>
      <c r="H110" s="38">
        <f t="shared" si="36"/>
        <v>27755</v>
      </c>
      <c r="I110" s="38">
        <f t="shared" si="36"/>
        <v>30560</v>
      </c>
      <c r="J110" s="38">
        <f t="shared" si="36"/>
        <v>35961</v>
      </c>
      <c r="K110" s="38">
        <f t="shared" si="36"/>
        <v>46854</v>
      </c>
      <c r="L110" s="38">
        <f t="shared" si="36"/>
        <v>67151</v>
      </c>
      <c r="M110" s="38">
        <f t="shared" si="36"/>
        <v>83646</v>
      </c>
      <c r="N110" s="38">
        <f t="shared" si="36"/>
        <v>99321</v>
      </c>
      <c r="O110" s="38">
        <f t="shared" si="36"/>
        <v>126178</v>
      </c>
      <c r="P110" s="38">
        <f t="shared" si="36"/>
        <v>144258</v>
      </c>
    </row>
    <row r="112" spans="2:16">
      <c r="B112" t="s">
        <v>101</v>
      </c>
      <c r="F112" s="38">
        <f t="shared" ref="F112:L112" si="37">F101+F110</f>
        <v>17895</v>
      </c>
      <c r="G112" s="38">
        <f t="shared" si="37"/>
        <v>39966</v>
      </c>
      <c r="H112" s="38">
        <f t="shared" si="37"/>
        <v>49407</v>
      </c>
      <c r="I112" s="38">
        <f t="shared" si="37"/>
        <v>64961</v>
      </c>
      <c r="J112" s="38">
        <f t="shared" si="37"/>
        <v>84524</v>
      </c>
      <c r="K112" s="38">
        <f t="shared" si="37"/>
        <v>97334</v>
      </c>
      <c r="L112" s="38">
        <f t="shared" si="37"/>
        <v>133376</v>
      </c>
      <c r="M112" s="38">
        <f t="shared" ref="L112:P112" si="38">M101+M110</f>
        <v>159316</v>
      </c>
      <c r="N112" s="38">
        <f t="shared" si="38"/>
        <v>165987</v>
      </c>
      <c r="O112" s="38">
        <f t="shared" si="38"/>
        <v>185727</v>
      </c>
      <c r="P112" s="38">
        <f t="shared" si="38"/>
        <v>229623</v>
      </c>
    </row>
    <row r="114" spans="2:2">
      <c r="B114" t="s">
        <v>102</v>
      </c>
    </row>
    <row r="115" spans="3:16">
      <c r="C115" t="s">
        <v>103</v>
      </c>
      <c r="F115" s="32">
        <v>87</v>
      </c>
      <c r="G115" s="32">
        <v>176</v>
      </c>
      <c r="H115" s="32">
        <v>196</v>
      </c>
      <c r="I115" s="32">
        <v>302</v>
      </c>
      <c r="J115" s="32">
        <v>380</v>
      </c>
      <c r="K115" s="32">
        <v>820</v>
      </c>
      <c r="L115" s="32">
        <v>1363</v>
      </c>
      <c r="M115" s="32">
        <v>1331</v>
      </c>
      <c r="N115" s="32">
        <v>4083</v>
      </c>
      <c r="O115" s="32">
        <v>4990</v>
      </c>
      <c r="P115" s="32">
        <v>4849</v>
      </c>
    </row>
    <row r="116" spans="3:16">
      <c r="C116" t="s">
        <v>104</v>
      </c>
      <c r="F116" s="32">
        <v>181</v>
      </c>
      <c r="G116" s="32">
        <v>202</v>
      </c>
      <c r="H116" s="32">
        <v>217</v>
      </c>
      <c r="I116" s="32">
        <v>280</v>
      </c>
      <c r="J116" s="32">
        <v>390</v>
      </c>
      <c r="K116" s="32">
        <v>541</v>
      </c>
      <c r="L116" s="32">
        <v>886</v>
      </c>
      <c r="M116" s="32">
        <v>1093</v>
      </c>
      <c r="N116" s="32">
        <v>1052</v>
      </c>
      <c r="O116" s="32">
        <v>1117</v>
      </c>
      <c r="P116" s="32">
        <v>863</v>
      </c>
    </row>
    <row r="117" spans="3:16">
      <c r="C117" t="s">
        <v>105</v>
      </c>
      <c r="F117" s="32">
        <v>0</v>
      </c>
      <c r="G117" s="32">
        <v>0</v>
      </c>
      <c r="H117" s="32">
        <v>0</v>
      </c>
      <c r="I117" s="32">
        <v>0</v>
      </c>
      <c r="J117" s="32">
        <v>0</v>
      </c>
      <c r="K117" s="32">
        <v>0</v>
      </c>
      <c r="L117" s="32">
        <v>800</v>
      </c>
      <c r="M117" s="32">
        <v>1023</v>
      </c>
      <c r="N117" s="32">
        <v>1127</v>
      </c>
      <c r="O117" s="32">
        <v>1367</v>
      </c>
      <c r="P117" s="32">
        <v>1623</v>
      </c>
    </row>
    <row r="118" spans="3:16">
      <c r="C118" t="s">
        <v>106</v>
      </c>
      <c r="F118" s="32">
        <f>555+38+239</f>
        <v>832</v>
      </c>
      <c r="G118" s="32">
        <f>866+66+114</f>
        <v>1046</v>
      </c>
      <c r="H118" s="32">
        <f>1449+56+7</f>
        <v>1512</v>
      </c>
      <c r="I118" s="32">
        <f>2203+90</f>
        <v>2293</v>
      </c>
      <c r="J118" s="32">
        <f>2892+98</f>
        <v>2990</v>
      </c>
      <c r="K118" s="32">
        <f>5509+147</f>
        <v>5656</v>
      </c>
      <c r="L118" s="32">
        <f>11735+269</f>
        <v>12004</v>
      </c>
      <c r="M118" s="32">
        <f>11152+382</f>
        <v>11534</v>
      </c>
      <c r="N118" s="32">
        <v>14873</v>
      </c>
      <c r="O118" s="32">
        <v>19552</v>
      </c>
      <c r="P118" s="32">
        <v>24625</v>
      </c>
    </row>
    <row r="119" spans="2:16">
      <c r="B119" t="s">
        <v>107</v>
      </c>
      <c r="F119" s="38">
        <f t="shared" ref="F119:P119" si="39">SUM(F115:F118)</f>
        <v>1100</v>
      </c>
      <c r="G119" s="38">
        <f t="shared" si="39"/>
        <v>1424</v>
      </c>
      <c r="H119" s="38">
        <f t="shared" si="39"/>
        <v>1925</v>
      </c>
      <c r="I119" s="38">
        <f t="shared" si="39"/>
        <v>2875</v>
      </c>
      <c r="J119" s="38">
        <f t="shared" si="39"/>
        <v>3760</v>
      </c>
      <c r="K119" s="38">
        <f t="shared" si="39"/>
        <v>7017</v>
      </c>
      <c r="L119" s="38">
        <f t="shared" si="39"/>
        <v>15053</v>
      </c>
      <c r="M119" s="38">
        <f t="shared" si="39"/>
        <v>14981</v>
      </c>
      <c r="N119" s="38">
        <f t="shared" si="39"/>
        <v>21135</v>
      </c>
      <c r="O119" s="38">
        <f t="shared" si="39"/>
        <v>27026</v>
      </c>
      <c r="P119" s="38">
        <f t="shared" si="39"/>
        <v>31960</v>
      </c>
    </row>
    <row r="121" spans="2:2">
      <c r="B121" t="s">
        <v>108</v>
      </c>
    </row>
    <row r="122" spans="3:16">
      <c r="C122" t="s">
        <v>105</v>
      </c>
      <c r="F122" s="32">
        <v>0</v>
      </c>
      <c r="G122" s="32">
        <v>0</v>
      </c>
      <c r="H122" s="32">
        <v>0</v>
      </c>
      <c r="I122" s="32">
        <v>0</v>
      </c>
      <c r="J122" s="32">
        <v>0</v>
      </c>
      <c r="K122" s="32">
        <v>0</v>
      </c>
      <c r="L122" s="32">
        <v>9524</v>
      </c>
      <c r="M122" s="32">
        <v>9631</v>
      </c>
      <c r="N122" s="32">
        <v>12746</v>
      </c>
      <c r="O122" s="32">
        <v>15301</v>
      </c>
      <c r="P122" s="32">
        <v>17226</v>
      </c>
    </row>
    <row r="123" spans="3:16">
      <c r="C123" t="s">
        <v>109</v>
      </c>
      <c r="F123" s="32">
        <v>0</v>
      </c>
      <c r="G123" s="32">
        <v>0</v>
      </c>
      <c r="H123" s="32">
        <v>0</v>
      </c>
      <c r="I123" s="32">
        <v>0</v>
      </c>
      <c r="J123" s="32">
        <v>0</v>
      </c>
      <c r="K123" s="32">
        <v>0</v>
      </c>
      <c r="L123" s="32">
        <v>0</v>
      </c>
      <c r="M123" s="32">
        <v>0</v>
      </c>
      <c r="N123" s="32">
        <v>0</v>
      </c>
      <c r="O123" s="32">
        <v>9923</v>
      </c>
      <c r="P123" s="32">
        <v>18385</v>
      </c>
    </row>
    <row r="124" spans="3:16">
      <c r="C124" t="s">
        <v>110</v>
      </c>
      <c r="F124" s="32">
        <f>237+1088</f>
        <v>1325</v>
      </c>
      <c r="G124" s="32">
        <f>119+2327</f>
        <v>2446</v>
      </c>
      <c r="H124" s="32">
        <f>107+3157</f>
        <v>3264</v>
      </c>
      <c r="I124" s="32">
        <v>2892</v>
      </c>
      <c r="J124" s="32">
        <v>6417</v>
      </c>
      <c r="K124" s="32">
        <v>6190</v>
      </c>
      <c r="L124" s="32">
        <v>7745</v>
      </c>
      <c r="M124" s="32">
        <v>6414</v>
      </c>
      <c r="N124" s="32">
        <v>7227</v>
      </c>
      <c r="O124" s="32">
        <v>7764</v>
      </c>
      <c r="P124" s="32">
        <v>8884</v>
      </c>
    </row>
    <row r="125" spans="2:16">
      <c r="B125" t="s">
        <v>111</v>
      </c>
      <c r="F125" s="38">
        <f t="shared" ref="F125:P125" si="40">SUM(F122:F124)</f>
        <v>1325</v>
      </c>
      <c r="G125" s="38">
        <f t="shared" si="40"/>
        <v>2446</v>
      </c>
      <c r="H125" s="38">
        <f t="shared" si="40"/>
        <v>3264</v>
      </c>
      <c r="I125" s="38">
        <f t="shared" si="40"/>
        <v>2892</v>
      </c>
      <c r="J125" s="38">
        <f t="shared" si="40"/>
        <v>6417</v>
      </c>
      <c r="K125" s="38">
        <f t="shared" si="40"/>
        <v>6190</v>
      </c>
      <c r="L125" s="38">
        <f t="shared" si="40"/>
        <v>17269</v>
      </c>
      <c r="M125" s="38">
        <f t="shared" si="40"/>
        <v>16045</v>
      </c>
      <c r="N125" s="38">
        <f t="shared" si="40"/>
        <v>19973</v>
      </c>
      <c r="O125" s="38">
        <f t="shared" si="40"/>
        <v>32988</v>
      </c>
      <c r="P125" s="38">
        <f t="shared" si="40"/>
        <v>44495</v>
      </c>
    </row>
    <row r="127" spans="2:16">
      <c r="B127" t="s">
        <v>112</v>
      </c>
      <c r="F127" s="38">
        <f t="shared" ref="F127:L127" si="41">F119+F125</f>
        <v>2425</v>
      </c>
      <c r="G127" s="38">
        <f t="shared" si="41"/>
        <v>3870</v>
      </c>
      <c r="H127" s="38">
        <f t="shared" si="41"/>
        <v>5189</v>
      </c>
      <c r="I127" s="38">
        <f t="shared" si="41"/>
        <v>5767</v>
      </c>
      <c r="J127" s="38">
        <f t="shared" si="41"/>
        <v>10177</v>
      </c>
      <c r="K127" s="38">
        <f t="shared" si="41"/>
        <v>13207</v>
      </c>
      <c r="L127" s="38">
        <f t="shared" si="41"/>
        <v>32322</v>
      </c>
      <c r="M127" s="38">
        <f t="shared" ref="L127:P127" si="42">M119+M125</f>
        <v>31026</v>
      </c>
      <c r="N127" s="38">
        <f t="shared" si="42"/>
        <v>41108</v>
      </c>
      <c r="O127" s="38">
        <f t="shared" si="42"/>
        <v>60014</v>
      </c>
      <c r="P127" s="38">
        <f t="shared" si="42"/>
        <v>76455</v>
      </c>
    </row>
    <row r="129" spans="2:2">
      <c r="B129" t="s">
        <v>113</v>
      </c>
    </row>
    <row r="130" spans="3:16">
      <c r="C130" t="s">
        <v>114</v>
      </c>
      <c r="F130" s="32">
        <v>0</v>
      </c>
      <c r="G130" s="32">
        <v>0</v>
      </c>
      <c r="H130" s="32">
        <v>0</v>
      </c>
      <c r="I130" s="32">
        <v>0</v>
      </c>
      <c r="J130" s="32">
        <v>0</v>
      </c>
      <c r="K130" s="32">
        <v>0</v>
      </c>
      <c r="L130" s="32">
        <v>0</v>
      </c>
      <c r="M130" s="32">
        <v>0</v>
      </c>
      <c r="N130" s="32">
        <v>0</v>
      </c>
      <c r="O130" s="32">
        <v>0</v>
      </c>
      <c r="P130" s="32">
        <v>0</v>
      </c>
    </row>
    <row r="131" spans="3:16">
      <c r="C131" t="s">
        <v>115</v>
      </c>
      <c r="F131" s="32">
        <v>12297</v>
      </c>
      <c r="G131" s="32">
        <v>30225</v>
      </c>
      <c r="H131" s="32">
        <v>34886</v>
      </c>
      <c r="I131" s="32">
        <v>38227</v>
      </c>
      <c r="J131" s="32">
        <v>40584</v>
      </c>
      <c r="K131" s="32">
        <v>42906</v>
      </c>
      <c r="L131" s="32">
        <v>45851</v>
      </c>
      <c r="M131" s="32">
        <v>50018</v>
      </c>
      <c r="N131" s="32">
        <v>55811</v>
      </c>
      <c r="O131" s="32">
        <v>64444</v>
      </c>
      <c r="P131" s="32">
        <v>73253</v>
      </c>
    </row>
    <row r="132" spans="3:16">
      <c r="C132" t="s">
        <v>116</v>
      </c>
      <c r="F132" s="32">
        <v>14</v>
      </c>
      <c r="G132" s="32">
        <v>-228</v>
      </c>
      <c r="H132" s="32">
        <v>-455</v>
      </c>
      <c r="I132" s="32">
        <v>-703</v>
      </c>
      <c r="J132" s="32">
        <v>-227</v>
      </c>
      <c r="K132" s="32">
        <v>-760</v>
      </c>
      <c r="L132" s="32">
        <v>-489</v>
      </c>
      <c r="M132" s="32">
        <v>927</v>
      </c>
      <c r="N132" s="32">
        <v>-693</v>
      </c>
      <c r="O132" s="32">
        <v>-3530</v>
      </c>
      <c r="P132" s="32">
        <v>-2155</v>
      </c>
    </row>
    <row r="133" spans="3:16">
      <c r="C133" t="s">
        <v>117</v>
      </c>
      <c r="F133" s="32">
        <v>3159</v>
      </c>
      <c r="G133" s="32">
        <v>6099</v>
      </c>
      <c r="H133" s="32">
        <v>9787</v>
      </c>
      <c r="I133" s="32">
        <v>21670</v>
      </c>
      <c r="J133" s="32">
        <v>33990</v>
      </c>
      <c r="K133" s="32">
        <v>41981</v>
      </c>
      <c r="L133" s="32">
        <v>55692</v>
      </c>
      <c r="M133" s="32">
        <v>77345</v>
      </c>
      <c r="N133" s="32">
        <v>69761</v>
      </c>
      <c r="O133" s="32">
        <v>64799</v>
      </c>
      <c r="P133" s="32">
        <v>82070</v>
      </c>
    </row>
    <row r="134" spans="2:16">
      <c r="B134" t="s">
        <v>118</v>
      </c>
      <c r="F134" s="38">
        <f>SUM(F130:F133)</f>
        <v>15470</v>
      </c>
      <c r="G134" s="38">
        <f t="shared" ref="G134:P134" si="43">SUM(G130:G133)</f>
        <v>36096</v>
      </c>
      <c r="H134" s="38">
        <f t="shared" si="43"/>
        <v>44218</v>
      </c>
      <c r="I134" s="38">
        <f t="shared" si="43"/>
        <v>59194</v>
      </c>
      <c r="J134" s="38">
        <f t="shared" si="43"/>
        <v>74347</v>
      </c>
      <c r="K134" s="38">
        <f t="shared" si="43"/>
        <v>84127</v>
      </c>
      <c r="L134" s="38">
        <f t="shared" si="43"/>
        <v>101054</v>
      </c>
      <c r="M134" s="38">
        <f t="shared" si="43"/>
        <v>128290</v>
      </c>
      <c r="N134" s="38">
        <f t="shared" si="43"/>
        <v>124879</v>
      </c>
      <c r="O134" s="38">
        <f t="shared" si="43"/>
        <v>125713</v>
      </c>
      <c r="P134" s="38">
        <f t="shared" si="43"/>
        <v>153168</v>
      </c>
    </row>
    <row r="136" spans="2:16">
      <c r="B136" t="s">
        <v>119</v>
      </c>
      <c r="F136" s="38">
        <f t="shared" ref="F136:L136" si="44">F127+F134</f>
        <v>17895</v>
      </c>
      <c r="G136" s="38">
        <f t="shared" si="44"/>
        <v>39966</v>
      </c>
      <c r="H136" s="38">
        <f t="shared" si="44"/>
        <v>49407</v>
      </c>
      <c r="I136" s="38">
        <f t="shared" si="44"/>
        <v>64961</v>
      </c>
      <c r="J136" s="38">
        <f t="shared" si="44"/>
        <v>84524</v>
      </c>
      <c r="K136" s="38">
        <f t="shared" si="44"/>
        <v>97334</v>
      </c>
      <c r="L136" s="38">
        <f t="shared" si="44"/>
        <v>133376</v>
      </c>
      <c r="M136" s="38">
        <f t="shared" ref="L136:P136" si="45">M127+M134</f>
        <v>159316</v>
      </c>
      <c r="N136" s="38">
        <f t="shared" si="45"/>
        <v>165987</v>
      </c>
      <c r="O136" s="38">
        <f t="shared" si="45"/>
        <v>185727</v>
      </c>
      <c r="P136" s="38">
        <f t="shared" si="45"/>
        <v>229623</v>
      </c>
    </row>
    <row r="138" ht="15.75" spans="3:4">
      <c r="C138" s="42" t="s">
        <v>4</v>
      </c>
      <c r="D138" s="43"/>
    </row>
    <row r="139" s="27" customFormat="1" spans="3:23">
      <c r="C139" s="66" t="s">
        <v>120</v>
      </c>
      <c r="D139" s="67"/>
      <c r="E139" s="33"/>
      <c r="F139" s="33">
        <f t="shared" ref="F139:P139" si="46">F127/F112</f>
        <v>0.135512713048338</v>
      </c>
      <c r="G139" s="33">
        <f t="shared" si="46"/>
        <v>0.0968323074613421</v>
      </c>
      <c r="H139" s="33">
        <f t="shared" si="46"/>
        <v>0.1050256036594</v>
      </c>
      <c r="I139" s="33">
        <f t="shared" si="46"/>
        <v>0.0887763427287142</v>
      </c>
      <c r="J139" s="33">
        <f t="shared" si="46"/>
        <v>0.120403672329752</v>
      </c>
      <c r="K139" s="33">
        <f t="shared" si="46"/>
        <v>0.135687426798447</v>
      </c>
      <c r="L139" s="33">
        <f t="shared" si="46"/>
        <v>0.242337452015355</v>
      </c>
      <c r="M139" s="33">
        <f t="shared" si="46"/>
        <v>0.194745035024731</v>
      </c>
      <c r="N139" s="33">
        <f t="shared" si="46"/>
        <v>0.247657949116497</v>
      </c>
      <c r="O139" s="33">
        <f t="shared" si="46"/>
        <v>0.323130185702671</v>
      </c>
      <c r="P139" s="33">
        <f t="shared" si="46"/>
        <v>0.332958806391346</v>
      </c>
      <c r="Q139" s="33"/>
      <c r="R139" s="77">
        <f>AVERAGE(E139:Q139)</f>
        <v>0.183915226752418</v>
      </c>
      <c r="S139" s="33"/>
      <c r="T139" s="33"/>
      <c r="U139" s="33"/>
      <c r="V139" s="33"/>
      <c r="W139" s="33"/>
    </row>
    <row r="140" s="27" customFormat="1" spans="3:23">
      <c r="C140" s="66" t="s">
        <v>121</v>
      </c>
      <c r="D140" s="67"/>
      <c r="E140" s="33"/>
      <c r="F140" s="33">
        <f t="shared" ref="F140:P140" si="47">F127/F134</f>
        <v>0.156755009696186</v>
      </c>
      <c r="G140" s="33">
        <f t="shared" si="47"/>
        <v>0.107214095744681</v>
      </c>
      <c r="H140" s="33">
        <f t="shared" si="47"/>
        <v>0.117350400289475</v>
      </c>
      <c r="I140" s="33">
        <f t="shared" si="47"/>
        <v>0.0974254147379802</v>
      </c>
      <c r="J140" s="33">
        <f t="shared" si="47"/>
        <v>0.136885146677068</v>
      </c>
      <c r="K140" s="33">
        <f t="shared" si="47"/>
        <v>0.156988838303993</v>
      </c>
      <c r="L140" s="33">
        <f t="shared" si="47"/>
        <v>0.319848793714252</v>
      </c>
      <c r="M140" s="33">
        <f t="shared" si="47"/>
        <v>0.241842700132512</v>
      </c>
      <c r="N140" s="33">
        <f t="shared" si="47"/>
        <v>0.329182648804042</v>
      </c>
      <c r="O140" s="33">
        <f t="shared" si="47"/>
        <v>0.477388973296318</v>
      </c>
      <c r="P140" s="33">
        <f t="shared" si="47"/>
        <v>0.499157787527421</v>
      </c>
      <c r="Q140" s="33"/>
      <c r="R140" s="77">
        <f>AVERAGE(E140:Q140)</f>
        <v>0.240003618993084</v>
      </c>
      <c r="S140" s="33"/>
      <c r="T140" s="33"/>
      <c r="U140" s="33"/>
      <c r="V140" s="33"/>
      <c r="W140" s="33"/>
    </row>
    <row r="141" s="27" customFormat="1" spans="3:23">
      <c r="C141" s="66" t="s">
        <v>122</v>
      </c>
      <c r="D141" s="67"/>
      <c r="E141" s="33"/>
      <c r="F141" s="33">
        <f>F127/F52</f>
        <v>0.308053861788618</v>
      </c>
      <c r="G141" s="33">
        <f t="shared" ref="G141:P141" si="48">G127/G52</f>
        <v>0.310444408791914</v>
      </c>
      <c r="H141" s="33">
        <f t="shared" si="48"/>
        <v>0.289435519857207</v>
      </c>
      <c r="I141" s="33">
        <f t="shared" si="48"/>
        <v>0.208661987119184</v>
      </c>
      <c r="J141" s="33">
        <f t="shared" si="48"/>
        <v>0.250338228421027</v>
      </c>
      <c r="K141" s="33">
        <f t="shared" si="48"/>
        <v>0.236523514452523</v>
      </c>
      <c r="L141" s="33">
        <f t="shared" si="48"/>
        <v>0.457190545567704</v>
      </c>
      <c r="M141" s="33">
        <f t="shared" si="48"/>
        <v>0.360914325597627</v>
      </c>
      <c r="N141" s="33">
        <f t="shared" si="48"/>
        <v>0.348582621746983</v>
      </c>
      <c r="O141" s="33">
        <f t="shared" si="48"/>
        <v>0.514660103422549</v>
      </c>
      <c r="P141" s="33">
        <f t="shared" si="48"/>
        <v>0.566744748039317</v>
      </c>
      <c r="Q141" s="33"/>
      <c r="R141" s="77">
        <f>AVERAGE(E141:Q141)</f>
        <v>0.350140896800423</v>
      </c>
      <c r="S141" s="33"/>
      <c r="T141" s="33"/>
      <c r="U141" s="33"/>
      <c r="V141" s="33"/>
      <c r="W141" s="33"/>
    </row>
    <row r="143" customFormat="1" ht="15.75" spans="3:22">
      <c r="C143" s="42" t="s">
        <v>5</v>
      </c>
      <c r="D143" s="43"/>
      <c r="E143" s="31"/>
      <c r="F143" s="32"/>
      <c r="G143" s="32"/>
      <c r="H143" s="32"/>
      <c r="I143" s="32"/>
      <c r="J143" s="32"/>
      <c r="K143" s="32"/>
      <c r="L143" s="32"/>
      <c r="M143" s="32"/>
      <c r="N143" s="32"/>
      <c r="O143" s="32"/>
      <c r="P143" s="32"/>
      <c r="Q143" s="31"/>
      <c r="R143" s="32"/>
      <c r="S143" s="33"/>
      <c r="T143" s="33"/>
      <c r="U143" s="33"/>
      <c r="V143" s="32"/>
    </row>
    <row r="144" customFormat="1" spans="3:22">
      <c r="C144" s="66" t="s">
        <v>123</v>
      </c>
      <c r="D144" s="67"/>
      <c r="E144" s="33"/>
      <c r="F144" s="33">
        <v>0</v>
      </c>
      <c r="G144" s="33">
        <v>0</v>
      </c>
      <c r="H144" s="33">
        <v>0</v>
      </c>
      <c r="I144" s="33">
        <v>0</v>
      </c>
      <c r="J144" s="33">
        <v>0</v>
      </c>
      <c r="K144" s="33">
        <v>0</v>
      </c>
      <c r="L144" s="33">
        <v>0</v>
      </c>
      <c r="M144" s="33">
        <v>0</v>
      </c>
      <c r="N144" s="33">
        <v>0</v>
      </c>
      <c r="O144" s="33">
        <v>0</v>
      </c>
      <c r="P144" s="33">
        <v>0</v>
      </c>
      <c r="Q144" s="33"/>
      <c r="R144" s="77">
        <f>AVERAGE(E144:Q144)</f>
        <v>0</v>
      </c>
      <c r="S144" s="33"/>
      <c r="T144" s="33"/>
      <c r="U144" s="33"/>
      <c r="V144" s="32"/>
    </row>
    <row r="145" s="27" customFormat="1" spans="3:22">
      <c r="C145" s="66" t="s">
        <v>124</v>
      </c>
      <c r="D145" s="67"/>
      <c r="E145" s="33"/>
      <c r="F145" s="33">
        <f>F52/F99</f>
        <v>7.09828674481515</v>
      </c>
      <c r="G145" s="33">
        <f t="shared" ref="G145:P145" si="49">G52/G99</f>
        <v>7.42908224076281</v>
      </c>
      <c r="H145" s="33">
        <f t="shared" si="49"/>
        <v>7.00586166471278</v>
      </c>
      <c r="I145" s="33">
        <f t="shared" si="49"/>
        <v>6.92161282243927</v>
      </c>
      <c r="J145" s="33">
        <f t="shared" si="49"/>
        <v>6.97067901234568</v>
      </c>
      <c r="K145" s="33">
        <f t="shared" si="49"/>
        <v>7.35969421378674</v>
      </c>
      <c r="L145" s="33">
        <f t="shared" si="49"/>
        <v>7.42771590670309</v>
      </c>
      <c r="M145" s="33">
        <f t="shared" si="49"/>
        <v>7.58403176003529</v>
      </c>
      <c r="N145" s="33">
        <f t="shared" si="49"/>
        <v>8.40009972220244</v>
      </c>
      <c r="O145" s="33">
        <f t="shared" si="49"/>
        <v>8.65951284717065</v>
      </c>
      <c r="P145" s="33">
        <f t="shared" si="49"/>
        <v>8.34324942791762</v>
      </c>
      <c r="Q145" s="33"/>
      <c r="R145" s="77">
        <f>AVERAGE(E145:Q145)</f>
        <v>7.56362057844468</v>
      </c>
      <c r="V145" s="33"/>
    </row>
    <row r="146" s="27" customFormat="1" spans="3:22">
      <c r="C146" s="66" t="s">
        <v>125</v>
      </c>
      <c r="D146" s="67"/>
      <c r="E146" s="33"/>
      <c r="F146" s="33">
        <f>F53/F115</f>
        <v>21.551724137931</v>
      </c>
      <c r="G146" s="33">
        <f t="shared" ref="G146:P146" si="50">G53/G115</f>
        <v>12.2329545454545</v>
      </c>
      <c r="H146" s="33">
        <f t="shared" si="50"/>
        <v>14.6275510204082</v>
      </c>
      <c r="I146" s="33">
        <f t="shared" si="50"/>
        <v>12.546357615894</v>
      </c>
      <c r="J146" s="33">
        <f t="shared" si="50"/>
        <v>14.3526315789474</v>
      </c>
      <c r="K146" s="33">
        <f t="shared" si="50"/>
        <v>11.4085365853659</v>
      </c>
      <c r="L146" s="33">
        <f t="shared" si="50"/>
        <v>9.36903888481291</v>
      </c>
      <c r="M146" s="33">
        <f t="shared" si="50"/>
        <v>12.5409466566491</v>
      </c>
      <c r="N146" s="33">
        <f t="shared" si="50"/>
        <v>5.54714670585354</v>
      </c>
      <c r="O146" s="33">
        <f t="shared" si="50"/>
        <v>5.05991983967936</v>
      </c>
      <c r="P146" s="33">
        <f t="shared" si="50"/>
        <v>5.35347494328728</v>
      </c>
      <c r="Q146" s="33"/>
      <c r="R146" s="77">
        <f>AVERAGE(E146:Q146)</f>
        <v>11.3263893194803</v>
      </c>
      <c r="V146" s="33"/>
    </row>
    <row r="150" ht="15.75" spans="2:2">
      <c r="B150" s="36" t="s">
        <v>126</v>
      </c>
    </row>
    <row r="151" spans="2:2">
      <c r="B151" t="s">
        <v>127</v>
      </c>
    </row>
    <row r="152" spans="3:16">
      <c r="C152" t="s">
        <v>71</v>
      </c>
      <c r="F152" s="32">
        <v>1500</v>
      </c>
      <c r="G152" s="32">
        <v>2940</v>
      </c>
      <c r="H152" s="32">
        <v>3688</v>
      </c>
      <c r="I152" s="32">
        <v>10217</v>
      </c>
      <c r="J152" s="32">
        <v>15934</v>
      </c>
      <c r="K152" s="32">
        <v>22112</v>
      </c>
      <c r="L152" s="32">
        <v>18485</v>
      </c>
      <c r="M152" s="32">
        <v>29146</v>
      </c>
      <c r="N152" s="32">
        <v>39370</v>
      </c>
      <c r="O152" s="32">
        <v>23200</v>
      </c>
      <c r="P152" s="32">
        <v>39098</v>
      </c>
    </row>
    <row r="153" spans="3:16">
      <c r="C153" t="s">
        <v>128</v>
      </c>
      <c r="F153" s="32">
        <v>1011</v>
      </c>
      <c r="G153" s="32">
        <v>1243</v>
      </c>
      <c r="H153" s="32">
        <v>1945</v>
      </c>
      <c r="I153" s="32">
        <v>2342</v>
      </c>
      <c r="J153" s="32">
        <v>3025</v>
      </c>
      <c r="K153" s="32">
        <v>4315</v>
      </c>
      <c r="L153" s="32">
        <v>5741</v>
      </c>
      <c r="M153" s="32">
        <v>6862</v>
      </c>
      <c r="N153" s="32">
        <v>7967</v>
      </c>
      <c r="O153" s="32">
        <v>8686</v>
      </c>
      <c r="P153" s="32">
        <v>11178</v>
      </c>
    </row>
    <row r="154" spans="3:16">
      <c r="C154" t="s">
        <v>129</v>
      </c>
      <c r="F154" s="32">
        <v>906</v>
      </c>
      <c r="G154" s="32">
        <v>1786</v>
      </c>
      <c r="H154" s="32">
        <v>2960</v>
      </c>
      <c r="I154" s="32">
        <v>3218</v>
      </c>
      <c r="J154" s="32">
        <v>3723</v>
      </c>
      <c r="K154" s="32">
        <v>4152</v>
      </c>
      <c r="L154" s="32">
        <v>4836</v>
      </c>
      <c r="M154" s="32">
        <v>6536</v>
      </c>
      <c r="N154" s="32">
        <v>9164</v>
      </c>
      <c r="O154" s="32">
        <v>11992</v>
      </c>
      <c r="P154" s="32">
        <v>14027</v>
      </c>
    </row>
    <row r="155" spans="3:16">
      <c r="C155" t="s">
        <v>130</v>
      </c>
      <c r="F155" s="32">
        <v>-37</v>
      </c>
      <c r="G155" s="32">
        <v>-210</v>
      </c>
      <c r="H155" s="32">
        <v>-795</v>
      </c>
      <c r="I155" s="32">
        <v>-457</v>
      </c>
      <c r="J155" s="32">
        <v>-377</v>
      </c>
      <c r="K155" s="32">
        <v>286</v>
      </c>
      <c r="L155" s="32">
        <v>-37</v>
      </c>
      <c r="M155" s="32">
        <v>-1192</v>
      </c>
      <c r="N155" s="32">
        <v>609</v>
      </c>
      <c r="O155" s="32">
        <v>-3286</v>
      </c>
      <c r="P155" s="32">
        <v>131</v>
      </c>
    </row>
    <row r="156" spans="3:16">
      <c r="C156" t="s">
        <v>131</v>
      </c>
      <c r="F156" s="32">
        <v>0</v>
      </c>
      <c r="G156" s="32">
        <v>0</v>
      </c>
      <c r="H156" s="32">
        <v>0</v>
      </c>
      <c r="I156" s="32">
        <v>0</v>
      </c>
      <c r="J156" s="32">
        <v>0</v>
      </c>
      <c r="K156" s="32">
        <v>0</v>
      </c>
      <c r="L156" s="32">
        <v>0</v>
      </c>
      <c r="M156" s="32">
        <v>0</v>
      </c>
      <c r="N156" s="32">
        <v>0</v>
      </c>
      <c r="O156" s="32">
        <v>2218</v>
      </c>
      <c r="P156" s="32">
        <v>2432</v>
      </c>
    </row>
    <row r="157" spans="3:16">
      <c r="C157" t="s">
        <v>132</v>
      </c>
      <c r="F157" s="32">
        <v>0</v>
      </c>
      <c r="G157" s="32">
        <v>0</v>
      </c>
      <c r="H157" s="32">
        <v>0</v>
      </c>
      <c r="I157" s="32">
        <v>0</v>
      </c>
      <c r="J157" s="32">
        <v>0</v>
      </c>
      <c r="K157" s="32">
        <v>0</v>
      </c>
      <c r="L157" s="32">
        <v>0</v>
      </c>
      <c r="M157" s="32">
        <v>0</v>
      </c>
      <c r="N157" s="32">
        <v>0</v>
      </c>
      <c r="O157" s="32">
        <v>1341</v>
      </c>
      <c r="P157" s="32">
        <v>-224</v>
      </c>
    </row>
    <row r="158" spans="3:16">
      <c r="C158" t="s">
        <v>133</v>
      </c>
      <c r="F158" s="32">
        <f>117+602-609+56</f>
        <v>166</v>
      </c>
      <c r="G158" s="32">
        <f>1853-24</f>
        <v>1829</v>
      </c>
      <c r="H158" s="32">
        <f>1721+17</f>
        <v>1738</v>
      </c>
      <c r="I158" s="32">
        <v>30</v>
      </c>
      <c r="J158" s="32">
        <v>24</v>
      </c>
      <c r="K158" s="32">
        <f>-64</f>
        <v>-64</v>
      </c>
      <c r="L158" s="32">
        <v>39</v>
      </c>
      <c r="M158" s="32">
        <f>33+85</f>
        <v>118</v>
      </c>
      <c r="N158" s="32">
        <v>-127</v>
      </c>
      <c r="O158" s="32">
        <v>641</v>
      </c>
      <c r="P158" s="32">
        <v>635</v>
      </c>
    </row>
    <row r="159" spans="3:16">
      <c r="C159" t="s">
        <v>134</v>
      </c>
      <c r="F159" s="32">
        <f>-378+355-142+26+12-38+8+833</f>
        <v>676</v>
      </c>
      <c r="G159" s="32">
        <f>-610-123-216+31-28+328+10+346</f>
        <v>-262</v>
      </c>
      <c r="H159" s="32">
        <f>-973-144-3+18+17+513-9+1365</f>
        <v>784</v>
      </c>
      <c r="I159" s="32">
        <f>-1489-159+14+14+67+1014+35+1262</f>
        <v>758</v>
      </c>
      <c r="J159" s="32">
        <f>-1609-192+154+43+95+309+4+3083</f>
        <v>1887</v>
      </c>
      <c r="K159" s="32">
        <f>-1892-690-159+221+157+1417+53-634</f>
        <v>-1527</v>
      </c>
      <c r="L159" s="32">
        <f>-1961+47+41+113+348+7300+123+1239</f>
        <v>7250</v>
      </c>
      <c r="M159" s="32">
        <f>-1512+135-34-17+178-946-527</f>
        <v>-2723</v>
      </c>
      <c r="N159" s="32">
        <f>-3110-1750-349+1436-12+3544+941</f>
        <v>700</v>
      </c>
      <c r="O159" s="32">
        <f>231+162-106+210+90+4210+886</f>
        <v>5683</v>
      </c>
      <c r="P159" s="32">
        <f>-2399+559-80+51-271+5352+624</f>
        <v>3836</v>
      </c>
    </row>
    <row r="160" spans="2:16">
      <c r="B160" t="s">
        <v>135</v>
      </c>
      <c r="F160" s="38">
        <f t="shared" ref="F160:P160" si="51">SUM(F152:F159)</f>
        <v>4222</v>
      </c>
      <c r="G160" s="38">
        <f t="shared" si="51"/>
        <v>7326</v>
      </c>
      <c r="H160" s="38">
        <f t="shared" si="51"/>
        <v>10320</v>
      </c>
      <c r="I160" s="38">
        <f t="shared" si="51"/>
        <v>16108</v>
      </c>
      <c r="J160" s="38">
        <f t="shared" si="51"/>
        <v>24216</v>
      </c>
      <c r="K160" s="38">
        <f t="shared" si="51"/>
        <v>29274</v>
      </c>
      <c r="L160" s="38">
        <f t="shared" si="51"/>
        <v>36314</v>
      </c>
      <c r="M160" s="38">
        <f t="shared" si="51"/>
        <v>38747</v>
      </c>
      <c r="N160" s="38">
        <f t="shared" si="51"/>
        <v>57683</v>
      </c>
      <c r="O160" s="38">
        <f t="shared" si="51"/>
        <v>50475</v>
      </c>
      <c r="P160" s="38">
        <f t="shared" si="51"/>
        <v>71113</v>
      </c>
    </row>
    <row r="162" spans="2:2">
      <c r="B162" t="s">
        <v>136</v>
      </c>
    </row>
    <row r="163" spans="3:16">
      <c r="C163" t="s">
        <v>137</v>
      </c>
      <c r="F163" s="32">
        <v>-1362</v>
      </c>
      <c r="G163" s="32">
        <v>-1831</v>
      </c>
      <c r="H163" s="32">
        <v>-2523</v>
      </c>
      <c r="I163" s="32">
        <v>-4491</v>
      </c>
      <c r="J163" s="32">
        <v>-6733</v>
      </c>
      <c r="K163" s="32">
        <v>-13915</v>
      </c>
      <c r="L163" s="32">
        <v>-15102</v>
      </c>
      <c r="M163" s="32">
        <v>-15163</v>
      </c>
      <c r="N163" s="32">
        <v>-18690</v>
      </c>
      <c r="O163" s="32">
        <v>-31431</v>
      </c>
      <c r="P163" s="32">
        <v>-27266</v>
      </c>
    </row>
    <row r="164" spans="3:16">
      <c r="C164" t="s">
        <v>138</v>
      </c>
      <c r="F164" s="32">
        <v>0</v>
      </c>
      <c r="G164" s="32">
        <v>0</v>
      </c>
      <c r="H164" s="32">
        <v>0</v>
      </c>
      <c r="I164" s="32">
        <v>0</v>
      </c>
      <c r="J164" s="32">
        <v>0</v>
      </c>
      <c r="K164" s="32">
        <v>0</v>
      </c>
      <c r="L164" s="32">
        <v>0</v>
      </c>
      <c r="M164" s="32">
        <v>48</v>
      </c>
      <c r="N164" s="32">
        <v>123</v>
      </c>
      <c r="O164" s="32">
        <v>245</v>
      </c>
      <c r="P164" s="32">
        <v>221</v>
      </c>
    </row>
    <row r="165" spans="3:16">
      <c r="C165" t="s">
        <v>139</v>
      </c>
      <c r="F165" s="32">
        <v>-7433</v>
      </c>
      <c r="G165" s="32">
        <v>-9104</v>
      </c>
      <c r="H165" s="32">
        <v>-15938</v>
      </c>
      <c r="I165" s="32">
        <v>-22341</v>
      </c>
      <c r="J165" s="32">
        <v>-25682</v>
      </c>
      <c r="K165" s="32">
        <v>-14656</v>
      </c>
      <c r="L165" s="32">
        <v>-23910</v>
      </c>
      <c r="M165" s="32">
        <v>-33930</v>
      </c>
      <c r="N165" s="32">
        <v>-30407</v>
      </c>
      <c r="O165" s="32">
        <v>-9626</v>
      </c>
      <c r="P165" s="32">
        <v>-2982</v>
      </c>
    </row>
    <row r="166" spans="3:16">
      <c r="C166" t="s">
        <v>140</v>
      </c>
      <c r="F166" s="32">
        <f>2988+3563</f>
        <v>6551</v>
      </c>
      <c r="G166" s="32">
        <f>8438+1909</f>
        <v>10347</v>
      </c>
      <c r="H166" s="32">
        <f>6928+2310</f>
        <v>9238</v>
      </c>
      <c r="I166" s="32">
        <f>13894+1261</f>
        <v>15155</v>
      </c>
      <c r="J166" s="32">
        <f>9444+2988</f>
        <v>12432</v>
      </c>
      <c r="K166" s="32">
        <f>12358+4772</f>
        <v>17130</v>
      </c>
      <c r="L166" s="32">
        <f>9565+10152</f>
        <v>19717</v>
      </c>
      <c r="M166" s="32">
        <f>11787+13984</f>
        <v>25771</v>
      </c>
      <c r="N166" s="32">
        <v>42586</v>
      </c>
      <c r="O166" s="32">
        <v>13158</v>
      </c>
      <c r="P166" s="32">
        <v>6184</v>
      </c>
    </row>
    <row r="167" spans="3:16">
      <c r="C167" t="s">
        <v>141</v>
      </c>
      <c r="F167" s="32">
        <v>-368</v>
      </c>
      <c r="G167" s="32">
        <v>-4975</v>
      </c>
      <c r="H167" s="32">
        <v>-313</v>
      </c>
      <c r="I167" s="32">
        <v>-123</v>
      </c>
      <c r="J167" s="32">
        <v>-122</v>
      </c>
      <c r="K167" s="32">
        <v>-137</v>
      </c>
      <c r="L167" s="32">
        <v>-508</v>
      </c>
      <c r="M167" s="32">
        <v>-388</v>
      </c>
      <c r="N167" s="32">
        <v>-851</v>
      </c>
      <c r="O167" s="32">
        <v>-1312</v>
      </c>
      <c r="P167" s="32">
        <v>-629</v>
      </c>
    </row>
    <row r="168" spans="3:16">
      <c r="C168" t="s">
        <v>142</v>
      </c>
      <c r="F168" s="32">
        <f>-11-1</f>
        <v>-12</v>
      </c>
      <c r="G168" s="32">
        <f>-348-2</f>
        <v>-350</v>
      </c>
      <c r="H168" s="32">
        <v>102</v>
      </c>
      <c r="I168" s="32">
        <v>8</v>
      </c>
      <c r="J168" s="32">
        <v>-13</v>
      </c>
      <c r="K168" s="32">
        <f>-25</f>
        <v>-25</v>
      </c>
      <c r="L168" s="32">
        <f>-61</f>
        <v>-61</v>
      </c>
      <c r="M168" s="32">
        <f>-6361-36</f>
        <v>-6397</v>
      </c>
      <c r="N168" s="32">
        <v>-331</v>
      </c>
      <c r="O168" s="32">
        <v>-4</v>
      </c>
      <c r="P168" s="32">
        <v>-23</v>
      </c>
    </row>
    <row r="169" spans="2:16">
      <c r="B169" t="s">
        <v>143</v>
      </c>
      <c r="F169" s="38">
        <f t="shared" ref="F169:P169" si="52">SUM(F163:F168)</f>
        <v>-2624</v>
      </c>
      <c r="G169" s="38">
        <f t="shared" si="52"/>
        <v>-5913</v>
      </c>
      <c r="H169" s="38">
        <f t="shared" si="52"/>
        <v>-9434</v>
      </c>
      <c r="I169" s="38">
        <f t="shared" si="52"/>
        <v>-11792</v>
      </c>
      <c r="J169" s="38">
        <f t="shared" si="52"/>
        <v>-20118</v>
      </c>
      <c r="K169" s="38">
        <f t="shared" si="52"/>
        <v>-11603</v>
      </c>
      <c r="L169" s="38">
        <f t="shared" si="52"/>
        <v>-19864</v>
      </c>
      <c r="M169" s="38">
        <f t="shared" si="52"/>
        <v>-30059</v>
      </c>
      <c r="N169" s="38">
        <f t="shared" si="52"/>
        <v>-7570</v>
      </c>
      <c r="O169" s="38">
        <f t="shared" si="52"/>
        <v>-28970</v>
      </c>
      <c r="P169" s="38">
        <f t="shared" si="52"/>
        <v>-24495</v>
      </c>
    </row>
    <row r="171" spans="2:2">
      <c r="B171" t="s">
        <v>144</v>
      </c>
    </row>
    <row r="172" spans="3:16">
      <c r="C172" t="s">
        <v>145</v>
      </c>
      <c r="F172" s="32">
        <v>-889</v>
      </c>
      <c r="G172" s="32">
        <v>-55</v>
      </c>
      <c r="H172" s="32">
        <v>-20</v>
      </c>
      <c r="I172" s="32">
        <v>-6</v>
      </c>
      <c r="J172" s="32">
        <v>-3246</v>
      </c>
      <c r="K172" s="32">
        <v>-3208</v>
      </c>
      <c r="L172" s="32">
        <v>-2337</v>
      </c>
      <c r="M172" s="32">
        <v>-3564</v>
      </c>
      <c r="N172" s="32">
        <v>-5515</v>
      </c>
      <c r="O172" s="32">
        <v>-3595</v>
      </c>
      <c r="P172" s="32">
        <v>-7012</v>
      </c>
    </row>
    <row r="173" spans="3:16">
      <c r="C173" t="s">
        <v>146</v>
      </c>
      <c r="F173" s="32">
        <v>0</v>
      </c>
      <c r="G173" s="32">
        <v>0</v>
      </c>
      <c r="H173" s="32">
        <v>0</v>
      </c>
      <c r="I173" s="32">
        <v>0</v>
      </c>
      <c r="J173" s="32">
        <v>-1976</v>
      </c>
      <c r="K173" s="32">
        <v>-12879</v>
      </c>
      <c r="L173" s="32">
        <v>-4202</v>
      </c>
      <c r="M173" s="32">
        <v>-6272</v>
      </c>
      <c r="N173" s="32">
        <v>-44537</v>
      </c>
      <c r="O173" s="32">
        <v>-27956</v>
      </c>
      <c r="P173" s="32">
        <v>-19774</v>
      </c>
    </row>
    <row r="174" spans="3:16">
      <c r="C174" t="s">
        <v>147</v>
      </c>
      <c r="F174" s="32">
        <v>1478</v>
      </c>
      <c r="G174" s="32">
        <v>0</v>
      </c>
      <c r="H174" s="32">
        <v>0</v>
      </c>
      <c r="I174" s="32">
        <v>0</v>
      </c>
      <c r="J174" s="32">
        <v>0</v>
      </c>
      <c r="K174" s="32">
        <v>0</v>
      </c>
      <c r="L174" s="32">
        <v>0</v>
      </c>
      <c r="M174" s="32">
        <v>0</v>
      </c>
      <c r="N174" s="32">
        <v>0</v>
      </c>
      <c r="O174" s="32">
        <v>0</v>
      </c>
      <c r="P174" s="32">
        <v>0</v>
      </c>
    </row>
    <row r="175" spans="3:16">
      <c r="C175" t="s">
        <v>148</v>
      </c>
      <c r="G175" s="32">
        <v>0</v>
      </c>
      <c r="H175" s="32">
        <v>0</v>
      </c>
      <c r="I175" s="32">
        <v>0</v>
      </c>
      <c r="J175" s="32">
        <v>0</v>
      </c>
      <c r="K175" s="32">
        <v>0</v>
      </c>
      <c r="L175" s="32">
        <v>0</v>
      </c>
      <c r="M175" s="32">
        <v>0</v>
      </c>
      <c r="N175" s="32">
        <v>0</v>
      </c>
      <c r="O175" s="32">
        <v>9921</v>
      </c>
      <c r="P175" s="32">
        <v>8455</v>
      </c>
    </row>
    <row r="176" spans="3:16">
      <c r="C176" t="s">
        <v>149</v>
      </c>
      <c r="F176" s="32">
        <v>-391</v>
      </c>
      <c r="G176" s="32">
        <v>-243</v>
      </c>
      <c r="H176" s="32">
        <v>-119</v>
      </c>
      <c r="I176" s="32">
        <v>-312</v>
      </c>
      <c r="J176" s="32">
        <v>0</v>
      </c>
      <c r="K176" s="32">
        <v>0</v>
      </c>
      <c r="L176" s="32">
        <v>-552</v>
      </c>
      <c r="M176" s="32">
        <v>-604</v>
      </c>
      <c r="N176" s="32">
        <v>-677</v>
      </c>
      <c r="O176" s="32">
        <v>-850</v>
      </c>
      <c r="P176" s="32">
        <v>-1058</v>
      </c>
    </row>
    <row r="177" spans="3:16">
      <c r="C177" t="s">
        <v>150</v>
      </c>
      <c r="F177" s="32">
        <v>0</v>
      </c>
      <c r="G177" s="32">
        <v>0</v>
      </c>
      <c r="H177" s="32">
        <v>0</v>
      </c>
      <c r="I177" s="32">
        <v>0</v>
      </c>
      <c r="J177" s="32">
        <v>0</v>
      </c>
      <c r="K177" s="32">
        <v>0</v>
      </c>
      <c r="L177" s="32">
        <v>0</v>
      </c>
      <c r="M177" s="32">
        <v>0</v>
      </c>
      <c r="N177" s="32">
        <v>0</v>
      </c>
      <c r="O177" s="32">
        <v>0</v>
      </c>
      <c r="P177" s="32">
        <v>0</v>
      </c>
    </row>
    <row r="178" spans="3:16">
      <c r="C178" t="s">
        <v>133</v>
      </c>
      <c r="F178" s="32">
        <f>26-1500+609</f>
        <v>-865</v>
      </c>
      <c r="G178" s="32">
        <v>0</v>
      </c>
      <c r="H178" s="32">
        <v>0</v>
      </c>
      <c r="I178" s="32">
        <v>8</v>
      </c>
      <c r="J178" s="32">
        <v>-13</v>
      </c>
      <c r="K178" s="32">
        <f>500+15</f>
        <v>515</v>
      </c>
      <c r="L178" s="32">
        <f>-223+15</f>
        <v>-208</v>
      </c>
      <c r="M178" s="32">
        <v>148</v>
      </c>
      <c r="N178" s="32">
        <v>1</v>
      </c>
      <c r="O178" s="32">
        <v>344</v>
      </c>
      <c r="P178" s="32">
        <v>-111</v>
      </c>
    </row>
    <row r="179" spans="2:16">
      <c r="B179" t="s">
        <v>151</v>
      </c>
      <c r="F179" s="38">
        <f t="shared" ref="F179:P179" si="53">SUM(F172:F178)</f>
        <v>-667</v>
      </c>
      <c r="G179" s="38">
        <f t="shared" si="53"/>
        <v>-298</v>
      </c>
      <c r="H179" s="38">
        <f t="shared" si="53"/>
        <v>-139</v>
      </c>
      <c r="I179" s="38">
        <f t="shared" si="53"/>
        <v>-310</v>
      </c>
      <c r="J179" s="38">
        <f t="shared" si="53"/>
        <v>-5235</v>
      </c>
      <c r="K179" s="38">
        <f t="shared" si="53"/>
        <v>-15572</v>
      </c>
      <c r="L179" s="38">
        <f t="shared" si="53"/>
        <v>-7299</v>
      </c>
      <c r="M179" s="38">
        <f t="shared" si="53"/>
        <v>-10292</v>
      </c>
      <c r="N179" s="38">
        <f t="shared" si="53"/>
        <v>-50728</v>
      </c>
      <c r="O179" s="38">
        <f t="shared" si="53"/>
        <v>-22136</v>
      </c>
      <c r="P179" s="38">
        <f t="shared" si="53"/>
        <v>-19500</v>
      </c>
    </row>
    <row r="181" spans="2:16">
      <c r="B181" t="s">
        <v>152</v>
      </c>
      <c r="F181" s="32">
        <v>8</v>
      </c>
      <c r="G181" s="32">
        <v>-123</v>
      </c>
      <c r="H181" s="32">
        <v>-155</v>
      </c>
      <c r="I181" s="32">
        <v>-63</v>
      </c>
      <c r="J181" s="32">
        <v>232</v>
      </c>
      <c r="K181" s="32">
        <v>-179</v>
      </c>
      <c r="L181" s="32">
        <v>4</v>
      </c>
      <c r="M181" s="32">
        <v>279</v>
      </c>
      <c r="N181" s="32">
        <v>-474</v>
      </c>
      <c r="O181" s="32">
        <v>-638</v>
      </c>
      <c r="P181" s="32">
        <v>113</v>
      </c>
    </row>
    <row r="183" spans="2:16">
      <c r="B183" t="s">
        <v>153</v>
      </c>
      <c r="F183" s="38">
        <f t="shared" ref="F183:P183" si="54">F160+F169+F179+F181</f>
        <v>939</v>
      </c>
      <c r="G183" s="38">
        <f t="shared" si="54"/>
        <v>992</v>
      </c>
      <c r="H183" s="38">
        <f t="shared" si="54"/>
        <v>592</v>
      </c>
      <c r="I183" s="38">
        <f t="shared" si="54"/>
        <v>3943</v>
      </c>
      <c r="J183" s="38">
        <f t="shared" si="54"/>
        <v>-905</v>
      </c>
      <c r="K183" s="38">
        <f t="shared" si="54"/>
        <v>1920</v>
      </c>
      <c r="L183" s="38">
        <f t="shared" si="54"/>
        <v>9155</v>
      </c>
      <c r="M183" s="38">
        <f t="shared" si="54"/>
        <v>-1325</v>
      </c>
      <c r="N183" s="38">
        <f t="shared" si="54"/>
        <v>-1089</v>
      </c>
      <c r="O183" s="38">
        <f t="shared" si="54"/>
        <v>-1269</v>
      </c>
      <c r="P183" s="38">
        <f t="shared" si="54"/>
        <v>27231</v>
      </c>
    </row>
    <row r="184" spans="2:16">
      <c r="B184" t="s">
        <v>154</v>
      </c>
      <c r="F184" s="32">
        <v>2384</v>
      </c>
      <c r="G184" s="32">
        <v>3323</v>
      </c>
      <c r="H184" s="32">
        <v>4315</v>
      </c>
      <c r="I184" s="41">
        <v>5166</v>
      </c>
      <c r="J184" s="32">
        <v>9109</v>
      </c>
      <c r="K184" s="32">
        <v>8204</v>
      </c>
      <c r="L184" s="32">
        <v>10124</v>
      </c>
      <c r="M184" s="32">
        <v>19279</v>
      </c>
      <c r="N184" s="32">
        <v>17954</v>
      </c>
      <c r="O184" s="32">
        <v>16865</v>
      </c>
      <c r="P184" s="32">
        <v>15596</v>
      </c>
    </row>
    <row r="185" spans="2:16">
      <c r="B185" t="s">
        <v>155</v>
      </c>
      <c r="F185" s="38">
        <f t="shared" ref="F185:P185" si="55">SUM(F183:F184)</f>
        <v>3323</v>
      </c>
      <c r="G185" s="38">
        <f t="shared" si="55"/>
        <v>4315</v>
      </c>
      <c r="H185" s="76">
        <f t="shared" si="55"/>
        <v>4907</v>
      </c>
      <c r="I185" s="38">
        <f t="shared" si="55"/>
        <v>9109</v>
      </c>
      <c r="J185" s="38">
        <f t="shared" si="55"/>
        <v>8204</v>
      </c>
      <c r="K185" s="38">
        <f t="shared" si="55"/>
        <v>10124</v>
      </c>
      <c r="L185" s="38">
        <f t="shared" si="55"/>
        <v>19279</v>
      </c>
      <c r="M185" s="38">
        <f t="shared" si="55"/>
        <v>17954</v>
      </c>
      <c r="N185" s="38">
        <f t="shared" si="55"/>
        <v>16865</v>
      </c>
      <c r="O185" s="38">
        <f t="shared" si="55"/>
        <v>15596</v>
      </c>
      <c r="P185" s="38">
        <f t="shared" si="55"/>
        <v>42827</v>
      </c>
    </row>
    <row r="187" ht="15.75" spans="3:4">
      <c r="C187" s="42" t="s">
        <v>126</v>
      </c>
      <c r="D187" s="43"/>
    </row>
    <row r="188" s="26" customFormat="1" spans="3:23">
      <c r="C188" s="63" t="s">
        <v>156</v>
      </c>
      <c r="D188" s="63"/>
      <c r="E188" s="65"/>
      <c r="F188" s="64">
        <f t="shared" ref="F188:P188" si="56">F160+F163</f>
        <v>2860</v>
      </c>
      <c r="G188" s="64">
        <f t="shared" si="56"/>
        <v>5495</v>
      </c>
      <c r="H188" s="64">
        <f t="shared" si="56"/>
        <v>7797</v>
      </c>
      <c r="I188" s="64">
        <f t="shared" si="56"/>
        <v>11617</v>
      </c>
      <c r="J188" s="64">
        <f t="shared" si="56"/>
        <v>17483</v>
      </c>
      <c r="K188" s="64">
        <f t="shared" si="56"/>
        <v>15359</v>
      </c>
      <c r="L188" s="64">
        <f t="shared" si="56"/>
        <v>21212</v>
      </c>
      <c r="M188" s="64">
        <f t="shared" si="56"/>
        <v>23584</v>
      </c>
      <c r="N188" s="64">
        <f t="shared" si="56"/>
        <v>38993</v>
      </c>
      <c r="O188" s="64">
        <f t="shared" si="56"/>
        <v>19044</v>
      </c>
      <c r="P188" s="64">
        <f t="shared" si="56"/>
        <v>43847</v>
      </c>
      <c r="Q188" s="65"/>
      <c r="R188" s="78">
        <f>AVERAGE(E188:Q188)</f>
        <v>18844.6363636364</v>
      </c>
      <c r="S188" s="44"/>
      <c r="T188" s="44"/>
      <c r="U188" s="44"/>
      <c r="V188" s="64"/>
      <c r="W188" s="65"/>
    </row>
    <row r="189" spans="3:22">
      <c r="C189" s="63" t="s">
        <v>157</v>
      </c>
      <c r="D189" s="43"/>
      <c r="F189" s="33">
        <f t="shared" ref="F189:P189" si="57">IFERROR(F188/F78,0)</f>
        <v>1.12288967412642</v>
      </c>
      <c r="G189" s="33">
        <f t="shared" si="57"/>
        <v>1.9646049338577</v>
      </c>
      <c r="H189" s="33">
        <f t="shared" si="57"/>
        <v>2.74059753954306</v>
      </c>
      <c r="I189" s="33">
        <f t="shared" si="57"/>
        <v>4.01694329183956</v>
      </c>
      <c r="J189" s="33">
        <f t="shared" si="57"/>
        <v>6.01617343427392</v>
      </c>
      <c r="K189" s="33">
        <f t="shared" si="57"/>
        <v>5.38156972669937</v>
      </c>
      <c r="L189" s="33">
        <f t="shared" si="57"/>
        <v>7.43758765778401</v>
      </c>
      <c r="M189" s="33">
        <f t="shared" si="57"/>
        <v>8.27799227799228</v>
      </c>
      <c r="N189" s="33">
        <f t="shared" si="57"/>
        <v>14.2258299890551</v>
      </c>
      <c r="O189" s="33">
        <f t="shared" si="57"/>
        <v>7.28538638102525</v>
      </c>
      <c r="P189" s="33">
        <f t="shared" si="57"/>
        <v>17.1949019607843</v>
      </c>
      <c r="R189" s="77">
        <f>AVERAGE(E189:Q189)</f>
        <v>6.87858880608918</v>
      </c>
      <c r="V189" s="33"/>
    </row>
  </sheetData>
  <mergeCells count="9">
    <mergeCell ref="F7:F9"/>
    <mergeCell ref="F14:F15"/>
    <mergeCell ref="G7:G9"/>
    <mergeCell ref="G14:G15"/>
    <mergeCell ref="H7:H9"/>
    <mergeCell ref="H14:H15"/>
    <mergeCell ref="I14:I15"/>
    <mergeCell ref="J14:J15"/>
    <mergeCell ref="K14:K15"/>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42"/>
  <sheetViews>
    <sheetView workbookViewId="0">
      <selection activeCell="L8" sqref="L8"/>
    </sheetView>
    <sheetView topLeftCell="A8" workbookViewId="1">
      <selection activeCell="S35" sqref="S35"/>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158</v>
      </c>
      <c r="G3" s="1"/>
      <c r="L3" t="s">
        <v>159</v>
      </c>
    </row>
    <row r="4" spans="2:12">
      <c r="B4" s="87" t="s">
        <v>160</v>
      </c>
      <c r="L4" s="87" t="s">
        <v>161</v>
      </c>
    </row>
    <row r="5" spans="2:19">
      <c r="B5" t="s">
        <v>162</v>
      </c>
      <c r="L5" t="s">
        <v>163</v>
      </c>
      <c r="O5" s="9">
        <f>[1]Sheet1!$E$6</f>
        <v>0.0246945</v>
      </c>
      <c r="S5" t="s">
        <v>164</v>
      </c>
    </row>
    <row r="6" spans="2:15">
      <c r="B6" s="2"/>
      <c r="O6" s="8"/>
    </row>
    <row r="7" spans="6:24">
      <c r="F7" s="3" t="s">
        <v>165</v>
      </c>
      <c r="G7" s="3" t="s">
        <v>166</v>
      </c>
      <c r="H7" s="3" t="s">
        <v>167</v>
      </c>
      <c r="J7" s="3" t="s">
        <v>167</v>
      </c>
      <c r="S7" s="11" t="s">
        <v>168</v>
      </c>
      <c r="X7" s="11" t="s">
        <v>169</v>
      </c>
    </row>
    <row r="8" ht="75" spans="2:26">
      <c r="B8" t="s">
        <v>170</v>
      </c>
      <c r="C8" t="s">
        <v>171</v>
      </c>
      <c r="D8" t="s">
        <v>172</v>
      </c>
      <c r="F8" t="s">
        <v>173</v>
      </c>
      <c r="G8" s="4" t="s">
        <v>174</v>
      </c>
      <c r="H8" s="4" t="s">
        <v>175</v>
      </c>
      <c r="J8" s="4" t="s">
        <v>176</v>
      </c>
      <c r="M8" s="10"/>
      <c r="R8" s="4"/>
      <c r="S8" s="4" t="s">
        <v>177</v>
      </c>
      <c r="U8" s="4" t="s">
        <v>178</v>
      </c>
      <c r="V8" s="10" t="s">
        <v>179</v>
      </c>
      <c r="X8" s="4" t="s">
        <v>180</v>
      </c>
      <c r="Y8" s="4" t="s">
        <v>178</v>
      </c>
      <c r="Z8" s="10" t="s">
        <v>179</v>
      </c>
    </row>
    <row r="9" spans="1:26">
      <c r="A9">
        <v>1</v>
      </c>
      <c r="B9" s="5">
        <v>45261</v>
      </c>
      <c r="C9" s="6">
        <v>353.96</v>
      </c>
      <c r="D9" s="7">
        <v>0.082</v>
      </c>
      <c r="F9" s="8">
        <f t="shared" ref="F9:F68" si="0">D9</f>
        <v>0.082</v>
      </c>
      <c r="G9" s="8">
        <f>O$5/12</f>
        <v>0.002057875</v>
      </c>
      <c r="H9" s="8">
        <f t="shared" ref="H9:H68" si="1">F9-G9</f>
        <v>0.079942125</v>
      </c>
      <c r="J9" s="8" t="str">
        <f t="shared" ref="J9:J68" si="2">IF(H9&lt;0,H9,"")</f>
        <v/>
      </c>
      <c r="L9" s="11" t="s">
        <v>20</v>
      </c>
      <c r="O9" s="12" t="s">
        <v>181</v>
      </c>
      <c r="P9" s="12" t="s">
        <v>182</v>
      </c>
      <c r="Q9" s="12" t="s">
        <v>183</v>
      </c>
      <c r="R9" s="8"/>
      <c r="S9" s="8">
        <f>AVERAGE(H9:H68)</f>
        <v>0.0218454583333333</v>
      </c>
      <c r="T9">
        <v>1</v>
      </c>
      <c r="U9" s="8">
        <f t="shared" ref="U9:U68" si="3">(H9-S$9)^2</f>
        <v>0.00337522267777778</v>
      </c>
      <c r="V9" s="8">
        <f>(U70/T68)^(1/2)</f>
        <v>0.118038917264133</v>
      </c>
      <c r="X9" s="8">
        <f>AVERAGE(J9:J68)</f>
        <v>-0.0922760568181818</v>
      </c>
      <c r="Y9" s="8" t="str">
        <f t="shared" ref="Y9:Y68" si="4">IF(J9="","",(J9-X$9)^2)</f>
        <v/>
      </c>
      <c r="Z9" s="8">
        <f>(Y70/(COUNT(Y9:Y69)-1))^(1/2)</f>
        <v>0.0877933864325708</v>
      </c>
    </row>
    <row r="10" spans="1:25">
      <c r="A10">
        <v>2</v>
      </c>
      <c r="B10" s="5">
        <v>45231</v>
      </c>
      <c r="C10" s="6">
        <v>327.15</v>
      </c>
      <c r="D10" s="7">
        <v>0.0859</v>
      </c>
      <c r="F10" s="8">
        <f t="shared" si="0"/>
        <v>0.0859</v>
      </c>
      <c r="G10" s="8">
        <f>O$5/12</f>
        <v>0.002057875</v>
      </c>
      <c r="H10" s="8">
        <f t="shared" si="1"/>
        <v>0.083842125</v>
      </c>
      <c r="J10" s="8" t="str">
        <f t="shared" si="2"/>
        <v/>
      </c>
      <c r="T10">
        <v>2</v>
      </c>
      <c r="U10" s="8">
        <f t="shared" si="3"/>
        <v>0.00384358667777778</v>
      </c>
      <c r="Y10" s="8" t="str">
        <f t="shared" si="4"/>
        <v/>
      </c>
    </row>
    <row r="11" spans="1:25">
      <c r="A11">
        <v>3</v>
      </c>
      <c r="B11" s="5">
        <v>45200</v>
      </c>
      <c r="C11" s="6">
        <v>301.27</v>
      </c>
      <c r="D11" s="7">
        <v>0.0035</v>
      </c>
      <c r="F11" s="8">
        <f t="shared" si="0"/>
        <v>0.0035</v>
      </c>
      <c r="G11" s="8">
        <f>O$5/12</f>
        <v>0.002057875</v>
      </c>
      <c r="H11" s="8">
        <f t="shared" si="1"/>
        <v>0.001442125</v>
      </c>
      <c r="J11" s="8" t="str">
        <f t="shared" si="2"/>
        <v/>
      </c>
      <c r="L11" s="13" t="s">
        <v>179</v>
      </c>
      <c r="O11" s="9">
        <f>STDEV.P(H9:H20)</f>
        <v>0.0840954661712245</v>
      </c>
      <c r="P11" s="9">
        <f>STDEV.P(H9:H44)</f>
        <v>0.12890792352262</v>
      </c>
      <c r="Q11" s="9">
        <f>STDEV.P(H9:H68)</f>
        <v>0.118038917264133</v>
      </c>
      <c r="T11">
        <v>3</v>
      </c>
      <c r="U11" s="8">
        <f t="shared" si="3"/>
        <v>0.000416296011111111</v>
      </c>
      <c r="Y11" s="8" t="str">
        <f t="shared" si="4"/>
        <v/>
      </c>
    </row>
    <row r="12" spans="1:25">
      <c r="A12">
        <v>4</v>
      </c>
      <c r="B12" s="5">
        <v>45170</v>
      </c>
      <c r="C12" s="6">
        <v>300.21</v>
      </c>
      <c r="D12" s="7">
        <v>0.0146</v>
      </c>
      <c r="F12" s="8">
        <f t="shared" si="0"/>
        <v>0.0146</v>
      </c>
      <c r="G12" s="8">
        <f>O$5/12</f>
        <v>0.002057875</v>
      </c>
      <c r="H12" s="8">
        <f t="shared" si="1"/>
        <v>0.012542125</v>
      </c>
      <c r="J12" s="8" t="str">
        <f t="shared" si="2"/>
        <v/>
      </c>
      <c r="L12" s="14" t="s">
        <v>184</v>
      </c>
      <c r="O12" s="8">
        <f t="shared" ref="O12:Q12" si="5">(1+O19)^(1/12)-1</f>
        <v>0.0747842181017329</v>
      </c>
      <c r="P12" s="8">
        <f t="shared" si="5"/>
        <v>0.00878688206914435</v>
      </c>
      <c r="Q12" s="8">
        <f t="shared" si="5"/>
        <v>0.0126298937302836</v>
      </c>
      <c r="T12">
        <v>4</v>
      </c>
      <c r="U12" s="8">
        <f t="shared" si="3"/>
        <v>8.65520111111112e-5</v>
      </c>
      <c r="Y12" s="8" t="str">
        <f t="shared" si="4"/>
        <v/>
      </c>
    </row>
    <row r="13" spans="1:25">
      <c r="A13">
        <v>5</v>
      </c>
      <c r="B13" s="5">
        <v>45139</v>
      </c>
      <c r="C13" s="6">
        <v>295.89</v>
      </c>
      <c r="D13" s="7">
        <v>-0.0713</v>
      </c>
      <c r="F13" s="8">
        <f t="shared" si="0"/>
        <v>-0.0713</v>
      </c>
      <c r="G13" s="8">
        <f>O$5/12</f>
        <v>0.002057875</v>
      </c>
      <c r="H13" s="8">
        <f t="shared" si="1"/>
        <v>-0.073357875</v>
      </c>
      <c r="J13" s="8">
        <f t="shared" si="2"/>
        <v>-0.073357875</v>
      </c>
      <c r="L13" s="14" t="s">
        <v>185</v>
      </c>
      <c r="O13" s="15">
        <f t="shared" ref="O13:Q13" si="6">O20/12</f>
        <v>0.002057875</v>
      </c>
      <c r="P13" s="15">
        <f t="shared" si="6"/>
        <v>0.002057875</v>
      </c>
      <c r="Q13" s="15">
        <f t="shared" si="6"/>
        <v>0.002057875</v>
      </c>
      <c r="T13">
        <v>5</v>
      </c>
      <c r="U13" s="8">
        <f t="shared" si="3"/>
        <v>0.00906367467777778</v>
      </c>
      <c r="Y13" s="8">
        <f t="shared" si="4"/>
        <v>0.000357897603305784</v>
      </c>
    </row>
    <row r="14" spans="1:25">
      <c r="A14">
        <v>6</v>
      </c>
      <c r="B14" s="5">
        <v>45108</v>
      </c>
      <c r="C14" s="6">
        <v>318.6</v>
      </c>
      <c r="D14" s="7">
        <v>0.1102</v>
      </c>
      <c r="F14" s="8">
        <f t="shared" si="0"/>
        <v>0.1102</v>
      </c>
      <c r="G14" s="8">
        <f>O$5/12</f>
        <v>0.002057875</v>
      </c>
      <c r="H14" s="8">
        <f t="shared" si="1"/>
        <v>0.108142125</v>
      </c>
      <c r="J14" s="8" t="str">
        <f t="shared" si="2"/>
        <v/>
      </c>
      <c r="L14" s="13" t="s">
        <v>186</v>
      </c>
      <c r="O14" s="8">
        <f t="shared" ref="O14:Q14" si="7">O12-O13</f>
        <v>0.0727263431017329</v>
      </c>
      <c r="P14" s="8">
        <f t="shared" si="7"/>
        <v>0.00672900706914435</v>
      </c>
      <c r="Q14" s="8">
        <f t="shared" si="7"/>
        <v>0.0105720187302836</v>
      </c>
      <c r="T14">
        <v>6</v>
      </c>
      <c r="U14" s="8">
        <f t="shared" si="3"/>
        <v>0.00744711467777778</v>
      </c>
      <c r="Y14" s="8" t="str">
        <f t="shared" si="4"/>
        <v/>
      </c>
    </row>
    <row r="15" spans="1:25">
      <c r="A15">
        <v>7</v>
      </c>
      <c r="B15" s="5">
        <v>45078</v>
      </c>
      <c r="C15" s="6">
        <v>286.98</v>
      </c>
      <c r="D15" s="7">
        <v>0.0841</v>
      </c>
      <c r="F15" s="8">
        <f t="shared" si="0"/>
        <v>0.0841</v>
      </c>
      <c r="G15" s="8">
        <f>O$5/12</f>
        <v>0.002057875</v>
      </c>
      <c r="H15" s="8">
        <f t="shared" si="1"/>
        <v>0.082042125</v>
      </c>
      <c r="J15" s="8" t="str">
        <f t="shared" si="2"/>
        <v/>
      </c>
      <c r="T15">
        <v>7</v>
      </c>
      <c r="U15" s="8">
        <f t="shared" si="3"/>
        <v>0.00362363867777778</v>
      </c>
      <c r="Y15" s="8" t="str">
        <f t="shared" si="4"/>
        <v/>
      </c>
    </row>
    <row r="16" spans="1:25">
      <c r="A16">
        <v>8</v>
      </c>
      <c r="B16" s="5">
        <v>45047</v>
      </c>
      <c r="C16" s="6">
        <v>264.72</v>
      </c>
      <c r="D16" s="7">
        <v>0.1015</v>
      </c>
      <c r="F16" s="8">
        <f t="shared" si="0"/>
        <v>0.1015</v>
      </c>
      <c r="G16" s="8">
        <f>O$5/12</f>
        <v>0.002057875</v>
      </c>
      <c r="H16" s="8">
        <f t="shared" si="1"/>
        <v>0.099442125</v>
      </c>
      <c r="J16" s="8" t="str">
        <f t="shared" si="2"/>
        <v/>
      </c>
      <c r="L16" s="13" t="s">
        <v>187</v>
      </c>
      <c r="O16" s="16">
        <f t="shared" ref="O16:Q16" si="8">O14/O11</f>
        <v>0.864806943975514</v>
      </c>
      <c r="P16" s="16">
        <f t="shared" si="8"/>
        <v>0.0522001044254165</v>
      </c>
      <c r="Q16" s="16">
        <f t="shared" si="8"/>
        <v>0.0895638402597914</v>
      </c>
      <c r="T16">
        <v>8</v>
      </c>
      <c r="U16" s="8">
        <f t="shared" si="3"/>
        <v>0.00602124267777778</v>
      </c>
      <c r="Y16" s="8" t="str">
        <f t="shared" si="4"/>
        <v/>
      </c>
    </row>
    <row r="17" spans="1:25">
      <c r="A17">
        <v>9</v>
      </c>
      <c r="B17" s="5">
        <v>45017</v>
      </c>
      <c r="C17" s="6">
        <v>240.32</v>
      </c>
      <c r="D17" s="7">
        <v>0.1339</v>
      </c>
      <c r="F17" s="8">
        <f t="shared" si="0"/>
        <v>0.1339</v>
      </c>
      <c r="G17" s="8">
        <f>O$5/12</f>
        <v>0.002057875</v>
      </c>
      <c r="H17" s="8">
        <f t="shared" si="1"/>
        <v>0.131842125</v>
      </c>
      <c r="J17" s="8" t="str">
        <f t="shared" si="2"/>
        <v/>
      </c>
      <c r="T17">
        <v>9</v>
      </c>
      <c r="U17" s="8">
        <f t="shared" si="3"/>
        <v>0.0120992666777778</v>
      </c>
      <c r="Y17" s="8" t="str">
        <f t="shared" si="4"/>
        <v/>
      </c>
    </row>
    <row r="18" spans="1:25">
      <c r="A18">
        <v>10</v>
      </c>
      <c r="B18" s="5">
        <v>44986</v>
      </c>
      <c r="C18" s="6">
        <v>211.94</v>
      </c>
      <c r="D18" s="7">
        <v>0.2115</v>
      </c>
      <c r="F18" s="8">
        <f t="shared" si="0"/>
        <v>0.2115</v>
      </c>
      <c r="G18" s="8">
        <f>O$5/12</f>
        <v>0.002057875</v>
      </c>
      <c r="H18" s="8">
        <f t="shared" si="1"/>
        <v>0.209442125</v>
      </c>
      <c r="J18" s="8" t="str">
        <f t="shared" si="2"/>
        <v/>
      </c>
      <c r="L18" s="13" t="s">
        <v>188</v>
      </c>
      <c r="O18" s="8">
        <f t="shared" ref="O18:Q18" si="9">O11*12^(1/2)</f>
        <v>0.291315240189501</v>
      </c>
      <c r="P18" s="8">
        <f t="shared" si="9"/>
        <v>0.446550146078761</v>
      </c>
      <c r="Q18" s="8">
        <f t="shared" si="9"/>
        <v>0.408898803943796</v>
      </c>
      <c r="T18">
        <v>10</v>
      </c>
      <c r="U18" s="8">
        <f t="shared" si="3"/>
        <v>0.0351925093444444</v>
      </c>
      <c r="Y18" s="8" t="str">
        <f t="shared" si="4"/>
        <v/>
      </c>
    </row>
    <row r="19" spans="1:25">
      <c r="A19">
        <v>11</v>
      </c>
      <c r="B19" s="5">
        <v>44958</v>
      </c>
      <c r="C19" s="6">
        <v>174.94</v>
      </c>
      <c r="D19" s="7">
        <v>0.1743</v>
      </c>
      <c r="F19" s="8">
        <f t="shared" si="0"/>
        <v>0.1743</v>
      </c>
      <c r="G19" s="8">
        <f>O$5/12</f>
        <v>0.002057875</v>
      </c>
      <c r="H19" s="8">
        <f t="shared" si="1"/>
        <v>0.172242125</v>
      </c>
      <c r="J19" s="8" t="str">
        <f t="shared" si="2"/>
        <v/>
      </c>
      <c r="L19" s="14" t="s">
        <v>189</v>
      </c>
      <c r="O19" s="8">
        <f>($C$9/$C$20)^(1/($A$20/12))-1</f>
        <v>1.37604886889978</v>
      </c>
      <c r="P19" s="8">
        <f>($C$9/$C$44)^(1/($A$44/12))-1</f>
        <v>0.110690645520421</v>
      </c>
      <c r="Q19" s="8">
        <f>($C$9/$C$68)^(1/($A$68/12))-1</f>
        <v>0.162542738946616</v>
      </c>
      <c r="T19">
        <v>11</v>
      </c>
      <c r="U19" s="8">
        <f t="shared" si="3"/>
        <v>0.0226191573444444</v>
      </c>
      <c r="Y19" s="8" t="str">
        <f t="shared" si="4"/>
        <v/>
      </c>
    </row>
    <row r="20" spans="1:25">
      <c r="A20">
        <v>12</v>
      </c>
      <c r="B20" s="5">
        <v>44927</v>
      </c>
      <c r="C20" s="6">
        <v>148.97</v>
      </c>
      <c r="D20" s="7">
        <v>0.2379</v>
      </c>
      <c r="F20" s="8">
        <f t="shared" si="0"/>
        <v>0.2379</v>
      </c>
      <c r="G20" s="8">
        <f>O$5/12</f>
        <v>0.002057875</v>
      </c>
      <c r="H20" s="8">
        <f t="shared" si="1"/>
        <v>0.235842125</v>
      </c>
      <c r="J20" s="8" t="str">
        <f t="shared" si="2"/>
        <v/>
      </c>
      <c r="L20" s="14" t="s">
        <v>190</v>
      </c>
      <c r="O20" s="15">
        <f t="shared" ref="O20:Q20" si="10">$O$5</f>
        <v>0.0246945</v>
      </c>
      <c r="P20" s="15">
        <f t="shared" si="10"/>
        <v>0.0246945</v>
      </c>
      <c r="Q20" s="15">
        <f t="shared" si="10"/>
        <v>0.0246945</v>
      </c>
      <c r="T20">
        <v>12</v>
      </c>
      <c r="U20" s="8">
        <f t="shared" si="3"/>
        <v>0.0457945733444444</v>
      </c>
      <c r="Y20" s="8" t="str">
        <f t="shared" si="4"/>
        <v/>
      </c>
    </row>
    <row r="21" spans="1:25">
      <c r="A21">
        <v>13</v>
      </c>
      <c r="B21" s="5">
        <v>44896</v>
      </c>
      <c r="C21" s="6">
        <v>120.34</v>
      </c>
      <c r="D21" s="7">
        <v>0.019</v>
      </c>
      <c r="F21" s="8">
        <f t="shared" si="0"/>
        <v>0.019</v>
      </c>
      <c r="G21" s="8">
        <f>O$5/12</f>
        <v>0.002057875</v>
      </c>
      <c r="H21" s="8">
        <f t="shared" si="1"/>
        <v>0.016942125</v>
      </c>
      <c r="J21" s="8" t="str">
        <f t="shared" si="2"/>
        <v/>
      </c>
      <c r="L21" s="13" t="s">
        <v>186</v>
      </c>
      <c r="O21" s="8">
        <f t="shared" ref="O21:Q21" si="11">O19-O20</f>
        <v>1.35135436889978</v>
      </c>
      <c r="P21" s="8">
        <f t="shared" si="11"/>
        <v>0.0859961455204213</v>
      </c>
      <c r="Q21" s="8">
        <f t="shared" si="11"/>
        <v>0.137848238946616</v>
      </c>
      <c r="T21">
        <v>13</v>
      </c>
      <c r="U21" s="8">
        <f t="shared" si="3"/>
        <v>2.40426777777778e-5</v>
      </c>
      <c r="Y21" s="8" t="str">
        <f t="shared" si="4"/>
        <v/>
      </c>
    </row>
    <row r="22" spans="1:25">
      <c r="A22">
        <v>14</v>
      </c>
      <c r="B22" s="5">
        <v>44866</v>
      </c>
      <c r="C22" s="6">
        <v>118.1</v>
      </c>
      <c r="D22" s="7">
        <v>0.2677</v>
      </c>
      <c r="F22" s="8">
        <f t="shared" si="0"/>
        <v>0.2677</v>
      </c>
      <c r="G22" s="8">
        <f>O$5/12</f>
        <v>0.002057875</v>
      </c>
      <c r="H22" s="8">
        <f t="shared" si="1"/>
        <v>0.265642125</v>
      </c>
      <c r="J22" s="8" t="str">
        <f t="shared" si="2"/>
        <v/>
      </c>
      <c r="T22">
        <v>14</v>
      </c>
      <c r="U22" s="8">
        <f t="shared" si="3"/>
        <v>0.0594368146777778</v>
      </c>
      <c r="Y22" s="8" t="str">
        <f t="shared" si="4"/>
        <v/>
      </c>
    </row>
    <row r="23" spans="1:25">
      <c r="A23">
        <v>15</v>
      </c>
      <c r="B23" s="5">
        <v>44835</v>
      </c>
      <c r="C23" s="6">
        <v>93.16</v>
      </c>
      <c r="D23" s="7">
        <v>-0.3134</v>
      </c>
      <c r="F23" s="8">
        <f t="shared" si="0"/>
        <v>-0.3134</v>
      </c>
      <c r="G23" s="8">
        <f>O$5/12</f>
        <v>0.002057875</v>
      </c>
      <c r="H23" s="8">
        <f t="shared" si="1"/>
        <v>-0.315457875</v>
      </c>
      <c r="J23" s="8">
        <f t="shared" si="2"/>
        <v>-0.315457875</v>
      </c>
      <c r="L23" s="13" t="s">
        <v>191</v>
      </c>
      <c r="O23" s="16">
        <f t="shared" ref="O23:Q23" si="12">O21/O18</f>
        <v>4.63880423152843</v>
      </c>
      <c r="P23" s="16">
        <f t="shared" si="12"/>
        <v>0.192578921484114</v>
      </c>
      <c r="Q23" s="16">
        <f t="shared" si="12"/>
        <v>0.337120670486391</v>
      </c>
      <c r="T23">
        <v>15</v>
      </c>
      <c r="U23" s="8">
        <f t="shared" si="3"/>
        <v>0.113773538677778</v>
      </c>
      <c r="Y23" s="8">
        <f t="shared" si="4"/>
        <v>0.0498101239669422</v>
      </c>
    </row>
    <row r="24" ht="15.75" spans="1:25">
      <c r="A24">
        <v>16</v>
      </c>
      <c r="B24" s="5">
        <v>44805</v>
      </c>
      <c r="C24" s="6">
        <v>135.68</v>
      </c>
      <c r="D24" s="7">
        <v>-0.1672</v>
      </c>
      <c r="F24" s="8">
        <f t="shared" si="0"/>
        <v>-0.1672</v>
      </c>
      <c r="G24" s="8">
        <f>O$5/12</f>
        <v>0.002057875</v>
      </c>
      <c r="H24" s="8">
        <f t="shared" si="1"/>
        <v>-0.169257875</v>
      </c>
      <c r="J24" s="8">
        <f t="shared" si="2"/>
        <v>-0.169257875</v>
      </c>
      <c r="T24">
        <v>16</v>
      </c>
      <c r="U24" s="8">
        <f t="shared" si="3"/>
        <v>0.0365204840111111</v>
      </c>
      <c r="Y24" s="8">
        <f t="shared" si="4"/>
        <v>0.00592620033057851</v>
      </c>
    </row>
    <row r="25" ht="15.75" spans="1:25">
      <c r="A25">
        <v>17</v>
      </c>
      <c r="B25" s="5">
        <v>44774</v>
      </c>
      <c r="C25" s="6">
        <v>162.93</v>
      </c>
      <c r="D25" s="7">
        <v>0.0241</v>
      </c>
      <c r="F25" s="8">
        <f t="shared" si="0"/>
        <v>0.0241</v>
      </c>
      <c r="G25" s="8">
        <f>O$5/12</f>
        <v>0.002057875</v>
      </c>
      <c r="H25" s="8">
        <f t="shared" si="1"/>
        <v>0.022042125</v>
      </c>
      <c r="J25" s="8" t="str">
        <f t="shared" si="2"/>
        <v/>
      </c>
      <c r="L25" s="17"/>
      <c r="M25" s="17"/>
      <c r="N25" s="17"/>
      <c r="O25" s="17"/>
      <c r="P25" s="17"/>
      <c r="Q25" s="17"/>
      <c r="T25">
        <v>17</v>
      </c>
      <c r="U25" s="8">
        <f t="shared" si="3"/>
        <v>3.86777777777755e-8</v>
      </c>
      <c r="Y25" s="8" t="str">
        <f t="shared" si="4"/>
        <v/>
      </c>
    </row>
    <row r="26" spans="1:25">
      <c r="A26">
        <v>18</v>
      </c>
      <c r="B26" s="5">
        <v>44743</v>
      </c>
      <c r="C26" s="6">
        <v>159.1</v>
      </c>
      <c r="D26" s="7">
        <v>-0.0133</v>
      </c>
      <c r="F26" s="8">
        <f t="shared" si="0"/>
        <v>-0.0133</v>
      </c>
      <c r="G26" s="8">
        <f>O$5/12</f>
        <v>0.002057875</v>
      </c>
      <c r="H26" s="8">
        <f t="shared" si="1"/>
        <v>-0.015357875</v>
      </c>
      <c r="J26" s="8">
        <f t="shared" si="2"/>
        <v>-0.015357875</v>
      </c>
      <c r="L26" s="11" t="s">
        <v>21</v>
      </c>
      <c r="O26" s="12" t="s">
        <v>181</v>
      </c>
      <c r="P26" s="12" t="s">
        <v>182</v>
      </c>
      <c r="Q26" s="12" t="s">
        <v>183</v>
      </c>
      <c r="T26">
        <v>18</v>
      </c>
      <c r="U26" s="8">
        <f t="shared" si="3"/>
        <v>0.00138408801111111</v>
      </c>
      <c r="Y26" s="8">
        <f t="shared" si="4"/>
        <v>0.00591640669421487</v>
      </c>
    </row>
    <row r="27" spans="1:25">
      <c r="A27">
        <v>19</v>
      </c>
      <c r="B27" s="5">
        <v>44713</v>
      </c>
      <c r="C27" s="6">
        <v>161.25</v>
      </c>
      <c r="D27" s="7">
        <v>-0.1673</v>
      </c>
      <c r="F27" s="8">
        <f t="shared" si="0"/>
        <v>-0.1673</v>
      </c>
      <c r="G27" s="8">
        <f>O$5/12</f>
        <v>0.002057875</v>
      </c>
      <c r="H27" s="8">
        <f t="shared" si="1"/>
        <v>-0.169357875</v>
      </c>
      <c r="J27" s="8">
        <f t="shared" si="2"/>
        <v>-0.169357875</v>
      </c>
      <c r="T27">
        <v>19</v>
      </c>
      <c r="U27" s="8">
        <f t="shared" si="3"/>
        <v>0.0365587146777778</v>
      </c>
      <c r="Y27" s="8">
        <f t="shared" si="4"/>
        <v>0.00594160669421488</v>
      </c>
    </row>
    <row r="28" ht="18.75" spans="1:25">
      <c r="A28">
        <v>20</v>
      </c>
      <c r="B28" s="5">
        <v>44682</v>
      </c>
      <c r="C28" s="6">
        <v>193.64</v>
      </c>
      <c r="D28" s="7">
        <v>-0.0341</v>
      </c>
      <c r="F28" s="8">
        <f t="shared" si="0"/>
        <v>-0.0341</v>
      </c>
      <c r="G28" s="8">
        <f>O$5/12</f>
        <v>0.002057875</v>
      </c>
      <c r="H28" s="8">
        <f t="shared" si="1"/>
        <v>-0.036157875</v>
      </c>
      <c r="J28" s="8">
        <f t="shared" si="2"/>
        <v>-0.036157875</v>
      </c>
      <c r="L28" s="13" t="s">
        <v>192</v>
      </c>
      <c r="O28" s="9">
        <f>IFERROR(_xlfn.STDEV.S(J9:J20),ABS(J13))</f>
        <v>0.073357875</v>
      </c>
      <c r="P28" s="9">
        <f>_xlfn.STDEV.S(J9:J44)</f>
        <v>0.104765766208389</v>
      </c>
      <c r="Q28" s="9">
        <f>_xlfn.STDEV.S(J9:J68)</f>
        <v>0.0877933864325708</v>
      </c>
      <c r="T28">
        <v>20</v>
      </c>
      <c r="U28" s="8">
        <f t="shared" si="3"/>
        <v>0.00336438667777778</v>
      </c>
      <c r="Y28" s="8">
        <f t="shared" si="4"/>
        <v>0.00314925033057851</v>
      </c>
    </row>
    <row r="29" spans="1:25">
      <c r="A29">
        <v>21</v>
      </c>
      <c r="B29" s="5">
        <v>44652</v>
      </c>
      <c r="C29" s="6">
        <v>200.47</v>
      </c>
      <c r="D29" s="7">
        <v>-0.0984</v>
      </c>
      <c r="F29" s="8">
        <f t="shared" si="0"/>
        <v>-0.0984</v>
      </c>
      <c r="G29" s="8">
        <f>O$5/12</f>
        <v>0.002057875</v>
      </c>
      <c r="H29" s="8">
        <f t="shared" si="1"/>
        <v>-0.100457875</v>
      </c>
      <c r="J29" s="8">
        <f t="shared" si="2"/>
        <v>-0.100457875</v>
      </c>
      <c r="L29" s="14" t="s">
        <v>184</v>
      </c>
      <c r="O29" s="8">
        <f t="shared" ref="O29:Q29" si="13">(1+O36)^(1/12)-1</f>
        <v>0.0747842181017329</v>
      </c>
      <c r="P29" s="8">
        <f t="shared" si="13"/>
        <v>0.00878688206914435</v>
      </c>
      <c r="Q29" s="8">
        <f t="shared" si="13"/>
        <v>0.0126298937302836</v>
      </c>
      <c r="T29">
        <v>21</v>
      </c>
      <c r="U29" s="8">
        <f t="shared" si="3"/>
        <v>0.0149581053444444</v>
      </c>
      <c r="Y29" s="8">
        <f t="shared" si="4"/>
        <v>6.6942148760331e-5</v>
      </c>
    </row>
    <row r="30" spans="1:25">
      <c r="A30">
        <v>22</v>
      </c>
      <c r="B30" s="5">
        <v>44621</v>
      </c>
      <c r="C30" s="6">
        <v>222.36</v>
      </c>
      <c r="D30" s="7">
        <v>0.0537</v>
      </c>
      <c r="F30" s="8">
        <f t="shared" si="0"/>
        <v>0.0537</v>
      </c>
      <c r="G30" s="8">
        <f>O$5/12</f>
        <v>0.002057875</v>
      </c>
      <c r="H30" s="8">
        <f t="shared" si="1"/>
        <v>0.051642125</v>
      </c>
      <c r="J30" s="8" t="str">
        <f t="shared" si="2"/>
        <v/>
      </c>
      <c r="L30" s="14" t="s">
        <v>185</v>
      </c>
      <c r="O30" s="15">
        <f t="shared" ref="O30:Q30" si="14">O37/12</f>
        <v>0.002057875</v>
      </c>
      <c r="P30" s="15">
        <f t="shared" si="14"/>
        <v>0.002057875</v>
      </c>
      <c r="Q30" s="15">
        <f t="shared" si="14"/>
        <v>0.002057875</v>
      </c>
      <c r="T30">
        <v>22</v>
      </c>
      <c r="U30" s="8">
        <f t="shared" si="3"/>
        <v>0.000887841344444444</v>
      </c>
      <c r="Y30" s="8" t="str">
        <f t="shared" si="4"/>
        <v/>
      </c>
    </row>
    <row r="31" spans="1:25">
      <c r="A31">
        <v>23</v>
      </c>
      <c r="B31" s="5">
        <v>44593</v>
      </c>
      <c r="C31" s="6">
        <v>211.03</v>
      </c>
      <c r="D31" s="7">
        <v>-0.3263</v>
      </c>
      <c r="F31" s="8">
        <f t="shared" si="0"/>
        <v>-0.3263</v>
      </c>
      <c r="G31" s="8">
        <f>O$5/12</f>
        <v>0.002057875</v>
      </c>
      <c r="H31" s="8">
        <f t="shared" si="1"/>
        <v>-0.328357875</v>
      </c>
      <c r="J31" s="8">
        <f t="shared" si="2"/>
        <v>-0.328357875</v>
      </c>
      <c r="L31" s="13" t="s">
        <v>186</v>
      </c>
      <c r="O31" s="8">
        <f t="shared" ref="O31:Q31" si="15">O29-O30</f>
        <v>0.0727263431017329</v>
      </c>
      <c r="P31" s="8">
        <f t="shared" si="15"/>
        <v>0.00672900706914435</v>
      </c>
      <c r="Q31" s="8">
        <f t="shared" si="15"/>
        <v>0.0105720187302836</v>
      </c>
      <c r="T31">
        <v>23</v>
      </c>
      <c r="U31" s="8">
        <f t="shared" si="3"/>
        <v>0.122642374677778</v>
      </c>
      <c r="Y31" s="8">
        <f t="shared" si="4"/>
        <v>0.0557346248760331</v>
      </c>
    </row>
    <row r="32" spans="1:25">
      <c r="A32">
        <v>24</v>
      </c>
      <c r="B32" s="5">
        <v>44562</v>
      </c>
      <c r="C32" s="6">
        <v>313.26</v>
      </c>
      <c r="D32" s="7">
        <v>-0.0686</v>
      </c>
      <c r="F32" s="8">
        <f t="shared" si="0"/>
        <v>-0.0686</v>
      </c>
      <c r="G32" s="8">
        <f>O$5/12</f>
        <v>0.002057875</v>
      </c>
      <c r="H32" s="8">
        <f t="shared" si="1"/>
        <v>-0.070657875</v>
      </c>
      <c r="J32" s="8">
        <f t="shared" si="2"/>
        <v>-0.070657875</v>
      </c>
      <c r="T32">
        <v>24</v>
      </c>
      <c r="U32" s="8">
        <f t="shared" si="3"/>
        <v>0.00855686667777778</v>
      </c>
      <c r="Y32" s="8">
        <f t="shared" si="4"/>
        <v>0.000467345785123966</v>
      </c>
    </row>
    <row r="33" spans="1:25">
      <c r="A33">
        <v>25</v>
      </c>
      <c r="B33" s="5">
        <v>44531</v>
      </c>
      <c r="C33" s="6">
        <v>336.35</v>
      </c>
      <c r="D33" s="7">
        <v>0.0366</v>
      </c>
      <c r="F33" s="8">
        <f t="shared" si="0"/>
        <v>0.0366</v>
      </c>
      <c r="G33" s="8">
        <f>O$5/12</f>
        <v>0.002057875</v>
      </c>
      <c r="H33" s="8">
        <f t="shared" si="1"/>
        <v>0.034542125</v>
      </c>
      <c r="J33" s="8" t="str">
        <f t="shared" si="2"/>
        <v/>
      </c>
      <c r="L33" s="13" t="s">
        <v>193</v>
      </c>
      <c r="O33" s="16">
        <f t="shared" ref="O33:Q33" si="16">O31/O28</f>
        <v>0.991391082439791</v>
      </c>
      <c r="P33" s="16">
        <f t="shared" si="16"/>
        <v>0.0642290636786805</v>
      </c>
      <c r="Q33" s="16">
        <f t="shared" si="16"/>
        <v>0.12041930673677</v>
      </c>
      <c r="T33">
        <v>25</v>
      </c>
      <c r="U33" s="8">
        <f t="shared" si="3"/>
        <v>0.000161205344444444</v>
      </c>
      <c r="Y33" s="8" t="str">
        <f t="shared" si="4"/>
        <v/>
      </c>
    </row>
    <row r="34" spans="1:25">
      <c r="A34">
        <v>26</v>
      </c>
      <c r="B34" s="5">
        <v>44501</v>
      </c>
      <c r="C34" s="6">
        <v>324.46</v>
      </c>
      <c r="D34" s="7">
        <v>0.0028</v>
      </c>
      <c r="F34" s="8">
        <f t="shared" si="0"/>
        <v>0.0028</v>
      </c>
      <c r="G34" s="8">
        <f>O$5/12</f>
        <v>0.002057875</v>
      </c>
      <c r="H34" s="8">
        <f t="shared" si="1"/>
        <v>0.000742125000000001</v>
      </c>
      <c r="J34" s="8" t="str">
        <f t="shared" si="2"/>
        <v/>
      </c>
      <c r="T34">
        <v>26</v>
      </c>
      <c r="U34" s="8">
        <f t="shared" si="3"/>
        <v>0.000445350677777778</v>
      </c>
      <c r="Y34" s="8" t="str">
        <f t="shared" si="4"/>
        <v/>
      </c>
    </row>
    <row r="35" spans="1:25">
      <c r="A35">
        <v>27</v>
      </c>
      <c r="B35" s="5">
        <v>44470</v>
      </c>
      <c r="C35" s="6">
        <v>323.57</v>
      </c>
      <c r="D35" s="7">
        <v>-0.0466</v>
      </c>
      <c r="F35" s="8">
        <f t="shared" si="0"/>
        <v>-0.0466</v>
      </c>
      <c r="G35" s="8">
        <f>O$5/12</f>
        <v>0.002057875</v>
      </c>
      <c r="H35" s="8">
        <f t="shared" si="1"/>
        <v>-0.048657875</v>
      </c>
      <c r="J35" s="8">
        <f t="shared" si="2"/>
        <v>-0.048657875</v>
      </c>
      <c r="L35" s="13" t="s">
        <v>194</v>
      </c>
      <c r="O35" s="8">
        <f t="shared" ref="O35:Q35" si="17">O28*12^(1/2)</f>
        <v>0.254119133270574</v>
      </c>
      <c r="P35" s="8">
        <f t="shared" si="17"/>
        <v>0.362919259933624</v>
      </c>
      <c r="Q35" s="8">
        <f t="shared" si="17"/>
        <v>0.304125211739481</v>
      </c>
      <c r="T35">
        <v>27</v>
      </c>
      <c r="U35" s="8">
        <f t="shared" si="3"/>
        <v>0.00497072001111111</v>
      </c>
      <c r="Y35" s="8">
        <f t="shared" si="4"/>
        <v>0.00190254578512396</v>
      </c>
    </row>
    <row r="36" spans="1:25">
      <c r="A36">
        <v>28</v>
      </c>
      <c r="B36" s="5">
        <v>44440</v>
      </c>
      <c r="C36" s="6">
        <v>339.39</v>
      </c>
      <c r="D36" s="7">
        <v>-0.1054</v>
      </c>
      <c r="F36" s="8">
        <f t="shared" si="0"/>
        <v>-0.1054</v>
      </c>
      <c r="G36" s="8">
        <f>O$5/12</f>
        <v>0.002057875</v>
      </c>
      <c r="H36" s="8">
        <f t="shared" si="1"/>
        <v>-0.107457875</v>
      </c>
      <c r="J36" s="8">
        <f t="shared" si="2"/>
        <v>-0.107457875</v>
      </c>
      <c r="L36" s="14" t="s">
        <v>189</v>
      </c>
      <c r="O36" s="8">
        <f>($C$9/$C$20)^(1/($A$20/12))-1</f>
        <v>1.37604886889978</v>
      </c>
      <c r="P36" s="8">
        <f>($C$9/$C$44)^(1/($A$44/12))-1</f>
        <v>0.110690645520421</v>
      </c>
      <c r="Q36" s="8">
        <f>($C$9/$C$68)^(1/($A$68/12))-1</f>
        <v>0.162542738946616</v>
      </c>
      <c r="T36">
        <v>28</v>
      </c>
      <c r="U36" s="8">
        <f t="shared" si="3"/>
        <v>0.0167193520111111</v>
      </c>
      <c r="Y36" s="8">
        <f t="shared" si="4"/>
        <v>0.000230487603305786</v>
      </c>
    </row>
    <row r="37" spans="1:25">
      <c r="A37">
        <v>29</v>
      </c>
      <c r="B37" s="5">
        <v>44409</v>
      </c>
      <c r="C37" s="6">
        <v>379.38</v>
      </c>
      <c r="D37" s="7">
        <v>0.0648</v>
      </c>
      <c r="F37" s="8">
        <f t="shared" si="0"/>
        <v>0.0648</v>
      </c>
      <c r="G37" s="8">
        <f>O$5/12</f>
        <v>0.002057875</v>
      </c>
      <c r="H37" s="8">
        <f t="shared" si="1"/>
        <v>0.062742125</v>
      </c>
      <c r="J37" s="8" t="str">
        <f t="shared" si="2"/>
        <v/>
      </c>
      <c r="L37" s="14" t="s">
        <v>190</v>
      </c>
      <c r="O37" s="15">
        <f t="shared" ref="O37:Q37" si="18">$O$5</f>
        <v>0.0246945</v>
      </c>
      <c r="P37" s="15">
        <f t="shared" si="18"/>
        <v>0.0246945</v>
      </c>
      <c r="Q37" s="15">
        <f t="shared" si="18"/>
        <v>0.0246945</v>
      </c>
      <c r="T37">
        <v>29</v>
      </c>
      <c r="U37" s="8">
        <f t="shared" si="3"/>
        <v>0.00167253734444444</v>
      </c>
      <c r="Y37" s="8" t="str">
        <f t="shared" si="4"/>
        <v/>
      </c>
    </row>
    <row r="38" spans="1:25">
      <c r="A38">
        <v>30</v>
      </c>
      <c r="B38" s="5">
        <v>44378</v>
      </c>
      <c r="C38" s="6">
        <v>356.3</v>
      </c>
      <c r="D38" s="7">
        <v>0.0247</v>
      </c>
      <c r="F38" s="8">
        <f t="shared" si="0"/>
        <v>0.0247</v>
      </c>
      <c r="G38" s="8">
        <f>O$5/12</f>
        <v>0.002057875</v>
      </c>
      <c r="H38" s="8">
        <f t="shared" si="1"/>
        <v>0.022642125</v>
      </c>
      <c r="J38" s="8" t="str">
        <f t="shared" si="2"/>
        <v/>
      </c>
      <c r="L38" s="13" t="s">
        <v>186</v>
      </c>
      <c r="O38" s="8">
        <f t="shared" ref="O38:Q38" si="19">O36-O37</f>
        <v>1.35135436889978</v>
      </c>
      <c r="P38" s="8">
        <f t="shared" si="19"/>
        <v>0.0859961455204213</v>
      </c>
      <c r="Q38" s="8">
        <f t="shared" si="19"/>
        <v>0.137848238946616</v>
      </c>
      <c r="T38">
        <v>30</v>
      </c>
      <c r="U38" s="8">
        <f t="shared" si="3"/>
        <v>6.34677777777774e-7</v>
      </c>
      <c r="Y38" s="8" t="str">
        <f t="shared" si="4"/>
        <v/>
      </c>
    </row>
    <row r="39" spans="1:25">
      <c r="A39">
        <v>31</v>
      </c>
      <c r="B39" s="5">
        <v>44348</v>
      </c>
      <c r="C39" s="6">
        <v>347.71</v>
      </c>
      <c r="D39" s="7">
        <v>0.0577</v>
      </c>
      <c r="F39" s="8">
        <f t="shared" si="0"/>
        <v>0.0577</v>
      </c>
      <c r="G39" s="8">
        <f>O$5/12</f>
        <v>0.002057875</v>
      </c>
      <c r="H39" s="8">
        <f t="shared" si="1"/>
        <v>0.055642125</v>
      </c>
      <c r="J39" s="8" t="str">
        <f t="shared" si="2"/>
        <v/>
      </c>
      <c r="T39">
        <v>31</v>
      </c>
      <c r="U39" s="8">
        <f t="shared" si="3"/>
        <v>0.00114221467777778</v>
      </c>
      <c r="Y39" s="8" t="str">
        <f t="shared" si="4"/>
        <v/>
      </c>
    </row>
    <row r="40" ht="18.75" spans="1:25">
      <c r="A40">
        <v>32</v>
      </c>
      <c r="B40" s="5">
        <v>44317</v>
      </c>
      <c r="C40" s="6">
        <v>328.73</v>
      </c>
      <c r="D40" s="7">
        <v>0.0112</v>
      </c>
      <c r="F40" s="8">
        <f t="shared" si="0"/>
        <v>0.0112</v>
      </c>
      <c r="G40" s="8">
        <f>O$5/12</f>
        <v>0.002057875</v>
      </c>
      <c r="H40" s="8">
        <f t="shared" si="1"/>
        <v>0.009142125</v>
      </c>
      <c r="J40" s="8" t="str">
        <f t="shared" si="2"/>
        <v/>
      </c>
      <c r="L40" s="13" t="s">
        <v>195</v>
      </c>
      <c r="O40" s="16">
        <f t="shared" ref="O40:Q40" si="20">O38/O35</f>
        <v>5.31779859118645</v>
      </c>
      <c r="P40" s="16">
        <f t="shared" si="20"/>
        <v>0.236956687104866</v>
      </c>
      <c r="Q40" s="16">
        <f t="shared" si="20"/>
        <v>0.453261464770302</v>
      </c>
      <c r="T40">
        <v>32</v>
      </c>
      <c r="U40" s="8">
        <f t="shared" si="3"/>
        <v>0.000161374677777778</v>
      </c>
      <c r="Y40" s="8" t="str">
        <f t="shared" si="4"/>
        <v/>
      </c>
    </row>
    <row r="41" spans="1:25">
      <c r="A41">
        <v>33</v>
      </c>
      <c r="B41" s="5">
        <v>44287</v>
      </c>
      <c r="C41" s="6">
        <v>325.08</v>
      </c>
      <c r="D41" s="7">
        <v>0.1037</v>
      </c>
      <c r="E41" s="4"/>
      <c r="F41" s="8">
        <f t="shared" si="0"/>
        <v>0.1037</v>
      </c>
      <c r="G41" s="8">
        <f>O$5/12</f>
        <v>0.002057875</v>
      </c>
      <c r="H41" s="8">
        <f t="shared" si="1"/>
        <v>0.101642125</v>
      </c>
      <c r="J41" s="8" t="str">
        <f t="shared" si="2"/>
        <v/>
      </c>
      <c r="T41">
        <v>33</v>
      </c>
      <c r="U41" s="8">
        <f t="shared" si="3"/>
        <v>0.00636750801111111</v>
      </c>
      <c r="Y41" s="8" t="str">
        <f t="shared" si="4"/>
        <v/>
      </c>
    </row>
    <row r="42" spans="1:25">
      <c r="A42">
        <v>34</v>
      </c>
      <c r="B42" s="5">
        <v>44256</v>
      </c>
      <c r="C42" s="6">
        <v>294.53</v>
      </c>
      <c r="D42" s="7">
        <v>0.1433</v>
      </c>
      <c r="E42" s="4"/>
      <c r="F42" s="8">
        <f t="shared" si="0"/>
        <v>0.1433</v>
      </c>
      <c r="G42" s="8">
        <f>O$5/12</f>
        <v>0.002057875</v>
      </c>
      <c r="H42" s="8">
        <f t="shared" si="1"/>
        <v>0.141242125</v>
      </c>
      <c r="J42" s="8" t="str">
        <f t="shared" si="2"/>
        <v/>
      </c>
      <c r="T42">
        <v>34</v>
      </c>
      <c r="U42" s="8">
        <f t="shared" si="3"/>
        <v>0.0142555640111111</v>
      </c>
      <c r="Y42" s="8" t="str">
        <f t="shared" si="4"/>
        <v/>
      </c>
    </row>
    <row r="43" spans="1:25">
      <c r="A43">
        <v>35</v>
      </c>
      <c r="B43" s="5">
        <v>44228</v>
      </c>
      <c r="C43" s="6">
        <v>257.62</v>
      </c>
      <c r="D43" s="7">
        <v>-0.0027</v>
      </c>
      <c r="E43" s="4"/>
      <c r="F43" s="8">
        <f t="shared" si="0"/>
        <v>-0.0027</v>
      </c>
      <c r="G43" s="8">
        <f>O$5/12</f>
        <v>0.002057875</v>
      </c>
      <c r="H43" s="8">
        <f t="shared" si="1"/>
        <v>-0.004757875</v>
      </c>
      <c r="J43" s="8">
        <f t="shared" si="2"/>
        <v>-0.004757875</v>
      </c>
      <c r="T43">
        <v>35</v>
      </c>
      <c r="U43" s="8">
        <f t="shared" si="3"/>
        <v>0.000707737344444445</v>
      </c>
      <c r="Y43" s="8">
        <f t="shared" si="4"/>
        <v>0.00765943214876033</v>
      </c>
    </row>
    <row r="44" spans="1:25">
      <c r="A44">
        <v>36</v>
      </c>
      <c r="B44" s="5">
        <v>44197</v>
      </c>
      <c r="C44" s="6">
        <v>258.33</v>
      </c>
      <c r="D44" s="7">
        <v>-0.0543</v>
      </c>
      <c r="E44" s="4"/>
      <c r="F44" s="8">
        <f t="shared" si="0"/>
        <v>-0.0543</v>
      </c>
      <c r="G44" s="8">
        <f>O$5/12</f>
        <v>0.002057875</v>
      </c>
      <c r="H44" s="8">
        <f t="shared" si="1"/>
        <v>-0.056357875</v>
      </c>
      <c r="J44" s="8">
        <f t="shared" si="2"/>
        <v>-0.056357875</v>
      </c>
      <c r="T44">
        <v>36</v>
      </c>
      <c r="U44" s="8">
        <f t="shared" si="3"/>
        <v>0.00611576134444444</v>
      </c>
      <c r="Y44" s="8">
        <f t="shared" si="4"/>
        <v>0.00129011578512397</v>
      </c>
    </row>
    <row r="45" spans="1:25">
      <c r="A45">
        <v>37</v>
      </c>
      <c r="B45" s="5">
        <v>44166</v>
      </c>
      <c r="C45" s="6">
        <v>273.16</v>
      </c>
      <c r="D45" s="7">
        <v>-0.0138</v>
      </c>
      <c r="E45" s="4"/>
      <c r="F45" s="8">
        <f t="shared" si="0"/>
        <v>-0.0138</v>
      </c>
      <c r="G45" s="8">
        <f>O$5/12</f>
        <v>0.002057875</v>
      </c>
      <c r="H45" s="8">
        <f t="shared" si="1"/>
        <v>-0.015857875</v>
      </c>
      <c r="J45" s="8">
        <f t="shared" si="2"/>
        <v>-0.015857875</v>
      </c>
      <c r="T45">
        <v>37</v>
      </c>
      <c r="U45" s="8">
        <f t="shared" si="3"/>
        <v>0.00142154134444444</v>
      </c>
      <c r="Y45" s="8">
        <f t="shared" si="4"/>
        <v>0.00583973851239669</v>
      </c>
    </row>
    <row r="46" spans="1:25">
      <c r="A46">
        <v>38</v>
      </c>
      <c r="B46" s="5">
        <v>44136</v>
      </c>
      <c r="C46" s="6">
        <v>276.97</v>
      </c>
      <c r="D46" s="7">
        <v>0.0527</v>
      </c>
      <c r="E46" s="4"/>
      <c r="F46" s="8">
        <f t="shared" si="0"/>
        <v>0.0527</v>
      </c>
      <c r="G46" s="8">
        <f>O$5/12</f>
        <v>0.002057875</v>
      </c>
      <c r="H46" s="8">
        <f t="shared" si="1"/>
        <v>0.050642125</v>
      </c>
      <c r="J46" s="8" t="str">
        <f t="shared" si="2"/>
        <v/>
      </c>
      <c r="T46">
        <v>38</v>
      </c>
      <c r="U46" s="8">
        <f t="shared" si="3"/>
        <v>0.000829248011111111</v>
      </c>
      <c r="Y46" s="8" t="str">
        <f t="shared" si="4"/>
        <v/>
      </c>
    </row>
    <row r="47" spans="1:25">
      <c r="A47">
        <v>39</v>
      </c>
      <c r="B47" s="5">
        <v>44105</v>
      </c>
      <c r="C47" s="6">
        <v>263.11</v>
      </c>
      <c r="D47" s="7">
        <v>0.0046</v>
      </c>
      <c r="E47" s="4"/>
      <c r="F47" s="8">
        <f t="shared" si="0"/>
        <v>0.0046</v>
      </c>
      <c r="G47" s="8">
        <f>O$5/12</f>
        <v>0.002057875</v>
      </c>
      <c r="H47" s="8">
        <f t="shared" si="1"/>
        <v>0.002542125</v>
      </c>
      <c r="J47" s="8" t="str">
        <f t="shared" si="2"/>
        <v/>
      </c>
      <c r="T47">
        <v>39</v>
      </c>
      <c r="U47" s="8">
        <f t="shared" si="3"/>
        <v>0.000372618677777778</v>
      </c>
      <c r="Y47" s="8" t="str">
        <f t="shared" si="4"/>
        <v/>
      </c>
    </row>
    <row r="48" spans="1:25">
      <c r="A48">
        <v>40</v>
      </c>
      <c r="B48" s="5">
        <v>44075</v>
      </c>
      <c r="C48" s="6">
        <v>261.9</v>
      </c>
      <c r="D48" s="7">
        <v>-0.1068</v>
      </c>
      <c r="E48" s="4"/>
      <c r="F48" s="8">
        <f t="shared" si="0"/>
        <v>-0.1068</v>
      </c>
      <c r="G48" s="8">
        <f>O$5/12</f>
        <v>0.002057875</v>
      </c>
      <c r="H48" s="8">
        <f t="shared" si="1"/>
        <v>-0.108857875</v>
      </c>
      <c r="J48" s="8">
        <f t="shared" si="2"/>
        <v>-0.108857875</v>
      </c>
      <c r="T48">
        <v>40</v>
      </c>
      <c r="U48" s="8">
        <f t="shared" si="3"/>
        <v>0.0170833613444444</v>
      </c>
      <c r="Y48" s="8">
        <f t="shared" si="4"/>
        <v>0.000274956694214877</v>
      </c>
    </row>
    <row r="49" spans="1:25">
      <c r="A49">
        <v>41</v>
      </c>
      <c r="B49" s="5">
        <v>44044</v>
      </c>
      <c r="C49" s="6">
        <v>293.2</v>
      </c>
      <c r="D49" s="7">
        <v>0.1558</v>
      </c>
      <c r="E49" s="4"/>
      <c r="F49" s="8">
        <f t="shared" si="0"/>
        <v>0.1558</v>
      </c>
      <c r="G49" s="8">
        <f>O$5/12</f>
        <v>0.002057875</v>
      </c>
      <c r="H49" s="8">
        <f t="shared" si="1"/>
        <v>0.153742125</v>
      </c>
      <c r="J49" s="8" t="str">
        <f t="shared" si="2"/>
        <v/>
      </c>
      <c r="T49">
        <v>41</v>
      </c>
      <c r="U49" s="8">
        <f t="shared" si="3"/>
        <v>0.0173967306777778</v>
      </c>
      <c r="Y49" s="8" t="str">
        <f t="shared" si="4"/>
        <v/>
      </c>
    </row>
    <row r="50" spans="1:25">
      <c r="A50">
        <v>42</v>
      </c>
      <c r="B50" s="5">
        <v>44013</v>
      </c>
      <c r="C50" s="6">
        <v>253.67</v>
      </c>
      <c r="D50" s="7">
        <v>0.1171</v>
      </c>
      <c r="E50" s="4"/>
      <c r="F50" s="8">
        <f t="shared" si="0"/>
        <v>0.1171</v>
      </c>
      <c r="G50" s="8">
        <f>O$5/12</f>
        <v>0.002057875</v>
      </c>
      <c r="H50" s="8">
        <f t="shared" si="1"/>
        <v>0.115042125</v>
      </c>
      <c r="J50" s="8" t="str">
        <f t="shared" si="2"/>
        <v/>
      </c>
      <c r="T50">
        <v>42</v>
      </c>
      <c r="U50" s="8">
        <f t="shared" si="3"/>
        <v>0.00868561867777778</v>
      </c>
      <c r="Y50" s="8" t="str">
        <f t="shared" si="4"/>
        <v/>
      </c>
    </row>
    <row r="51" spans="1:25">
      <c r="A51">
        <v>43</v>
      </c>
      <c r="B51" s="5">
        <v>43983</v>
      </c>
      <c r="C51" s="6">
        <v>227.07</v>
      </c>
      <c r="D51" s="7">
        <v>0.0088</v>
      </c>
      <c r="E51" s="4"/>
      <c r="F51" s="8">
        <f t="shared" si="0"/>
        <v>0.0088</v>
      </c>
      <c r="G51" s="8">
        <f>O$5/12</f>
        <v>0.002057875</v>
      </c>
      <c r="H51" s="8">
        <f t="shared" si="1"/>
        <v>0.006742125</v>
      </c>
      <c r="J51" s="8" t="str">
        <f t="shared" si="2"/>
        <v/>
      </c>
      <c r="T51">
        <v>43</v>
      </c>
      <c r="U51" s="8">
        <f t="shared" si="3"/>
        <v>0.000228110677777778</v>
      </c>
      <c r="Y51" s="8" t="str">
        <f t="shared" si="4"/>
        <v/>
      </c>
    </row>
    <row r="52" spans="1:25">
      <c r="A52">
        <v>44</v>
      </c>
      <c r="B52" s="5">
        <v>43952</v>
      </c>
      <c r="C52" s="6">
        <v>225.09</v>
      </c>
      <c r="D52" s="7">
        <v>0.0996</v>
      </c>
      <c r="E52" s="4"/>
      <c r="F52" s="8">
        <f t="shared" si="0"/>
        <v>0.0996</v>
      </c>
      <c r="G52" s="8">
        <f>O$5/12</f>
        <v>0.002057875</v>
      </c>
      <c r="H52" s="8">
        <f t="shared" si="1"/>
        <v>0.097542125</v>
      </c>
      <c r="J52" s="8" t="str">
        <f t="shared" si="2"/>
        <v/>
      </c>
      <c r="T52">
        <v>44</v>
      </c>
      <c r="U52" s="8">
        <f t="shared" si="3"/>
        <v>0.00572998534444444</v>
      </c>
      <c r="Y52" s="8" t="str">
        <f t="shared" si="4"/>
        <v/>
      </c>
    </row>
    <row r="53" spans="1:25">
      <c r="A53">
        <v>45</v>
      </c>
      <c r="B53" s="5">
        <v>43922</v>
      </c>
      <c r="C53" s="6">
        <v>204.71</v>
      </c>
      <c r="D53" s="7">
        <v>0.2273</v>
      </c>
      <c r="E53" s="4"/>
      <c r="F53" s="8">
        <f t="shared" si="0"/>
        <v>0.2273</v>
      </c>
      <c r="G53" s="8">
        <f>O$5/12</f>
        <v>0.002057875</v>
      </c>
      <c r="H53" s="8">
        <f t="shared" si="1"/>
        <v>0.225242125</v>
      </c>
      <c r="J53" s="8" t="str">
        <f t="shared" si="2"/>
        <v/>
      </c>
      <c r="T53">
        <v>45</v>
      </c>
      <c r="U53" s="8">
        <f t="shared" si="3"/>
        <v>0.0413702040111111</v>
      </c>
      <c r="Y53" s="8" t="str">
        <f t="shared" si="4"/>
        <v/>
      </c>
    </row>
    <row r="54" spans="1:25">
      <c r="A54">
        <v>46</v>
      </c>
      <c r="B54" s="5">
        <v>43891</v>
      </c>
      <c r="C54" s="6">
        <v>166.8</v>
      </c>
      <c r="D54" s="7">
        <v>-0.1334</v>
      </c>
      <c r="E54" s="4"/>
      <c r="F54" s="8">
        <f t="shared" si="0"/>
        <v>-0.1334</v>
      </c>
      <c r="G54" s="8">
        <f>O$5/12</f>
        <v>0.002057875</v>
      </c>
      <c r="H54" s="8">
        <f t="shared" si="1"/>
        <v>-0.135457875</v>
      </c>
      <c r="J54" s="8">
        <f t="shared" si="2"/>
        <v>-0.135457875</v>
      </c>
      <c r="T54">
        <v>46</v>
      </c>
      <c r="U54" s="8">
        <f t="shared" si="3"/>
        <v>0.0247443386777778</v>
      </c>
      <c r="Y54" s="8">
        <f t="shared" si="4"/>
        <v>0.0018646694214876</v>
      </c>
    </row>
    <row r="55" spans="1:25">
      <c r="A55">
        <v>47</v>
      </c>
      <c r="B55" s="5">
        <v>43862</v>
      </c>
      <c r="C55" s="6">
        <v>192.47</v>
      </c>
      <c r="D55" s="7">
        <v>-0.0468</v>
      </c>
      <c r="E55" s="4"/>
      <c r="F55" s="8">
        <f t="shared" si="0"/>
        <v>-0.0468</v>
      </c>
      <c r="G55" s="8">
        <f>O$5/12</f>
        <v>0.002057875</v>
      </c>
      <c r="H55" s="8">
        <f t="shared" si="1"/>
        <v>-0.048857875</v>
      </c>
      <c r="J55" s="8">
        <f t="shared" si="2"/>
        <v>-0.048857875</v>
      </c>
      <c r="T55">
        <v>47</v>
      </c>
      <c r="U55" s="8">
        <f t="shared" si="3"/>
        <v>0.00499896134444445</v>
      </c>
      <c r="Y55" s="8">
        <f t="shared" si="4"/>
        <v>0.00188513851239669</v>
      </c>
    </row>
    <row r="56" spans="1:25">
      <c r="A56">
        <v>48</v>
      </c>
      <c r="B56" s="5">
        <v>43831</v>
      </c>
      <c r="C56" s="6">
        <v>201.91</v>
      </c>
      <c r="D56" s="7">
        <v>-0.0163</v>
      </c>
      <c r="E56" s="4"/>
      <c r="F56" s="8">
        <f t="shared" si="0"/>
        <v>-0.0163</v>
      </c>
      <c r="G56" s="8">
        <f>O$5/12</f>
        <v>0.002057875</v>
      </c>
      <c r="H56" s="8">
        <f t="shared" si="1"/>
        <v>-0.018357875</v>
      </c>
      <c r="J56" s="8">
        <f t="shared" si="2"/>
        <v>-0.018357875</v>
      </c>
      <c r="T56">
        <v>48</v>
      </c>
      <c r="U56" s="8">
        <f t="shared" si="3"/>
        <v>0.00161630801111111</v>
      </c>
      <c r="Y56" s="8">
        <f t="shared" si="4"/>
        <v>0.00546389760330578</v>
      </c>
    </row>
    <row r="57" spans="1:25">
      <c r="A57">
        <v>49</v>
      </c>
      <c r="B57" s="5">
        <v>43800</v>
      </c>
      <c r="C57" s="6">
        <v>205.25</v>
      </c>
      <c r="D57" s="7">
        <v>0.0179</v>
      </c>
      <c r="E57" s="4"/>
      <c r="F57" s="8">
        <f t="shared" si="0"/>
        <v>0.0179</v>
      </c>
      <c r="G57" s="8">
        <f>O$5/12</f>
        <v>0.002057875</v>
      </c>
      <c r="H57" s="8">
        <f t="shared" si="1"/>
        <v>0.015842125</v>
      </c>
      <c r="J57" s="8" t="str">
        <f t="shared" si="2"/>
        <v/>
      </c>
      <c r="T57">
        <v>49</v>
      </c>
      <c r="U57" s="8">
        <f t="shared" si="3"/>
        <v>3.60400111111112e-5</v>
      </c>
      <c r="Y57" s="8" t="str">
        <f t="shared" si="4"/>
        <v/>
      </c>
    </row>
    <row r="58" spans="1:25">
      <c r="A58">
        <v>50</v>
      </c>
      <c r="B58" s="5">
        <v>43770</v>
      </c>
      <c r="C58" s="6">
        <v>201.64</v>
      </c>
      <c r="D58" s="7">
        <v>0.0521</v>
      </c>
      <c r="E58" s="4"/>
      <c r="F58" s="8">
        <f t="shared" si="0"/>
        <v>0.0521</v>
      </c>
      <c r="G58" s="8">
        <f>O$5/12</f>
        <v>0.002057875</v>
      </c>
      <c r="H58" s="8">
        <f t="shared" si="1"/>
        <v>0.050042125</v>
      </c>
      <c r="J58" s="8" t="str">
        <f t="shared" si="2"/>
        <v/>
      </c>
      <c r="T58">
        <v>50</v>
      </c>
      <c r="U58" s="8">
        <f t="shared" si="3"/>
        <v>0.000795052011111111</v>
      </c>
      <c r="Y58" s="8" t="str">
        <f t="shared" si="4"/>
        <v/>
      </c>
    </row>
    <row r="59" spans="1:25">
      <c r="A59">
        <v>51</v>
      </c>
      <c r="B59" s="5">
        <v>43739</v>
      </c>
      <c r="C59" s="6">
        <v>191.65</v>
      </c>
      <c r="D59" s="7">
        <v>0.0762</v>
      </c>
      <c r="E59" s="4"/>
      <c r="F59" s="8">
        <f t="shared" si="0"/>
        <v>0.0762</v>
      </c>
      <c r="G59" s="8">
        <f>O$5/12</f>
        <v>0.002057875</v>
      </c>
      <c r="H59" s="8">
        <f t="shared" si="1"/>
        <v>0.074142125</v>
      </c>
      <c r="J59" s="8" t="str">
        <f t="shared" si="2"/>
        <v/>
      </c>
      <c r="T59">
        <v>51</v>
      </c>
      <c r="U59" s="8">
        <f t="shared" si="3"/>
        <v>0.00273494134444444</v>
      </c>
      <c r="Y59" s="8" t="str">
        <f t="shared" si="4"/>
        <v/>
      </c>
    </row>
    <row r="60" spans="1:25">
      <c r="A60">
        <v>52</v>
      </c>
      <c r="B60" s="5">
        <v>43709</v>
      </c>
      <c r="C60" s="6">
        <v>178.08</v>
      </c>
      <c r="D60" s="7">
        <v>-0.0409</v>
      </c>
      <c r="E60" s="4"/>
      <c r="F60" s="8">
        <f t="shared" si="0"/>
        <v>-0.0409</v>
      </c>
      <c r="G60" s="8">
        <f>O$5/12</f>
        <v>0.002057875</v>
      </c>
      <c r="H60" s="8">
        <f t="shared" si="1"/>
        <v>-0.042957875</v>
      </c>
      <c r="J60" s="8">
        <f t="shared" si="2"/>
        <v>-0.042957875</v>
      </c>
      <c r="T60">
        <v>52</v>
      </c>
      <c r="U60" s="8">
        <f t="shared" si="3"/>
        <v>0.00419947201111111</v>
      </c>
      <c r="Y60" s="8">
        <f t="shared" si="4"/>
        <v>0.00243228305785124</v>
      </c>
    </row>
    <row r="61" spans="1:25">
      <c r="A61">
        <v>53</v>
      </c>
      <c r="B61" s="5">
        <v>43678</v>
      </c>
      <c r="C61" s="6">
        <v>185.67</v>
      </c>
      <c r="D61" s="7">
        <v>-0.0441</v>
      </c>
      <c r="E61" s="4"/>
      <c r="F61" s="8">
        <f t="shared" si="0"/>
        <v>-0.0441</v>
      </c>
      <c r="G61" s="8">
        <f>O$5/12</f>
        <v>0.002057875</v>
      </c>
      <c r="H61" s="8">
        <f t="shared" si="1"/>
        <v>-0.046157875</v>
      </c>
      <c r="J61" s="8">
        <f t="shared" si="2"/>
        <v>-0.046157875</v>
      </c>
      <c r="T61">
        <v>53</v>
      </c>
      <c r="U61" s="8">
        <f t="shared" si="3"/>
        <v>0.00462445334444444</v>
      </c>
      <c r="Y61" s="8">
        <f t="shared" si="4"/>
        <v>0.00212688669421487</v>
      </c>
    </row>
    <row r="62" spans="1:25">
      <c r="A62">
        <v>54</v>
      </c>
      <c r="B62" s="5">
        <v>43647</v>
      </c>
      <c r="C62" s="6">
        <v>194.23</v>
      </c>
      <c r="D62" s="7">
        <v>0.0064</v>
      </c>
      <c r="E62" s="4"/>
      <c r="F62" s="8">
        <f t="shared" si="0"/>
        <v>0.0064</v>
      </c>
      <c r="G62" s="8">
        <f>O$5/12</f>
        <v>0.002057875</v>
      </c>
      <c r="H62" s="8">
        <f t="shared" si="1"/>
        <v>0.004342125</v>
      </c>
      <c r="J62" s="8" t="str">
        <f t="shared" si="2"/>
        <v/>
      </c>
      <c r="T62">
        <v>54</v>
      </c>
      <c r="U62" s="8">
        <f t="shared" si="3"/>
        <v>0.000306366677777778</v>
      </c>
      <c r="Y62" s="8" t="str">
        <f t="shared" si="4"/>
        <v/>
      </c>
    </row>
    <row r="63" spans="1:25">
      <c r="A63">
        <v>55</v>
      </c>
      <c r="B63" s="5">
        <v>43617</v>
      </c>
      <c r="C63" s="6">
        <v>193</v>
      </c>
      <c r="D63" s="7">
        <v>0.0875</v>
      </c>
      <c r="E63" s="4"/>
      <c r="F63" s="8">
        <f t="shared" si="0"/>
        <v>0.0875</v>
      </c>
      <c r="G63" s="8">
        <f>O$5/12</f>
        <v>0.002057875</v>
      </c>
      <c r="H63" s="8">
        <f t="shared" si="1"/>
        <v>0.085442125</v>
      </c>
      <c r="J63" s="8" t="str">
        <f t="shared" si="2"/>
        <v/>
      </c>
      <c r="T63">
        <v>55</v>
      </c>
      <c r="U63" s="8">
        <f t="shared" si="3"/>
        <v>0.00404453601111111</v>
      </c>
      <c r="Y63" s="8" t="str">
        <f t="shared" si="4"/>
        <v/>
      </c>
    </row>
    <row r="64" spans="1:25">
      <c r="A64">
        <v>56</v>
      </c>
      <c r="B64" s="5">
        <v>43586</v>
      </c>
      <c r="C64" s="6">
        <v>177.47</v>
      </c>
      <c r="D64" s="7">
        <v>-0.0824</v>
      </c>
      <c r="E64" s="4"/>
      <c r="F64" s="8">
        <f t="shared" si="0"/>
        <v>-0.0824</v>
      </c>
      <c r="G64" s="8">
        <f>O$5/12</f>
        <v>0.002057875</v>
      </c>
      <c r="H64" s="8">
        <f t="shared" si="1"/>
        <v>-0.084457875</v>
      </c>
      <c r="J64" s="8">
        <f t="shared" si="2"/>
        <v>-0.084457875</v>
      </c>
      <c r="T64">
        <v>56</v>
      </c>
      <c r="U64" s="8">
        <f t="shared" si="3"/>
        <v>0.0113003986777778</v>
      </c>
      <c r="Y64" s="8">
        <f t="shared" si="4"/>
        <v>6.11239669421484e-5</v>
      </c>
    </row>
    <row r="65" spans="1:25">
      <c r="A65">
        <v>57</v>
      </c>
      <c r="B65" s="5">
        <v>43556</v>
      </c>
      <c r="C65" s="6">
        <v>193.4</v>
      </c>
      <c r="D65" s="7">
        <v>0.1602</v>
      </c>
      <c r="E65" s="4"/>
      <c r="F65" s="8">
        <f t="shared" si="0"/>
        <v>0.1602</v>
      </c>
      <c r="G65" s="8">
        <f>O$5/12</f>
        <v>0.002057875</v>
      </c>
      <c r="H65" s="8">
        <f t="shared" si="1"/>
        <v>0.158142125</v>
      </c>
      <c r="J65" s="8" t="str">
        <f t="shared" si="2"/>
        <v/>
      </c>
      <c r="T65">
        <v>57</v>
      </c>
      <c r="U65" s="8">
        <f t="shared" si="3"/>
        <v>0.0185767813444444</v>
      </c>
      <c r="Y65" s="8" t="str">
        <f t="shared" si="4"/>
        <v/>
      </c>
    </row>
    <row r="66" spans="1:25">
      <c r="A66">
        <v>58</v>
      </c>
      <c r="B66" s="5">
        <v>43525</v>
      </c>
      <c r="C66" s="6">
        <v>166.69</v>
      </c>
      <c r="D66" s="7">
        <v>0.0325</v>
      </c>
      <c r="E66" s="4"/>
      <c r="F66" s="8">
        <f t="shared" si="0"/>
        <v>0.0325</v>
      </c>
      <c r="G66" s="8">
        <f>O$5/12</f>
        <v>0.002057875</v>
      </c>
      <c r="H66" s="8">
        <f t="shared" si="1"/>
        <v>0.030442125</v>
      </c>
      <c r="J66" s="8" t="str">
        <f t="shared" si="2"/>
        <v/>
      </c>
      <c r="T66">
        <v>58</v>
      </c>
      <c r="U66" s="8">
        <f t="shared" si="3"/>
        <v>7.39026777777777e-5</v>
      </c>
      <c r="Y66" s="8" t="str">
        <f t="shared" si="4"/>
        <v/>
      </c>
    </row>
    <row r="67" spans="1:25">
      <c r="A67">
        <v>59</v>
      </c>
      <c r="B67" s="5">
        <v>43497</v>
      </c>
      <c r="C67" s="6">
        <v>161.45</v>
      </c>
      <c r="D67" s="7">
        <v>-0.0314</v>
      </c>
      <c r="E67" s="4"/>
      <c r="F67" s="8">
        <f t="shared" si="0"/>
        <v>-0.0314</v>
      </c>
      <c r="G67" s="8">
        <f>O$5/12</f>
        <v>0.002057875</v>
      </c>
      <c r="H67" s="8">
        <f t="shared" si="1"/>
        <v>-0.033457875</v>
      </c>
      <c r="J67" s="8">
        <f t="shared" si="2"/>
        <v>-0.033457875</v>
      </c>
      <c r="T67">
        <v>59</v>
      </c>
      <c r="U67" s="8">
        <f t="shared" si="3"/>
        <v>0.00305845867777778</v>
      </c>
      <c r="Y67" s="8">
        <f t="shared" si="4"/>
        <v>0.00345957851239669</v>
      </c>
    </row>
    <row r="68" spans="1:25">
      <c r="A68">
        <v>60</v>
      </c>
      <c r="B68" s="5">
        <v>43466</v>
      </c>
      <c r="C68" s="6">
        <v>166.69</v>
      </c>
      <c r="D68" s="7">
        <v>0.2716</v>
      </c>
      <c r="E68" s="4"/>
      <c r="F68" s="8">
        <f t="shared" si="0"/>
        <v>0.2716</v>
      </c>
      <c r="G68" s="8">
        <f>O$5/12</f>
        <v>0.002057875</v>
      </c>
      <c r="H68" s="8">
        <f t="shared" si="1"/>
        <v>0.269542125</v>
      </c>
      <c r="J68" s="8" t="str">
        <f t="shared" si="2"/>
        <v/>
      </c>
      <c r="T68">
        <v>60</v>
      </c>
      <c r="U68" s="8">
        <f t="shared" si="3"/>
        <v>0.0613536386777778</v>
      </c>
      <c r="Y68" s="8" t="str">
        <f t="shared" si="4"/>
        <v/>
      </c>
    </row>
    <row r="69" spans="5:7">
      <c r="E69" s="4"/>
      <c r="F69" s="4"/>
      <c r="G69" s="8"/>
    </row>
    <row r="70" spans="5:25">
      <c r="E70" s="4"/>
      <c r="F70" s="4"/>
      <c r="G70" s="8"/>
      <c r="U70" s="21">
        <f>SUM(U9:U69)</f>
        <v>0.835991159333333</v>
      </c>
      <c r="Y70" s="21">
        <f>SUM(Y9:Y69)</f>
        <v>0.161861252727273</v>
      </c>
    </row>
    <row r="71" spans="2:10">
      <c r="B71" s="18"/>
      <c r="C71" s="19"/>
      <c r="D71" s="20"/>
      <c r="E71" s="4"/>
      <c r="F71" s="4"/>
      <c r="G71" s="4"/>
      <c r="J71" s="8"/>
    </row>
    <row r="72" spans="2:7">
      <c r="B72" s="18"/>
      <c r="C72" s="19"/>
      <c r="D72" s="20"/>
      <c r="E72" s="4"/>
      <c r="F72" s="4"/>
      <c r="G72" s="4"/>
    </row>
    <row r="73" spans="2:7">
      <c r="B73" s="18"/>
      <c r="C73" s="19"/>
      <c r="D73" s="20"/>
      <c r="E73" s="4"/>
      <c r="F73" s="4"/>
      <c r="G73" s="4"/>
    </row>
    <row r="74" spans="2:7">
      <c r="B74" s="18">
        <v>45261</v>
      </c>
      <c r="C74" s="19">
        <v>353.96</v>
      </c>
      <c r="D74" s="20">
        <v>0.082</v>
      </c>
      <c r="E74" s="4"/>
      <c r="F74" s="4"/>
      <c r="G74" s="4"/>
    </row>
    <row r="75" spans="2:7">
      <c r="B75" s="18">
        <v>45231</v>
      </c>
      <c r="C75" s="19">
        <v>327.15</v>
      </c>
      <c r="D75" s="20">
        <v>0.0859</v>
      </c>
      <c r="E75" s="4"/>
      <c r="F75" s="4"/>
      <c r="G75" s="4"/>
    </row>
    <row r="76" spans="2:7">
      <c r="B76" s="18">
        <v>45200</v>
      </c>
      <c r="C76" s="19">
        <v>301.27</v>
      </c>
      <c r="D76" s="20">
        <v>0.0035</v>
      </c>
      <c r="E76" s="4"/>
      <c r="F76" s="4"/>
      <c r="G76" s="4"/>
    </row>
    <row r="77" spans="2:7">
      <c r="B77" s="18">
        <v>45170</v>
      </c>
      <c r="C77" s="19">
        <v>300.21</v>
      </c>
      <c r="D77" s="20">
        <v>0.0146</v>
      </c>
      <c r="E77" s="4"/>
      <c r="F77" s="4"/>
      <c r="G77" s="4"/>
    </row>
    <row r="78" spans="2:7">
      <c r="B78" s="18">
        <v>45139</v>
      </c>
      <c r="C78" s="19">
        <v>295.89</v>
      </c>
      <c r="D78" s="20">
        <v>-0.0713</v>
      </c>
      <c r="E78" s="4"/>
      <c r="F78" s="4"/>
      <c r="G78" s="4"/>
    </row>
    <row r="79" spans="2:7">
      <c r="B79" s="18">
        <v>45108</v>
      </c>
      <c r="C79" s="19">
        <v>318.6</v>
      </c>
      <c r="D79" s="20">
        <v>0.1102</v>
      </c>
      <c r="E79" s="4"/>
      <c r="F79" s="4"/>
      <c r="G79" s="4"/>
    </row>
    <row r="80" spans="2:7">
      <c r="B80" s="18">
        <v>45078</v>
      </c>
      <c r="C80" s="19">
        <v>286.98</v>
      </c>
      <c r="D80" s="20">
        <v>0.0841</v>
      </c>
      <c r="E80" s="4"/>
      <c r="F80" s="4"/>
      <c r="G80" s="4"/>
    </row>
    <row r="81" spans="2:7">
      <c r="B81" s="18">
        <v>45047</v>
      </c>
      <c r="C81" s="19">
        <v>264.72</v>
      </c>
      <c r="D81" s="20">
        <v>0.1015</v>
      </c>
      <c r="E81" s="4"/>
      <c r="F81" s="4"/>
      <c r="G81" s="4"/>
    </row>
    <row r="82" spans="2:7">
      <c r="B82" s="18">
        <v>45017</v>
      </c>
      <c r="C82" s="19">
        <v>240.32</v>
      </c>
      <c r="D82" s="20">
        <v>0.1339</v>
      </c>
      <c r="E82" s="4"/>
      <c r="F82" s="4"/>
      <c r="G82" s="4"/>
    </row>
    <row r="83" spans="2:7">
      <c r="B83" s="18">
        <v>44986</v>
      </c>
      <c r="C83" s="19">
        <v>211.94</v>
      </c>
      <c r="D83" s="20">
        <v>0.2115</v>
      </c>
      <c r="E83" s="4"/>
      <c r="F83" s="4"/>
      <c r="G83" s="4"/>
    </row>
    <row r="84" spans="2:7">
      <c r="B84" s="18">
        <v>44958</v>
      </c>
      <c r="C84" s="19">
        <v>174.94</v>
      </c>
      <c r="D84" s="20">
        <v>0.1743</v>
      </c>
      <c r="E84" s="4"/>
      <c r="F84" s="4"/>
      <c r="G84" s="4"/>
    </row>
    <row r="85" spans="2:7">
      <c r="B85" s="18">
        <v>44927</v>
      </c>
      <c r="C85" s="19">
        <v>148.97</v>
      </c>
      <c r="D85" s="20">
        <v>0.2379</v>
      </c>
      <c r="E85" s="4"/>
      <c r="F85" s="4"/>
      <c r="G85" s="4"/>
    </row>
    <row r="86" spans="2:7">
      <c r="B86" s="18">
        <v>44896</v>
      </c>
      <c r="C86" s="19">
        <v>120.34</v>
      </c>
      <c r="D86" s="20">
        <v>0.019</v>
      </c>
      <c r="E86" s="4"/>
      <c r="F86" s="4"/>
      <c r="G86" s="4"/>
    </row>
    <row r="87" spans="2:7">
      <c r="B87" s="18">
        <v>44866</v>
      </c>
      <c r="C87" s="19">
        <v>118.1</v>
      </c>
      <c r="D87" s="20">
        <v>0.2677</v>
      </c>
      <c r="E87" s="4"/>
      <c r="F87" s="4"/>
      <c r="G87" s="4"/>
    </row>
    <row r="88" spans="2:7">
      <c r="B88" s="18">
        <v>44835</v>
      </c>
      <c r="C88" s="19">
        <v>93.16</v>
      </c>
      <c r="D88" s="20">
        <v>-0.3134</v>
      </c>
      <c r="E88" s="4"/>
      <c r="F88" s="4"/>
      <c r="G88" s="4"/>
    </row>
    <row r="89" spans="2:7">
      <c r="B89" s="18">
        <v>44805</v>
      </c>
      <c r="C89" s="19">
        <v>135.68</v>
      </c>
      <c r="D89" s="20">
        <v>-0.1672</v>
      </c>
      <c r="E89" s="4"/>
      <c r="F89" s="4"/>
      <c r="G89" s="4"/>
    </row>
    <row r="90" spans="2:7">
      <c r="B90" s="18">
        <v>44774</v>
      </c>
      <c r="C90" s="19">
        <v>162.93</v>
      </c>
      <c r="D90" s="20">
        <v>0.0241</v>
      </c>
      <c r="E90" s="4"/>
      <c r="F90" s="4"/>
      <c r="G90" s="4"/>
    </row>
    <row r="91" spans="2:7">
      <c r="B91" s="18">
        <v>44743</v>
      </c>
      <c r="C91" s="19">
        <v>159.1</v>
      </c>
      <c r="D91" s="20">
        <v>-0.0133</v>
      </c>
      <c r="E91" s="4"/>
      <c r="F91" s="4"/>
      <c r="G91" s="4"/>
    </row>
    <row r="92" spans="2:7">
      <c r="B92" s="18">
        <v>44713</v>
      </c>
      <c r="C92" s="19">
        <v>161.25</v>
      </c>
      <c r="D92" s="20">
        <v>-0.1673</v>
      </c>
      <c r="E92" s="4"/>
      <c r="F92" s="4"/>
      <c r="G92" s="4"/>
    </row>
    <row r="93" spans="2:7">
      <c r="B93" s="18">
        <v>44682</v>
      </c>
      <c r="C93" s="19">
        <v>193.64</v>
      </c>
      <c r="D93" s="20">
        <v>-0.0341</v>
      </c>
      <c r="E93" s="4"/>
      <c r="F93" s="4"/>
      <c r="G93" s="4"/>
    </row>
    <row r="94" spans="2:7">
      <c r="B94" s="18">
        <v>44652</v>
      </c>
      <c r="C94" s="19">
        <v>200.47</v>
      </c>
      <c r="D94" s="20">
        <v>-0.0984</v>
      </c>
      <c r="E94" s="4"/>
      <c r="F94" s="4"/>
      <c r="G94" s="4"/>
    </row>
    <row r="95" spans="2:7">
      <c r="B95" s="18">
        <v>44621</v>
      </c>
      <c r="C95" s="19">
        <v>222.36</v>
      </c>
      <c r="D95" s="20">
        <v>0.0537</v>
      </c>
      <c r="E95" s="4"/>
      <c r="F95" s="4"/>
      <c r="G95" s="4"/>
    </row>
    <row r="96" spans="2:7">
      <c r="B96" s="18">
        <v>44593</v>
      </c>
      <c r="C96" s="19">
        <v>211.03</v>
      </c>
      <c r="D96" s="20">
        <v>-0.3263</v>
      </c>
      <c r="E96" s="4"/>
      <c r="F96" s="4"/>
      <c r="G96" s="4"/>
    </row>
    <row r="97" spans="2:7">
      <c r="B97" s="18">
        <v>44562</v>
      </c>
      <c r="C97" s="19">
        <v>313.26</v>
      </c>
      <c r="D97" s="20">
        <v>-0.0686</v>
      </c>
      <c r="E97" s="4"/>
      <c r="F97" s="4"/>
      <c r="G97" s="4"/>
    </row>
    <row r="98" spans="2:7">
      <c r="B98" s="18">
        <v>44531</v>
      </c>
      <c r="C98" s="19">
        <v>336.35</v>
      </c>
      <c r="D98" s="20">
        <v>0.0366</v>
      </c>
      <c r="E98" s="4"/>
      <c r="F98" s="4"/>
      <c r="G98" s="4"/>
    </row>
    <row r="99" spans="2:7">
      <c r="B99" s="18">
        <v>44501</v>
      </c>
      <c r="C99" s="19">
        <v>324.46</v>
      </c>
      <c r="D99" s="20">
        <v>0.0028</v>
      </c>
      <c r="E99" s="4"/>
      <c r="F99" s="4"/>
      <c r="G99" s="4"/>
    </row>
    <row r="100" spans="2:7">
      <c r="B100" s="18">
        <v>44470</v>
      </c>
      <c r="C100" s="19">
        <v>323.57</v>
      </c>
      <c r="D100" s="20">
        <v>-0.0466</v>
      </c>
      <c r="E100" s="4"/>
      <c r="F100" s="4"/>
      <c r="G100" s="4"/>
    </row>
    <row r="101" spans="2:7">
      <c r="B101" s="18">
        <v>44440</v>
      </c>
      <c r="C101" s="19">
        <v>339.39</v>
      </c>
      <c r="D101" s="20">
        <v>-0.1054</v>
      </c>
      <c r="E101" s="4"/>
      <c r="F101" s="4"/>
      <c r="G101" s="4"/>
    </row>
    <row r="102" spans="2:7">
      <c r="B102" s="18">
        <v>44409</v>
      </c>
      <c r="C102" s="19">
        <v>379.38</v>
      </c>
      <c r="D102" s="20">
        <v>0.0648</v>
      </c>
      <c r="E102" s="4"/>
      <c r="F102" s="4"/>
      <c r="G102" s="4"/>
    </row>
    <row r="103" spans="2:7">
      <c r="B103" s="18">
        <v>44378</v>
      </c>
      <c r="C103" s="19">
        <v>356.3</v>
      </c>
      <c r="D103" s="20">
        <v>0.0247</v>
      </c>
      <c r="E103" s="4"/>
      <c r="F103" s="4"/>
      <c r="G103" s="4"/>
    </row>
    <row r="104" spans="2:7">
      <c r="B104" s="18">
        <v>44348</v>
      </c>
      <c r="C104" s="19">
        <v>347.71</v>
      </c>
      <c r="D104" s="20">
        <v>0.0577</v>
      </c>
      <c r="E104" s="4"/>
      <c r="F104" s="4"/>
      <c r="G104" s="4"/>
    </row>
    <row r="105" spans="2:7">
      <c r="B105" s="18">
        <v>44317</v>
      </c>
      <c r="C105" s="19">
        <v>328.73</v>
      </c>
      <c r="D105" s="20">
        <v>0.0112</v>
      </c>
      <c r="E105" s="4"/>
      <c r="F105" s="4"/>
      <c r="G105" s="4"/>
    </row>
    <row r="106" spans="2:7">
      <c r="B106" s="18">
        <v>44287</v>
      </c>
      <c r="C106" s="19">
        <v>325.08</v>
      </c>
      <c r="D106" s="20">
        <v>0.1037</v>
      </c>
      <c r="E106" s="4"/>
      <c r="F106" s="4"/>
      <c r="G106" s="4"/>
    </row>
    <row r="107" spans="2:7">
      <c r="B107" s="18">
        <v>44256</v>
      </c>
      <c r="C107" s="19">
        <v>294.53</v>
      </c>
      <c r="D107" s="20">
        <v>0.1433</v>
      </c>
      <c r="E107" s="4"/>
      <c r="F107" s="4"/>
      <c r="G107" s="4"/>
    </row>
    <row r="108" spans="2:7">
      <c r="B108" s="18">
        <v>44228</v>
      </c>
      <c r="C108" s="19">
        <v>257.62</v>
      </c>
      <c r="D108" s="20">
        <v>-0.0027</v>
      </c>
      <c r="E108" s="4"/>
      <c r="F108" s="4"/>
      <c r="G108" s="4"/>
    </row>
    <row r="109" spans="2:7">
      <c r="B109" s="18">
        <v>44197</v>
      </c>
      <c r="C109" s="19">
        <v>258.33</v>
      </c>
      <c r="D109" s="20">
        <v>-0.0543</v>
      </c>
      <c r="E109" s="4"/>
      <c r="F109" s="4"/>
      <c r="G109" s="4"/>
    </row>
    <row r="110" spans="2:7">
      <c r="B110" s="18">
        <v>44166</v>
      </c>
      <c r="C110" s="19">
        <v>273.16</v>
      </c>
      <c r="D110" s="20">
        <v>-0.0138</v>
      </c>
      <c r="E110" s="4"/>
      <c r="F110" s="4"/>
      <c r="G110" s="4"/>
    </row>
    <row r="111" spans="2:7">
      <c r="B111" s="18">
        <v>44136</v>
      </c>
      <c r="C111" s="19">
        <v>276.97</v>
      </c>
      <c r="D111" s="20">
        <v>0.0527</v>
      </c>
      <c r="E111" s="4"/>
      <c r="F111" s="4"/>
      <c r="G111" s="4"/>
    </row>
    <row r="112" spans="2:7">
      <c r="B112" s="18">
        <v>44105</v>
      </c>
      <c r="C112" s="19">
        <v>263.11</v>
      </c>
      <c r="D112" s="20">
        <v>0.0046</v>
      </c>
      <c r="E112" s="4"/>
      <c r="F112" s="4"/>
      <c r="G112" s="4"/>
    </row>
    <row r="113" spans="2:7">
      <c r="B113" s="18">
        <v>44075</v>
      </c>
      <c r="C113" s="19">
        <v>261.9</v>
      </c>
      <c r="D113" s="20">
        <v>-0.1068</v>
      </c>
      <c r="E113" s="4"/>
      <c r="F113" s="4"/>
      <c r="G113" s="4"/>
    </row>
    <row r="114" spans="2:7">
      <c r="B114" s="18">
        <v>44044</v>
      </c>
      <c r="C114" s="19">
        <v>293.2</v>
      </c>
      <c r="D114" s="20">
        <v>0.1558</v>
      </c>
      <c r="E114" s="4"/>
      <c r="F114" s="4"/>
      <c r="G114" s="4"/>
    </row>
    <row r="115" spans="2:7">
      <c r="B115" s="18">
        <v>44013</v>
      </c>
      <c r="C115" s="19">
        <v>253.67</v>
      </c>
      <c r="D115" s="20">
        <v>0.1171</v>
      </c>
      <c r="E115" s="4"/>
      <c r="F115" s="4"/>
      <c r="G115" s="4"/>
    </row>
    <row r="116" spans="2:7">
      <c r="B116" s="18">
        <v>43983</v>
      </c>
      <c r="C116" s="19">
        <v>227.07</v>
      </c>
      <c r="D116" s="20">
        <v>0.0088</v>
      </c>
      <c r="E116" s="4"/>
      <c r="F116" s="4"/>
      <c r="G116" s="4"/>
    </row>
    <row r="117" spans="2:7">
      <c r="B117" s="18">
        <v>43952</v>
      </c>
      <c r="C117" s="19">
        <v>225.09</v>
      </c>
      <c r="D117" s="20">
        <v>0.0996</v>
      </c>
      <c r="E117" s="4"/>
      <c r="F117" s="4"/>
      <c r="G117" s="4"/>
    </row>
    <row r="118" spans="2:7">
      <c r="B118" s="18">
        <v>43922</v>
      </c>
      <c r="C118" s="19">
        <v>204.71</v>
      </c>
      <c r="D118" s="20">
        <v>0.2273</v>
      </c>
      <c r="E118" s="4"/>
      <c r="F118" s="4"/>
      <c r="G118" s="4"/>
    </row>
    <row r="119" spans="2:7">
      <c r="B119" s="18">
        <v>43891</v>
      </c>
      <c r="C119" s="19">
        <v>166.8</v>
      </c>
      <c r="D119" s="20">
        <v>-0.1334</v>
      </c>
      <c r="E119" s="4"/>
      <c r="F119" s="4"/>
      <c r="G119" s="4"/>
    </row>
    <row r="120" spans="2:7">
      <c r="B120" s="18">
        <v>43862</v>
      </c>
      <c r="C120" s="19">
        <v>192.47</v>
      </c>
      <c r="D120" s="20">
        <v>-0.0468</v>
      </c>
      <c r="E120" s="4"/>
      <c r="F120" s="4"/>
      <c r="G120" s="4"/>
    </row>
    <row r="121" spans="2:7">
      <c r="B121" s="18">
        <v>43831</v>
      </c>
      <c r="C121" s="19">
        <v>201.91</v>
      </c>
      <c r="D121" s="20">
        <v>-0.0163</v>
      </c>
      <c r="E121" s="4"/>
      <c r="F121" s="4"/>
      <c r="G121" s="4"/>
    </row>
    <row r="122" spans="2:7">
      <c r="B122" s="18">
        <v>43800</v>
      </c>
      <c r="C122" s="19">
        <v>205.25</v>
      </c>
      <c r="D122" s="20">
        <v>0.0179</v>
      </c>
      <c r="E122" s="4"/>
      <c r="F122" s="4"/>
      <c r="G122" s="4"/>
    </row>
    <row r="123" spans="2:7">
      <c r="B123" s="18">
        <v>43770</v>
      </c>
      <c r="C123" s="19">
        <v>201.64</v>
      </c>
      <c r="D123" s="20">
        <v>0.0521</v>
      </c>
      <c r="E123" s="4"/>
      <c r="F123" s="4"/>
      <c r="G123" s="4"/>
    </row>
    <row r="124" spans="2:7">
      <c r="B124" s="18">
        <v>43739</v>
      </c>
      <c r="C124" s="19">
        <v>191.65</v>
      </c>
      <c r="D124" s="20">
        <v>0.0762</v>
      </c>
      <c r="E124" s="4"/>
      <c r="F124" s="4"/>
      <c r="G124" s="4"/>
    </row>
    <row r="125" spans="2:7">
      <c r="B125" s="18">
        <v>43709</v>
      </c>
      <c r="C125" s="19">
        <v>178.08</v>
      </c>
      <c r="D125" s="20">
        <v>-0.0409</v>
      </c>
      <c r="E125" s="4"/>
      <c r="F125" s="4"/>
      <c r="G125" s="4"/>
    </row>
    <row r="126" spans="2:7">
      <c r="B126" s="18">
        <v>43678</v>
      </c>
      <c r="C126" s="19">
        <v>185.67</v>
      </c>
      <c r="D126" s="20">
        <v>-0.0441</v>
      </c>
      <c r="E126" s="4"/>
      <c r="F126" s="4"/>
      <c r="G126" s="4"/>
    </row>
    <row r="127" spans="2:7">
      <c r="B127" s="18">
        <v>43647</v>
      </c>
      <c r="C127" s="19">
        <v>194.23</v>
      </c>
      <c r="D127" s="20">
        <v>0.0064</v>
      </c>
      <c r="E127" s="4"/>
      <c r="F127" s="4"/>
      <c r="G127" s="4"/>
    </row>
    <row r="128" spans="2:7">
      <c r="B128" s="18">
        <v>43617</v>
      </c>
      <c r="C128" s="19">
        <v>193</v>
      </c>
      <c r="D128" s="20">
        <v>0.0875</v>
      </c>
      <c r="E128" s="4"/>
      <c r="F128" s="4"/>
      <c r="G128" s="4"/>
    </row>
    <row r="129" spans="2:7">
      <c r="B129" s="18">
        <v>43586</v>
      </c>
      <c r="C129" s="19">
        <v>177.47</v>
      </c>
      <c r="D129" s="20">
        <v>-0.0824</v>
      </c>
      <c r="E129" s="4"/>
      <c r="F129" s="4"/>
      <c r="G129" s="4"/>
    </row>
    <row r="130" spans="2:7">
      <c r="B130" s="18">
        <v>43556</v>
      </c>
      <c r="C130" s="19">
        <v>193.4</v>
      </c>
      <c r="D130" s="20">
        <v>0.1602</v>
      </c>
      <c r="E130" s="4"/>
      <c r="F130" s="4"/>
      <c r="G130" s="4"/>
    </row>
    <row r="131" spans="2:7">
      <c r="B131" s="18">
        <v>43525</v>
      </c>
      <c r="C131" s="19">
        <v>166.69</v>
      </c>
      <c r="D131" s="20">
        <v>0.0325</v>
      </c>
      <c r="E131" s="4"/>
      <c r="F131" s="4"/>
      <c r="G131" s="4"/>
    </row>
    <row r="132" spans="2:7">
      <c r="B132" s="18">
        <v>43497</v>
      </c>
      <c r="C132" s="19">
        <v>161.45</v>
      </c>
      <c r="D132" s="20">
        <v>-0.0314</v>
      </c>
      <c r="E132" s="4"/>
      <c r="F132" s="4"/>
      <c r="G132" s="4"/>
    </row>
    <row r="133" spans="2:7">
      <c r="B133" s="18">
        <v>43466</v>
      </c>
      <c r="C133" s="19">
        <v>166.69</v>
      </c>
      <c r="D133" s="20">
        <v>0.2716</v>
      </c>
      <c r="E133" s="4"/>
      <c r="F133" s="4"/>
      <c r="G133" s="4"/>
    </row>
    <row r="134" spans="2:7">
      <c r="B134" s="18"/>
      <c r="C134" s="19"/>
      <c r="D134" s="20"/>
      <c r="E134" s="4"/>
      <c r="F134" s="4"/>
      <c r="G134" s="4"/>
    </row>
    <row r="135" spans="2:7">
      <c r="B135" s="18"/>
      <c r="C135" s="19"/>
      <c r="D135" s="20"/>
      <c r="E135" s="4"/>
      <c r="F135" s="4"/>
      <c r="G135" s="4"/>
    </row>
    <row r="136" spans="2:7">
      <c r="B136" s="18"/>
      <c r="C136" s="19"/>
      <c r="D136" s="20"/>
      <c r="E136" s="4"/>
      <c r="F136" s="4"/>
      <c r="G136" s="4"/>
    </row>
    <row r="137" spans="2:7">
      <c r="B137" s="18"/>
      <c r="C137" s="19"/>
      <c r="D137" s="20"/>
      <c r="E137" s="4"/>
      <c r="F137" s="4"/>
      <c r="G137" s="4"/>
    </row>
    <row r="138" spans="2:7">
      <c r="B138" s="18"/>
      <c r="C138" s="19"/>
      <c r="D138" s="20"/>
      <c r="E138" s="4"/>
      <c r="F138" s="4"/>
      <c r="G138" s="4"/>
    </row>
    <row r="139" spans="2:7">
      <c r="B139" s="18"/>
      <c r="C139" s="19"/>
      <c r="D139" s="20"/>
      <c r="E139" s="4"/>
      <c r="F139" s="4"/>
      <c r="G139" s="4"/>
    </row>
    <row r="140" spans="2:7">
      <c r="B140" s="18"/>
      <c r="C140" s="19"/>
      <c r="D140" s="20"/>
      <c r="E140" s="4"/>
      <c r="F140" s="4"/>
      <c r="G140" s="4"/>
    </row>
    <row r="141" spans="2:7">
      <c r="B141" s="18"/>
      <c r="C141" s="19"/>
      <c r="D141" s="20"/>
      <c r="E141" s="4"/>
      <c r="F141" s="4"/>
      <c r="G141" s="4"/>
    </row>
    <row r="142" spans="2:7">
      <c r="B142" s="18"/>
      <c r="C142" s="19"/>
      <c r="D142" s="20"/>
      <c r="E142" s="4"/>
      <c r="F142" s="4"/>
      <c r="G14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Overall</vt:lpstr>
      <vt:lpstr>FS</vt:lpstr>
      <vt:lpstr>Sharpe, Sortino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2025-01-07T08:28:28Z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