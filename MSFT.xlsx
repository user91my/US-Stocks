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windowWidth="9210" windowHeight="6570"/>
    <workbookView windowWidth="28800" windowHeight="11850" activeTab="1"/>
  </bookViews>
  <sheets>
    <sheet name="Overall" sheetId="9" r:id="rId1"/>
    <sheet name="FS" sheetId="3" r:id="rId2"/>
    <sheet name="Sharpe, Sortino" sheetId="10" r:id="rId3"/>
    <sheet name="Projection" sheetId="8" r:id="rId4"/>
    <sheet name="SWOT"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24" authorId="0">
      <text>
        <r>
          <rPr>
            <b/>
            <sz val="9"/>
            <rFont val="Times New Roman"/>
            <charset val="0"/>
          </rPr>
          <t>core2quad:</t>
        </r>
        <r>
          <rPr>
            <sz val="9"/>
            <rFont val="Times New Roman"/>
            <charset val="0"/>
          </rPr>
          <t xml:space="preserve">
Our Productivity and Business Processes segment consists of products and services in our portfolio of productivity, communication, and information services, spanning a variety of devices and platforms. This segment primarily comprises:-
• Office Commercial (Office 365 subscriptions, the Office 365 portion of Microsoft 365 Commercial subscriptions, and Office licensed on-premises), comprising Office, Exchange, SharePoint, Microsoft Teams, Office 365 Security and Compliance, Microsoft Viva, and Copilot for Microsoft 365.
• Office Consumer, including Microsoft 365 Consumer and Copilot Pro subscriptions, Office licensed on-premises, and other Office services.
• LinkedIn, including Talent Solutions, Marketing Solutions, Premium Subscriptions, and Sales Solutions.
• Dynamics business solutions, including Dynamics 365, comprising a set of intelligent, cloud-based applications across ERP, CRM, Power Apps, and Power Automate; and on-premises ERP and CRM applications.</t>
        </r>
      </text>
    </comment>
    <comment ref="D25" authorId="0">
      <text>
        <r>
          <rPr>
            <b/>
            <sz val="9"/>
            <rFont val="Times New Roman"/>
            <charset val="0"/>
          </rPr>
          <t xml:space="preserve">core2quad:
</t>
        </r>
        <r>
          <rPr>
            <sz val="9"/>
            <rFont val="Times New Roman"/>
            <charset val="0"/>
          </rPr>
          <t xml:space="preserve">
Our Intelligent Cloud segment consists of our public, private, and hybrid server products and cloud services that can power modern business and developers. This segment primarily comprises:
• Server products and cloud services, including Azure and other cloud services; SQL Server, Windows Server, Visual Studio, System Center, and related Client Access Licenses (“CALs”); and Nuance and GitHub. 
• Enterprise and partner services, including Enterprise Support Services, Industry Solutions, Nuance professional services, Microsoft Partner Network, and Learning Experience.</t>
        </r>
      </text>
    </comment>
    <comment ref="D26" authorId="0">
      <text>
        <r>
          <rPr>
            <b/>
            <sz val="9"/>
            <rFont val="Times New Roman"/>
            <charset val="0"/>
          </rPr>
          <t>core2quad:</t>
        </r>
        <r>
          <rPr>
            <sz val="9"/>
            <rFont val="Times New Roman"/>
            <charset val="0"/>
          </rPr>
          <t xml:space="preserve">
Our More Personal Computing segment consists of products and services that put customers at the center of the experience with our technology. This segment primarily comprises:
•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 Devices, including Surface, HoloLens, and PC accessories.
• Gaming, including Xbox hardware and Xbox content and services, comprising first-party content (such as Activision Blizzard) and third-party content, including games and in-game content; Xbox Game Pass and other subscriptions; Xbox Cloud Gaming; advertising; third-party disc royalties; and other cloud services.
• Search and news advertising, comprising Bing (including Copilot), Microsoft News, Microsoft Edge, and third-party affiliates.</t>
        </r>
      </text>
    </comment>
    <comment ref="D92" authorId="0">
      <text>
        <r>
          <rPr>
            <b/>
            <sz val="9"/>
            <rFont val="Times New Roman"/>
            <charset val="0"/>
          </rPr>
          <t>core2quad:</t>
        </r>
        <r>
          <rPr>
            <sz val="9"/>
            <rFont val="Times New Roman"/>
            <charset val="0"/>
          </rPr>
          <t xml:space="preserve">
Cost of revenue includes: manufacturing and distribution costs for products sold and programs licensed; operating costs related to product support service centers and product distribution centers; costs incurred to include software on PCs sold by original equipment manufacturers (“OEM”), to drive traffic to our websites, and to acquire online advertising space; costs incurred to support and maintain cloud-based and other online products and services, including datacenter costs and royalties; warranty costs; inventory valuation adjustments; costs associated with the delivery of consulting services; and the amortization of capitalized software development costs. Capitalized software development costs are amortized over the estimated lives of the products. </t>
        </r>
      </text>
    </comment>
  </commentList>
</comments>
</file>

<file path=xl/comments2.xml><?xml version="1.0" encoding="utf-8"?>
<comments xmlns="http://schemas.openxmlformats.org/spreadsheetml/2006/main">
  <authors>
    <author>core2quad</author>
  </authors>
  <commentList>
    <comment ref="D12" authorId="0">
      <text>
        <r>
          <rPr>
            <b/>
            <sz val="9"/>
            <rFont val="Times New Roman"/>
            <charset val="0"/>
          </rPr>
          <t>core2quad:</t>
        </r>
        <r>
          <rPr>
            <sz val="9"/>
            <rFont val="Times New Roman"/>
            <charset val="0"/>
          </rPr>
          <t xml:space="preserve">
Cost of revenue includes: manufacturing and distribution costs for products sold and programs licensed; operating costs related to product support service centers and product distribution centers; costs incurred to include software on PCs sold by original equipment manufacturers (“OEM”), to drive traffic to our websites, and to acquire online advertising space; costs incurred to support and maintain cloud-based and other online products and services, including datacenter costs and royalties; warranty costs; inventory valuation adjustments; costs associated with the delivery of consulting services; and the amortization of capitalized software development costs. Capitalized software development costs are amortized over the estimated lives of the products.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<sst xmlns="http://schemas.openxmlformats.org/spreadsheetml/2006/main" count="409" uniqueCount="283">
  <si>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</si>
  <si>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</si>
  <si>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</si>
  <si>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</si>
  <si>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</si>
  <si>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</si>
  <si>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</si>
  <si>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</si>
  <si>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</si>
  <si>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</si>
  <si>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</si>
  <si>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</si>
  <si>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</si>
  <si>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</si>
  <si>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</si>
  <si>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</si>
  <si>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</si>
  <si>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</si>
  <si>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</si>
  <si>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</si>
  <si>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</si>
  <si>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</si>
  <si>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</si>
  <si>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</si>
  <si>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</si>
  <si>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</si>
  <si>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</si>
  <si>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</si>
  <si>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</si>
  <si>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</si>
  <si>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30/06</t>
  </si>
  <si>
    <t>&lt; Figures are in millions &gt;</t>
  </si>
  <si>
    <t>Y/E 30/06</t>
  </si>
  <si>
    <t>Annualized</t>
  </si>
  <si>
    <t>Average</t>
  </si>
  <si>
    <t>Median</t>
  </si>
  <si>
    <t>Std Dev</t>
  </si>
  <si>
    <t>Revenue By Geography</t>
  </si>
  <si>
    <t>United States</t>
  </si>
  <si>
    <t>Other Countries</t>
  </si>
  <si>
    <t>Total Revenues</t>
  </si>
  <si>
    <t>Revenue By Product / Service Offering</t>
  </si>
  <si>
    <t>Server products &amp; cloud services</t>
  </si>
  <si>
    <t>Office products &amp; cloud services</t>
  </si>
  <si>
    <t>Windows</t>
  </si>
  <si>
    <t>Gaming</t>
  </si>
  <si>
    <t>LinkedIn</t>
  </si>
  <si>
    <t>Search &amp; news advertising</t>
  </si>
  <si>
    <t>Enterprise &amp; partner services</t>
  </si>
  <si>
    <t>Dynamics products &amp; cloud services</t>
  </si>
  <si>
    <t>Devices</t>
  </si>
  <si>
    <t>Other</t>
  </si>
  <si>
    <t>Revenue by Segments</t>
  </si>
  <si>
    <t>Productivity &amp; business processes</t>
  </si>
  <si>
    <t>Intelligent Cloud</t>
  </si>
  <si>
    <t>More personal computing</t>
  </si>
  <si>
    <t>Operating Income/(loss) Breakdown</t>
  </si>
  <si>
    <t>Corporate &amp; Other (Impairment &amp; restructuring)</t>
  </si>
  <si>
    <t>Total Operating Income</t>
  </si>
  <si>
    <t>Composition By Geography</t>
  </si>
  <si>
    <t>United States %</t>
  </si>
  <si>
    <t>Other Countries %</t>
  </si>
  <si>
    <t>Composition By Product / Service Offering</t>
  </si>
  <si>
    <t>Server products &amp; cloud services %</t>
  </si>
  <si>
    <t>Office products &amp; cloud services %</t>
  </si>
  <si>
    <t>Windows %</t>
  </si>
  <si>
    <t>Gaming %</t>
  </si>
  <si>
    <t>LinkedIn %</t>
  </si>
  <si>
    <t>Search &amp; news advertising %</t>
  </si>
  <si>
    <t>Enterprise &amp; partner services %</t>
  </si>
  <si>
    <t>Dynamics products &amp; cloud services %</t>
  </si>
  <si>
    <t>Devices %</t>
  </si>
  <si>
    <t>Other %</t>
  </si>
  <si>
    <t>Composition By Segments</t>
  </si>
  <si>
    <t>Productivity &amp; business processes  %</t>
  </si>
  <si>
    <t>Intelligent Cloud  %</t>
  </si>
  <si>
    <t>More personal computing  %</t>
  </si>
  <si>
    <t>Revenue Growth By Product / Service Offering (%)</t>
  </si>
  <si>
    <t>Revenue Growth By Segment (%)</t>
  </si>
  <si>
    <t>TOTAL REVENUE GROWTH (%)</t>
  </si>
  <si>
    <t>Operating Income Growth (%)</t>
  </si>
  <si>
    <t>Google Services</t>
  </si>
  <si>
    <t>Google Cloud</t>
  </si>
  <si>
    <t>Other Bets</t>
  </si>
  <si>
    <t>OPERATING INCOME GROWTH (%)</t>
  </si>
  <si>
    <t>P&amp;L</t>
  </si>
  <si>
    <t>Revenue</t>
  </si>
  <si>
    <t>Product</t>
  </si>
  <si>
    <t>Service &amp; other</t>
  </si>
  <si>
    <t>Cost of Revenue</t>
  </si>
  <si>
    <t>Gross Profit</t>
  </si>
  <si>
    <t>GP margin (%)</t>
  </si>
  <si>
    <t>Research &amp; Development</t>
  </si>
  <si>
    <t>Sales &amp; Marketing</t>
  </si>
  <si>
    <t>General &amp; Admin</t>
  </si>
  <si>
    <t>Impairment &amp; restructuring</t>
  </si>
  <si>
    <t>Total Cost &amp; Expenses</t>
  </si>
  <si>
    <t>Operating Income</t>
  </si>
  <si>
    <t>Operating margin (%)</t>
  </si>
  <si>
    <t>Other Income / (expense), Net</t>
  </si>
  <si>
    <t>Income before taxation</t>
  </si>
  <si>
    <t>Provision for income taxes</t>
  </si>
  <si>
    <t>Net Income</t>
  </si>
  <si>
    <t>Net income margin (%)</t>
  </si>
  <si>
    <t>Valuation Multiples / Shareholder ratios</t>
  </si>
  <si>
    <t>No. of Shares</t>
  </si>
  <si>
    <t>Share Price</t>
  </si>
  <si>
    <t>P/E</t>
  </si>
  <si>
    <t>Sales per share</t>
  </si>
  <si>
    <t>Price /  Sales</t>
  </si>
  <si>
    <t>Market Cap</t>
  </si>
  <si>
    <t>Enterprise Value (EV)                          MC+Debt-Cash</t>
  </si>
  <si>
    <t>EV / EBITDA</t>
  </si>
  <si>
    <t>EV / Revenue</t>
  </si>
  <si>
    <t>Dividend / Share</t>
  </si>
  <si>
    <t>Dividend yield</t>
  </si>
  <si>
    <t>Balance Sheet</t>
  </si>
  <si>
    <t>Current Assets</t>
  </si>
  <si>
    <t>Cash &amp; Cash Equivalents</t>
  </si>
  <si>
    <t>Short-term investments</t>
  </si>
  <si>
    <t>Accounts Receivables</t>
  </si>
  <si>
    <t>Inventories</t>
  </si>
  <si>
    <t>Other current assets</t>
  </si>
  <si>
    <t>Total Current Assets</t>
  </si>
  <si>
    <t>Non-Current Assets</t>
  </si>
  <si>
    <t>Property &amp; Equipment</t>
  </si>
  <si>
    <t>Operating Lease right-of-use assets</t>
  </si>
  <si>
    <t>Equity &amp; other investments</t>
  </si>
  <si>
    <t>Goodwill</t>
  </si>
  <si>
    <t>Intangible Assets, net</t>
  </si>
  <si>
    <t>Other long-term assets</t>
  </si>
  <si>
    <t>Total Non-Current Assets</t>
  </si>
  <si>
    <t>Total Assets</t>
  </si>
  <si>
    <t>Current Liabilities</t>
  </si>
  <si>
    <t>Accounts Payable</t>
  </si>
  <si>
    <t>Short-term debt</t>
  </si>
  <si>
    <t>Current portion of long-term debt</t>
  </si>
  <si>
    <t>Accrued compensation</t>
  </si>
  <si>
    <t>Short-term income taxes</t>
  </si>
  <si>
    <t>Short-term unearned revenue</t>
  </si>
  <si>
    <t>Other current liabilities</t>
  </si>
  <si>
    <t>Total Current Liabilities</t>
  </si>
  <si>
    <t>Non-Current Liabilities</t>
  </si>
  <si>
    <t>Long-Term Debt</t>
  </si>
  <si>
    <t>Long-term Income Taxes</t>
  </si>
  <si>
    <t>Long-term unearned revenue</t>
  </si>
  <si>
    <t>Deferred Income Taxes</t>
  </si>
  <si>
    <t>Operating Lease Liabilities</t>
  </si>
  <si>
    <t>Other long-term liabilities</t>
  </si>
  <si>
    <t>Total Non-Current Liabilities</t>
  </si>
  <si>
    <t>Total Liabilities</t>
  </si>
  <si>
    <t>Stockholders' Equity</t>
  </si>
  <si>
    <t>Share Capital (Class A, B, C)</t>
  </si>
  <si>
    <t>Retained Earnings</t>
  </si>
  <si>
    <t>Accumulated other comprehensive income / (loss)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</si>
  <si>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</si>
  <si>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</si>
  <si>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</si>
  <si>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</si>
  <si>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</si>
  <si>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</si>
  <si>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</si>
  <si>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</si>
  <si>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</si>
  <si>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</si>
  <si>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Asset impairments</t>
  </si>
  <si>
    <t>Depreciation, amortization &amp; other</t>
  </si>
  <si>
    <t>Stock-based compensation expense</t>
  </si>
  <si>
    <t>Gain / (Loss) on investment &amp; derivatives</t>
  </si>
  <si>
    <t>Changes in operating Assets &amp; Liabilities</t>
  </si>
  <si>
    <t>Cash Flow from Operating Activities</t>
  </si>
  <si>
    <t>Financing Activities</t>
  </si>
  <si>
    <t>Cash premium on debt exchange</t>
  </si>
  <si>
    <t>Proceeds of debt issuance</t>
  </si>
  <si>
    <t>Debt repayment</t>
  </si>
  <si>
    <t>Common stock issued</t>
  </si>
  <si>
    <t>Common stock repurchased (buybacks)</t>
  </si>
  <si>
    <t>Dividends (Common stock)</t>
  </si>
  <si>
    <t>Cash Flow from Financing Activities</t>
  </si>
  <si>
    <t>Investing Activities</t>
  </si>
  <si>
    <t>Purchases of PPE (CapEx)</t>
  </si>
  <si>
    <t>Acquisition of companies, intangible &amp; other assets</t>
  </si>
  <si>
    <t>Purchases of investments</t>
  </si>
  <si>
    <t>Maturities of investments</t>
  </si>
  <si>
    <t>Sales of investments</t>
  </si>
  <si>
    <t>Cash Flow from Investing Activities</t>
  </si>
  <si>
    <t>Effect of Exchange Rate Changes</t>
  </si>
  <si>
    <t>Net Increase / (Decrease) in cash and cash equivalents</t>
  </si>
  <si>
    <t>Cash &amp; cash equivalents at the beginning of the period</t>
  </si>
  <si>
    <t>Cash &amp; cash equivalents at the end of the period</t>
  </si>
  <si>
    <t>Free Cash Flow (FCF)</t>
  </si>
  <si>
    <t>FCF / share</t>
  </si>
  <si>
    <t>MSFT Monthly Price Changes (5 years)</t>
  </si>
  <si>
    <t>United States 10-Year Bond Yield</t>
  </si>
  <si>
    <t>https://www.investing.com/equities/microsoft-corp-historical-data</t>
  </si>
  <si>
    <t>https://www.investing.com/rates-bonds/u.s.-10-year-bond-yield-historical-data</t>
  </si>
  <si>
    <t>Jul'19 - Jun'24</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</si>
  <si>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</si>
  <si>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</si>
  <si>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</si>
  <si>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</si>
  <si>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</si>
  <si>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</si>
  <si>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</si>
  <si>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</si>
  <si>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</si>
  <si>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</si>
  <si>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</si>
  <si>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</si>
  <si>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</si>
  <si>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</si>
  <si>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</si>
  <si>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</si>
  <si>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</si>
  <si>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</si>
  <si>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</si>
  <si>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</si>
  <si>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</si>
  <si>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</si>
  <si>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</si>
  <si>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</si>
  <si>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</si>
  <si>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</si>
  <si>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</si>
  <si>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</si>
  <si>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</si>
  <si>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</si>
  <si>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</si>
  <si>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</si>
  <si>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</si>
  <si>
    <t xml:space="preserve">Average Revenue Growth Rate  = </t>
  </si>
  <si>
    <t>%</t>
  </si>
  <si>
    <t>Notes</t>
  </si>
  <si>
    <t>Strengths</t>
  </si>
  <si>
    <t>Office Commercial</t>
  </si>
  <si>
    <t>- Microsoft 365, Microsoft Teams, Office apps, Copilot AI assistant</t>
  </si>
  <si>
    <t>Dynamics 365</t>
  </si>
  <si>
    <t>- cloud-based applications across ERP, CRM, Power Apps, and Power Automate; and on-premises ERP and CRM applications</t>
  </si>
  <si>
    <t>- integrated suite of enterprise resource planning and customer relationship management applications offered by Microsoft. Combines various functions such as sales, customer service, field service, operations, finance, marketing, and project service automation into a single platform</t>
  </si>
  <si>
    <t>Azure</t>
  </si>
  <si>
    <t>- VMs, servers, databases, cloud services</t>
  </si>
  <si>
    <t>- As OpenAI’s exclusive cloud provider, Azure powers all of OpenAI's workloads</t>
  </si>
  <si>
    <t>Azure AI Studio</t>
  </si>
  <si>
    <t>- full lifecycle toolchain customers can use to ground these models on their own data, create prompt workflows, and help ensure they are deployed and used safely</t>
  </si>
  <si>
    <t>Github Copilot</t>
  </si>
  <si>
    <t>Nuance</t>
  </si>
  <si>
    <t>- Leader in conversational AI and ambient intelligence across industries, including healthcare, financial services, retail, and telecommunications</t>
  </si>
  <si>
    <t>- Ambient intelligence is the concept of capturing and processing data through sensors, processors, and actuators unobtrusively embedded throughout the environment</t>
  </si>
  <si>
    <t>Personal Computing</t>
  </si>
  <si>
    <t>- Copilot+ PCs are a new class of Windows 11 PCs that are powered by a neural processing unit</t>
  </si>
  <si>
    <t>Surface devices</t>
  </si>
  <si>
    <t>Edge browser, Bing search</t>
  </si>
  <si>
    <t>- The AI-powered Bing search engine with Copilot delivers better search, more complete answers, and the ability to generate content.</t>
  </si>
  <si>
    <t>- Xbox Game Pass</t>
  </si>
  <si>
    <t>- Activision Blizzard Inc.</t>
  </si>
  <si>
    <t>Weaknesses</t>
  </si>
  <si>
    <t>Opportunities</t>
  </si>
  <si>
    <t>OpenAI</t>
  </si>
  <si>
    <t>Threats</t>
  </si>
  <si>
    <t>Office</t>
  </si>
  <si>
    <t>- Apple, Cisco Systems, Google, Meta, Proofpoint, Slack, Symantec, Zoom</t>
  </si>
  <si>
    <t>- Apple distributes versions of its pre-installed application software, such as email and calendar products, through its PCs, tablets, and phones</t>
  </si>
  <si>
    <t>- Cisco Systems is using its position in enterprise communications equipment to grow its unified communications business</t>
  </si>
  <si>
    <t>- Google provides a hosted messaging and productivity suite</t>
  </si>
  <si>
    <t>- Meta offers communication tools to enable productivity and engagement within organizations</t>
  </si>
  <si>
    <t>- Proofpoint and Symantec provide security solutions across email security, information protection, and governance</t>
  </si>
  <si>
    <t>- Slack provides teamwork and collaboration software</t>
  </si>
  <si>
    <t>- Zoom offers videoconferencing and cloud phone solutions</t>
  </si>
  <si>
    <t>- Marketing Solutions</t>
  </si>
  <si>
    <t>- B2B Marketing Communications</t>
  </si>
  <si>
    <t>- competes with online and offline outlets that generate revenue from advertisers and marketers</t>
  </si>
  <si>
    <t>- Sales Solutions</t>
  </si>
  <si>
    <t>- competes with online and offline outlets for companies with lead generation and customer intelligence and insights</t>
  </si>
  <si>
    <t>Dynamics</t>
  </si>
  <si>
    <t>- competes with cloud-based and on-premises business solution providers such as Oracle, Salesforce, SAP, Service Now, UI Path, and WorkDay</t>
  </si>
  <si>
    <t>- Amazon, Broadcom, Google, IBM, Oracle</t>
  </si>
  <si>
    <t>- Our AI offerings compete with AI products from hyperscalers such as Amazon (AWS) and Google (GCP)</t>
  </si>
  <si>
    <t>- Our database, business intelligence, and data warehousing solutions offerings compete with products from Databricks, IBM, Oracle, SAP, Snowflake</t>
  </si>
  <si>
    <t>- Our system management solutions compete with server management and server virtualization platform providers, such as BMC, Broadcom, Hewlett-Packard, and IBM</t>
  </si>
  <si>
    <t>- Our products for software developers compete against offerings from Adobe, IBM, Oracle, and other companies, and also against open source projects, including Eclipse (sponsored by IBM, Oracle, and SAP), PHP, and Ruby on Rails</t>
  </si>
  <si>
    <t>- various software products and from alternative platforms and devices, mainly from Apple and Google</t>
  </si>
  <si>
    <t>- various online gaming ecosystems and game streaming services, including those operated by Amazon, Apple, Meta, and Tencent</t>
  </si>
  <si>
    <t>- gaming platform competes with console platforms from Nintendo and Sony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</si>
</sst>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2"/>
      <color theme="1"/>
      <name val="Calibri"/>
      <charset val="134"/>
      <scheme val="minor"/>
    </font>
    <font>
      <sz val="12"/>
      <color theme="1"/>
      <name val="Calibri"/>
      <charset val="134"/>
      <scheme val="minor"/>
    </font>
    <font>
      <b/>
      <i/>
      <sz val="11"/>
      <color theme="1"/>
      <name val="Calibri"/>
      <charset val="134"/>
      <scheme val="minor"/>
    </font>
    <font>
      <i/>
      <sz val="11"/>
      <color theme="1"/>
      <name val="Calibri"/>
      <charset val="134"/>
      <scheme val="minor"/>
    </font>
    <font>
      <b/>
      <u/>
      <sz val="12"/>
      <color theme="1"/>
      <name val="Calibri"/>
      <charset val="134"/>
      <scheme val="minor"/>
    </font>
    <font>
      <b/>
      <i/>
      <sz val="12"/>
      <color theme="1"/>
      <name val="Calibri"/>
      <charset val="134"/>
      <scheme val="minor"/>
    </font>
    <font>
      <b/>
      <sz val="11"/>
      <color theme="1"/>
      <name val="Calibri"/>
      <charset val="134"/>
      <scheme val="minor"/>
    </font>
    <font>
      <b/>
      <i/>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b/>
      <sz val="9"/>
      <name val="Times New Roman"/>
      <charset val="0"/>
    </font>
    <font>
      <sz val="9"/>
      <name val="Times New Roman"/>
      <charset val="0"/>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double">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5" borderId="8" applyNumberFormat="0" applyAlignment="0" applyProtection="0">
      <alignment vertical="center"/>
    </xf>
    <xf numFmtId="0" fontId="18" fillId="6" borderId="9" applyNumberFormat="0" applyAlignment="0" applyProtection="0">
      <alignment vertical="center"/>
    </xf>
    <xf numFmtId="0" fontId="19" fillId="6" borderId="8" applyNumberFormat="0" applyAlignment="0" applyProtection="0">
      <alignment vertical="center"/>
    </xf>
    <xf numFmtId="0" fontId="20" fillId="7"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96">
    <xf numFmtId="0" fontId="0" fillId="0" borderId="0" xfId="0">
      <alignment vertical="center"/>
    </xf>
    <xf numFmtId="0" fontId="1" fillId="0" borderId="0" xfId="0" applyFont="1">
      <alignment vertical="center"/>
    </xf>
    <xf numFmtId="0" fontId="2" fillId="0" borderId="0" xfId="0" applyFont="1">
      <alignment vertical="center"/>
    </xf>
    <xf numFmtId="9" fontId="0" fillId="0" borderId="0" xfId="0" applyNumberFormat="1">
      <alignment vertical="center"/>
    </xf>
    <xf numFmtId="0" fontId="0" fillId="0" borderId="0" xfId="0" applyAlignment="1">
      <alignment horizontal="center" vertical="center"/>
    </xf>
    <xf numFmtId="0" fontId="3" fillId="0" borderId="0" xfId="0" applyFont="1">
      <alignment vertical="center"/>
    </xf>
    <xf numFmtId="41" fontId="4" fillId="0" borderId="0" xfId="0" applyNumberFormat="1" applyFont="1">
      <alignment vertical="center"/>
    </xf>
    <xf numFmtId="43" fontId="4" fillId="0" borderId="0" xfId="0" applyNumberFormat="1" applyFont="1">
      <alignment vertical="center"/>
    </xf>
    <xf numFmtId="0" fontId="0" fillId="0" borderId="0" xfId="0" applyFill="1">
      <alignment vertical="center"/>
    </xf>
    <xf numFmtId="41" fontId="0" fillId="0" borderId="0" xfId="0" applyNumberFormat="1" applyFill="1">
      <alignment vertical="center"/>
    </xf>
    <xf numFmtId="41" fontId="0" fillId="0" borderId="1" xfId="0" applyNumberFormat="1" applyFill="1" applyBorder="1">
      <alignment vertical="center"/>
    </xf>
    <xf numFmtId="41" fontId="3"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41" fontId="0" fillId="0" borderId="2" xfId="0" applyNumberFormat="1" applyFill="1" applyBorder="1">
      <alignment vertical="center"/>
    </xf>
    <xf numFmtId="0" fontId="6" fillId="2" borderId="0" xfId="0" applyFont="1" applyFill="1">
      <alignment vertical="center"/>
    </xf>
    <xf numFmtId="0" fontId="3" fillId="2" borderId="0" xfId="0" applyFont="1" applyFill="1">
      <alignment vertical="center"/>
    </xf>
    <xf numFmtId="0" fontId="3" fillId="0" borderId="0" xfId="0" applyFont="1" applyFill="1">
      <alignment vertical="center"/>
    </xf>
    <xf numFmtId="43" fontId="3" fillId="0" borderId="0" xfId="0" applyNumberFormat="1" applyFont="1" applyFill="1">
      <alignment vertical="center"/>
    </xf>
    <xf numFmtId="0" fontId="0" fillId="2" borderId="0" xfId="0" applyFill="1">
      <alignment vertical="center"/>
    </xf>
    <xf numFmtId="0" fontId="5" fillId="2" borderId="0" xfId="0" applyFont="1" applyFill="1">
      <alignment vertical="center"/>
    </xf>
    <xf numFmtId="41" fontId="4" fillId="2" borderId="0" xfId="0" applyNumberFormat="1" applyFont="1" applyFill="1">
      <alignment vertical="center"/>
    </xf>
    <xf numFmtId="41" fontId="4" fillId="0" borderId="0" xfId="0" applyNumberFormat="1" applyFont="1" applyFill="1">
      <alignment vertical="center"/>
    </xf>
    <xf numFmtId="43" fontId="4" fillId="2" borderId="0" xfId="0" applyNumberFormat="1" applyFont="1" applyFill="1">
      <alignment vertical="center"/>
    </xf>
    <xf numFmtId="43" fontId="4" fillId="0" borderId="0" xfId="0" applyNumberFormat="1" applyFont="1" applyFill="1">
      <alignment vertical="center"/>
    </xf>
    <xf numFmtId="41" fontId="3" fillId="2" borderId="0" xfId="0" applyNumberFormat="1" applyFont="1" applyFill="1">
      <alignment vertical="center"/>
    </xf>
    <xf numFmtId="0" fontId="0" fillId="0" borderId="1" xfId="0" applyFill="1" applyBorder="1">
      <alignment vertical="center"/>
    </xf>
    <xf numFmtId="0" fontId="0" fillId="0" borderId="1" xfId="0" applyFill="1" applyBorder="1" applyAlignment="1">
      <alignment horizontal="center" vertical="center"/>
    </xf>
    <xf numFmtId="41" fontId="0" fillId="0" borderId="3" xfId="0" applyNumberFormat="1" applyFill="1" applyBorder="1">
      <alignment vertical="center"/>
    </xf>
    <xf numFmtId="43" fontId="3" fillId="0" borderId="1" xfId="0" applyNumberFormat="1" applyFont="1" applyFill="1" applyBorder="1">
      <alignment vertical="center"/>
    </xf>
    <xf numFmtId="41" fontId="4" fillId="0" borderId="1" xfId="0" applyNumberFormat="1" applyFont="1" applyFill="1" applyBorder="1">
      <alignment vertical="center"/>
    </xf>
    <xf numFmtId="43" fontId="4" fillId="0" borderId="1" xfId="0" applyNumberFormat="1" applyFont="1" applyFill="1" applyBorder="1">
      <alignment vertical="center"/>
    </xf>
    <xf numFmtId="41" fontId="3" fillId="0" borderId="1" xfId="0" applyNumberFormat="1" applyFont="1" applyFill="1" applyBorder="1">
      <alignment vertical="center"/>
    </xf>
    <xf numFmtId="0" fontId="0" fillId="0" borderId="0" xfId="0" applyAlignment="1">
      <alignment horizontal="right" vertical="center"/>
    </xf>
    <xf numFmtId="39" fontId="7" fillId="3" borderId="0" xfId="0" applyNumberFormat="1" applyFont="1" applyFill="1">
      <alignment vertical="center"/>
    </xf>
    <xf numFmtId="39" fontId="3" fillId="3" borderId="0" xfId="0" applyNumberFormat="1" applyFont="1" applyFill="1">
      <alignment vertical="center"/>
    </xf>
    <xf numFmtId="41" fontId="3" fillId="3" borderId="0" xfId="0" applyNumberFormat="1" applyFont="1" applyFill="1">
      <alignment vertical="center"/>
    </xf>
    <xf numFmtId="43" fontId="0" fillId="0" borderId="0" xfId="0" applyNumberFormat="1">
      <alignment vertical="center"/>
    </xf>
    <xf numFmtId="0" fontId="7" fillId="0" borderId="0" xfId="0" applyFont="1" applyAlignment="1">
      <alignment horizontal="right" vertical="center"/>
    </xf>
    <xf numFmtId="0" fontId="7" fillId="0" borderId="0" xfId="0" applyFont="1">
      <alignment vertical="center"/>
    </xf>
    <xf numFmtId="0" fontId="7" fillId="0" borderId="0" xfId="0" applyFont="1" applyAlignment="1">
      <alignment horizontal="center" vertical="center"/>
    </xf>
    <xf numFmtId="0" fontId="0" fillId="0" borderId="0" xfId="0" applyAlignment="1">
      <alignment vertical="center" wrapText="1"/>
    </xf>
    <xf numFmtId="15" fontId="0" fillId="3" borderId="0" xfId="0" applyNumberFormat="1" applyFill="1" applyAlignment="1">
      <alignment vertical="center" wrapText="1"/>
    </xf>
    <xf numFmtId="0" fontId="0" fillId="3" borderId="0" xfId="0" applyFill="1" applyAlignment="1">
      <alignment vertical="center" wrapText="1" readingOrder="1"/>
    </xf>
    <xf numFmtId="10" fontId="0" fillId="3" borderId="0" xfId="0" applyNumberFormat="1" applyFill="1" applyAlignment="1">
      <alignment vertical="center" wrapText="1" readingOrder="1"/>
    </xf>
    <xf numFmtId="10" fontId="0" fillId="0" borderId="0" xfId="0" applyNumberFormat="1">
      <alignment vertical="center"/>
    </xf>
    <xf numFmtId="10" fontId="0" fillId="3" borderId="0" xfId="0" applyNumberFormat="1" applyFill="1">
      <alignment vertical="center"/>
    </xf>
    <xf numFmtId="0" fontId="0" fillId="0" borderId="0" xfId="0" applyFont="1" applyAlignment="1">
      <alignment vertical="center" wrapText="1"/>
    </xf>
    <xf numFmtId="0" fontId="8" fillId="0" borderId="0" xfId="0" applyFont="1">
      <alignment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2" fontId="3" fillId="0" borderId="0" xfId="0" applyNumberFormat="1" applyFont="1">
      <alignment vertical="center"/>
    </xf>
    <xf numFmtId="0" fontId="0" fillId="0" borderId="4" xfId="0" applyBorder="1">
      <alignment vertical="center"/>
    </xf>
    <xf numFmtId="10" fontId="0" fillId="0" borderId="2" xfId="0" applyNumberFormat="1" applyBorder="1">
      <alignment vertical="center"/>
    </xf>
    <xf numFmtId="39" fontId="7" fillId="0" borderId="0" xfId="0" applyNumberFormat="1" applyFont="1">
      <alignment vertical="center"/>
    </xf>
    <xf numFmtId="39" fontId="0" fillId="0" borderId="0" xfId="0" applyNumberFormat="1">
      <alignment vertical="center"/>
    </xf>
    <xf numFmtId="0" fontId="4" fillId="0" borderId="0" xfId="0" applyFont="1">
      <alignment vertical="center"/>
    </xf>
    <xf numFmtId="41" fontId="7" fillId="0" borderId="0" xfId="0" applyNumberFormat="1" applyFont="1">
      <alignment vertical="center"/>
    </xf>
    <xf numFmtId="43" fontId="0" fillId="0" borderId="0" xfId="0" applyNumberFormat="1" applyFont="1">
      <alignment vertical="center"/>
    </xf>
    <xf numFmtId="41" fontId="0" fillId="0" borderId="0" xfId="0" applyNumberFormat="1">
      <alignment vertical="center"/>
    </xf>
    <xf numFmtId="43" fontId="0" fillId="0" borderId="0" xfId="0" applyNumberFormat="1" applyFill="1">
      <alignment vertical="center"/>
    </xf>
    <xf numFmtId="43" fontId="4" fillId="0" borderId="2" xfId="0" applyNumberFormat="1" applyFont="1" applyFill="1" applyBorder="1">
      <alignment vertical="center"/>
    </xf>
    <xf numFmtId="0" fontId="4" fillId="2" borderId="0" xfId="0" applyFont="1" applyFill="1">
      <alignment vertical="center"/>
    </xf>
    <xf numFmtId="43" fontId="0" fillId="2" borderId="0" xfId="0" applyNumberFormat="1" applyFill="1">
      <alignment vertical="center"/>
    </xf>
    <xf numFmtId="41" fontId="0" fillId="0" borderId="0" xfId="0" applyNumberFormat="1" applyFill="1" applyAlignment="1">
      <alignment horizontal="center" vertical="center"/>
    </xf>
    <xf numFmtId="43" fontId="0" fillId="0" borderId="0" xfId="0" applyNumberFormat="1" applyFill="1" applyAlignment="1">
      <alignment horizontal="center" vertical="center"/>
    </xf>
    <xf numFmtId="39" fontId="0" fillId="0" borderId="0" xfId="0" applyNumberFormat="1" applyFont="1" applyFill="1">
      <alignment vertical="center"/>
    </xf>
    <xf numFmtId="39" fontId="0" fillId="0" borderId="0" xfId="0" applyNumberFormat="1" applyFont="1" applyFill="1" applyBorder="1">
      <alignment vertical="center"/>
    </xf>
    <xf numFmtId="43" fontId="0" fillId="0" borderId="0" xfId="0" applyNumberFormat="1" applyFill="1" applyBorder="1">
      <alignment vertical="center"/>
    </xf>
    <xf numFmtId="43" fontId="0" fillId="0" borderId="0" xfId="0" applyNumberFormat="1" applyFont="1" applyFill="1">
      <alignment vertical="center"/>
    </xf>
    <xf numFmtId="39" fontId="0" fillId="0" borderId="0" xfId="0" applyNumberFormat="1" applyFill="1">
      <alignment vertical="center"/>
    </xf>
    <xf numFmtId="39" fontId="7" fillId="2" borderId="0" xfId="0" applyNumberFormat="1" applyFont="1" applyFill="1">
      <alignment vertical="center"/>
    </xf>
    <xf numFmtId="39" fontId="7" fillId="0" borderId="0" xfId="0" applyNumberFormat="1" applyFont="1" applyFill="1">
      <alignment vertical="center"/>
    </xf>
    <xf numFmtId="0" fontId="7" fillId="2" borderId="0" xfId="0" applyFont="1" applyFill="1">
      <alignment vertical="center"/>
    </xf>
    <xf numFmtId="0" fontId="7" fillId="0" borderId="0" xfId="0" applyFont="1" applyFill="1">
      <alignment vertical="center"/>
    </xf>
    <xf numFmtId="41" fontId="7" fillId="0" borderId="0" xfId="0" applyNumberFormat="1" applyFont="1" applyFill="1" applyBorder="1">
      <alignment vertical="center"/>
    </xf>
    <xf numFmtId="39" fontId="7" fillId="0" borderId="0" xfId="0" applyNumberFormat="1" applyFont="1" applyFill="1" applyBorder="1">
      <alignment vertical="center"/>
    </xf>
    <xf numFmtId="0" fontId="4" fillId="0" borderId="0" xfId="0" applyFont="1" applyFill="1">
      <alignment vertical="center"/>
    </xf>
    <xf numFmtId="41" fontId="7" fillId="2" borderId="0" xfId="0" applyNumberFormat="1" applyFont="1" applyFill="1">
      <alignment vertical="center"/>
    </xf>
    <xf numFmtId="41" fontId="7" fillId="0" borderId="0" xfId="0" applyNumberFormat="1" applyFont="1" applyFill="1">
      <alignment vertical="center"/>
    </xf>
    <xf numFmtId="43" fontId="0" fillId="2" borderId="0" xfId="0" applyNumberFormat="1" applyFont="1" applyFill="1">
      <alignment vertical="center"/>
    </xf>
    <xf numFmtId="41" fontId="0" fillId="2" borderId="0" xfId="0" applyNumberFormat="1" applyFill="1">
      <alignment vertical="center"/>
    </xf>
    <xf numFmtId="43" fontId="7" fillId="0" borderId="0" xfId="0" applyNumberFormat="1" applyFont="1" applyFill="1">
      <alignment vertical="center"/>
    </xf>
    <xf numFmtId="41" fontId="0" fillId="0" borderId="0" xfId="0" applyNumberFormat="1" applyFont="1" applyFill="1">
      <alignment vertical="center"/>
    </xf>
    <xf numFmtId="37" fontId="3" fillId="2" borderId="0" xfId="0" applyNumberFormat="1" applyFont="1" applyFill="1">
      <alignment vertical="center"/>
    </xf>
    <xf numFmtId="37" fontId="7" fillId="2" borderId="0" xfId="0" applyNumberFormat="1" applyFont="1" applyFill="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3"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2" fontId="0" fillId="0" borderId="0" xfId="0" applyNumberFormat="1">
      <alignment vertical="center"/>
    </xf>
    <xf numFmtId="0" fontId="7" fillId="0" borderId="0" xfId="0" applyFont="1" quotePrefix="1">
      <alignment vertical="center"/>
    </xf>
    <xf numFmtId="0" fontId="0" fillId="0" borderId="0" xfId="0" quotePrefix="1">
      <alignment vertical="center"/>
    </xf>
    <xf numFmtId="9" fontId="0" fillId="0" borderId="0" xfId="0" applyNumberForma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P15" sqref="P15"/>
    </sheetView>
    <sheetView workbookViewId="1">
      <selection activeCell="A1" sqref="A1"/>
    </sheetView>
  </sheetViews>
  <sheetFormatPr defaultColWidth="9.14285714285714" defaultRowHeight="15"/>
  <cols>
    <col min="3" max="3" width="4.42857142857143" customWidth="1"/>
    <col min="6" max="6" width="10.5714285714286"/>
    <col min="15" max="16" width="9.14285714285714" customWidth="1"/>
  </cols>
  <sheetData>
    <row r="2" spans="2:2">
      <c r="B2" s="39" t="s">
        <v>0</v>
      </c>
    </row>
    <row r="3" spans="2:49">
      <c r="B3" s="88"/>
      <c r="E3" s="88"/>
      <c r="F3" s="88"/>
      <c r="G3" s="88"/>
      <c r="H3" s="88" t="s">
        <v>1</v>
      </c>
      <c r="J3" s="88"/>
      <c r="K3" s="88" t="s">
        <v>2</v>
      </c>
      <c r="L3" s="88"/>
      <c r="M3" s="88"/>
      <c r="N3" s="88"/>
      <c r="O3" s="88"/>
      <c r="P3" s="88"/>
      <c r="Q3" s="88"/>
      <c r="R3" s="88"/>
      <c r="S3" s="88"/>
      <c r="T3" s="88" t="s">
        <v>3</v>
      </c>
      <c r="U3" s="88"/>
      <c r="V3" s="88"/>
      <c r="W3" s="88"/>
      <c r="X3" s="88"/>
      <c r="Y3" s="88"/>
      <c r="Z3" s="88"/>
      <c r="AA3" s="88"/>
      <c r="AB3" s="88"/>
      <c r="AC3" s="88" t="s">
        <v>4</v>
      </c>
      <c r="AD3" s="88"/>
      <c r="AE3" s="88"/>
      <c r="AF3" s="88"/>
      <c r="AG3" s="88"/>
      <c r="AH3" s="88"/>
      <c r="AI3" s="88"/>
      <c r="AJ3" s="88"/>
      <c r="AK3" s="88"/>
      <c r="AL3" s="88" t="s">
        <v>5</v>
      </c>
      <c r="AM3" s="88"/>
      <c r="AN3" s="88"/>
      <c r="AO3" s="88"/>
      <c r="AP3" s="88"/>
      <c r="AQ3" s="88"/>
      <c r="AR3" s="88"/>
      <c r="AS3" s="88"/>
      <c r="AT3" s="88"/>
      <c r="AU3" s="88" t="s">
        <v>6</v>
      </c>
      <c r="AV3" s="88"/>
      <c r="AW3" s="88"/>
    </row>
    <row r="4" spans="2:50">
      <c r="B4" s="88"/>
      <c r="E4" s="88"/>
      <c r="F4" s="88"/>
      <c r="G4" s="88"/>
      <c r="H4" s="88" t="s">
        <v>7</v>
      </c>
      <c r="J4" s="41"/>
      <c r="K4" s="41" t="s">
        <v>8</v>
      </c>
      <c r="L4" s="88"/>
      <c r="M4" s="88"/>
      <c r="N4" s="41" t="s">
        <v>9</v>
      </c>
      <c r="O4" s="88"/>
      <c r="P4" s="88"/>
      <c r="Q4" s="41" t="s">
        <v>10</v>
      </c>
      <c r="R4" s="88"/>
      <c r="S4" s="88"/>
      <c r="T4" s="41" t="s">
        <v>11</v>
      </c>
      <c r="U4" s="88"/>
      <c r="V4" s="88"/>
      <c r="W4" s="41" t="s">
        <v>12</v>
      </c>
      <c r="X4" s="88"/>
      <c r="Y4" s="88"/>
      <c r="Z4" s="88" t="s">
        <v>13</v>
      </c>
      <c r="AA4" s="88"/>
      <c r="AB4" s="88"/>
      <c r="AC4" s="88" t="s">
        <v>14</v>
      </c>
      <c r="AD4" s="88"/>
      <c r="AE4" s="88"/>
      <c r="AF4" s="88" t="s">
        <v>15</v>
      </c>
      <c r="AG4" s="88"/>
      <c r="AH4" s="88"/>
      <c r="AI4" s="88" t="s">
        <v>16</v>
      </c>
      <c r="AJ4" s="88"/>
      <c r="AK4" s="88"/>
      <c r="AL4" s="88" t="s">
        <v>17</v>
      </c>
      <c r="AM4" s="88"/>
      <c r="AN4" s="88"/>
      <c r="AO4" s="88" t="s">
        <v>18</v>
      </c>
      <c r="AP4" s="88"/>
      <c r="AQ4" s="88"/>
      <c r="AR4" s="88" t="s">
        <v>19</v>
      </c>
      <c r="AS4" s="88"/>
      <c r="AT4" s="88"/>
      <c r="AU4" s="88" t="s">
        <v>20</v>
      </c>
      <c r="AV4" s="88"/>
      <c r="AW4" s="88"/>
      <c r="AX4" t="s">
        <v>21</v>
      </c>
    </row>
    <row r="5" ht="45" spans="2:52">
      <c r="B5" s="89" t="s">
        <v>22</v>
      </c>
      <c r="D5" s="89" t="s">
        <v>23</v>
      </c>
      <c r="E5" s="89" t="s">
        <v>24</v>
      </c>
      <c r="F5" s="89" t="s">
        <v>25</v>
      </c>
      <c r="G5" s="89" t="s">
        <v>26</v>
      </c>
      <c r="H5" s="89" t="s">
        <v>27</v>
      </c>
      <c r="I5" s="89" t="s">
        <v>28</v>
      </c>
      <c r="J5" s="89" t="s">
        <v>29</v>
      </c>
      <c r="K5" s="89" t="s">
        <v>27</v>
      </c>
      <c r="L5" s="89" t="s">
        <v>28</v>
      </c>
      <c r="M5" s="89" t="s">
        <v>29</v>
      </c>
      <c r="N5" s="89" t="s">
        <v>27</v>
      </c>
      <c r="O5" s="89" t="s">
        <v>28</v>
      </c>
      <c r="P5" s="89" t="s">
        <v>29</v>
      </c>
      <c r="Q5" s="89" t="s">
        <v>27</v>
      </c>
      <c r="R5" s="89" t="s">
        <v>28</v>
      </c>
      <c r="S5" s="89" t="s">
        <v>29</v>
      </c>
      <c r="T5" s="89" t="s">
        <v>27</v>
      </c>
      <c r="U5" s="89" t="s">
        <v>28</v>
      </c>
      <c r="V5" s="89" t="s">
        <v>29</v>
      </c>
      <c r="W5" s="89" t="s">
        <v>27</v>
      </c>
      <c r="X5" s="89" t="s">
        <v>28</v>
      </c>
      <c r="Y5" s="89" t="s">
        <v>29</v>
      </c>
      <c r="Z5" s="89" t="s">
        <v>27</v>
      </c>
      <c r="AA5" s="89" t="s">
        <v>28</v>
      </c>
      <c r="AB5" s="89" t="s">
        <v>29</v>
      </c>
      <c r="AC5" s="89" t="s">
        <v>27</v>
      </c>
      <c r="AD5" s="89" t="s">
        <v>28</v>
      </c>
      <c r="AE5" s="89" t="s">
        <v>29</v>
      </c>
      <c r="AF5" s="89" t="s">
        <v>27</v>
      </c>
      <c r="AG5" s="89" t="s">
        <v>28</v>
      </c>
      <c r="AH5" s="89" t="s">
        <v>29</v>
      </c>
      <c r="AI5" s="89" t="s">
        <v>27</v>
      </c>
      <c r="AJ5" s="89" t="s">
        <v>28</v>
      </c>
      <c r="AK5" s="89" t="s">
        <v>29</v>
      </c>
      <c r="AL5" s="89" t="s">
        <v>27</v>
      </c>
      <c r="AM5" s="89" t="s">
        <v>28</v>
      </c>
      <c r="AN5" s="89" t="s">
        <v>29</v>
      </c>
      <c r="AO5" s="89" t="s">
        <v>27</v>
      </c>
      <c r="AP5" s="89" t="s">
        <v>28</v>
      </c>
      <c r="AQ5" s="89" t="s">
        <v>29</v>
      </c>
      <c r="AR5" s="89" t="s">
        <v>27</v>
      </c>
      <c r="AS5" s="89" t="s">
        <v>28</v>
      </c>
      <c r="AT5" s="89" t="s">
        <v>29</v>
      </c>
      <c r="AU5" s="94" t="s">
        <v>27</v>
      </c>
      <c r="AV5" s="94" t="s">
        <v>28</v>
      </c>
      <c r="AW5" s="94" t="s">
        <v>29</v>
      </c>
      <c r="AX5" s="94" t="s">
        <v>27</v>
      </c>
      <c r="AY5" s="94" t="s">
        <v>28</v>
      </c>
      <c r="AZ5" s="94" t="s">
        <v>29</v>
      </c>
    </row>
    <row r="6" spans="2:52">
      <c r="B6" s="88">
        <v>2024</v>
      </c>
      <c r="D6" s="33" t="s">
        <v>30</v>
      </c>
      <c r="E6" s="90">
        <v>2024</v>
      </c>
      <c r="F6" s="65">
        <f ca="1">OFFSET(FS!P127,0,E$6-B$6)</f>
        <v>3110013.9</v>
      </c>
      <c r="G6" s="66">
        <f ca="1">OFFSET(FS!P121,0,E$6-B$6)</f>
        <v>418.35</v>
      </c>
      <c r="H6" s="91">
        <f ca="1">((OFFSET(FS!P121,0,E$6-B$6)/OFFSET(FS!P121,0,-1+E$6-B$6))^(1/1)-1)*100</f>
        <v>24.538580614432</v>
      </c>
      <c r="I6" s="91">
        <f ca="1">((OFFSET(FS!P121,0,E$6-B$6)/OFFSET(FS!P121,0,-2+E$6-B$6))^(1/3)-1)*100</f>
        <v>14.2207899059729</v>
      </c>
      <c r="J6" s="91">
        <f ca="1">((OFFSET(FS!P121,0,E$6-B$6)/OFFSET(FS!P121,0,-4+E$6-B$6))^(1/5)-1)*100</f>
        <v>15.3328291500979</v>
      </c>
      <c r="K6" s="92">
        <f ca="1">OFFSET(FS!P98,0,0+E$6-B$6)</f>
        <v>69.7644438279714</v>
      </c>
      <c r="L6" s="92">
        <f ca="1">AVERAGE(OFFSET(FS!P98,0,-2+E$6-B$6):OFFSET(FS!P98,0,E$6-B$6))</f>
        <v>69.0287347319172</v>
      </c>
      <c r="M6" s="92">
        <f ca="1">AVERAGE(OFFSET(FS!P98,0,-4+E$6-B$6):OFFSET(FS!P98,0,E$6-B$6))</f>
        <v>68.7586013919148</v>
      </c>
      <c r="N6" s="92">
        <f ca="1">OFFSET(FS!P107,0,0+E$6-B$6)</f>
        <v>44.6442995732737</v>
      </c>
      <c r="O6" s="92">
        <f ca="1">AVERAGE(OFFSET(FS!P107,0,-2+E$6-B$6):OFFSET(FS!P107,0,E$6-B$6))</f>
        <v>42.8241527884759</v>
      </c>
      <c r="P6" s="92">
        <f ca="1">AVERAGE(OFFSET(FS!P107,0,-4+E$6-B$6):OFFSET(FS!P107,0,E$6-B$6))</f>
        <v>41.4195437333841</v>
      </c>
      <c r="Q6" s="92">
        <f ca="1">OFFSET(FS!P116,0,0+E$6-B$6)</f>
        <v>35.955972944085</v>
      </c>
      <c r="R6" s="92">
        <f ca="1">AVERAGE(OFFSET(FS!P116,0,-2+E$6-B$6):OFFSET(FS!P116,0,E$6-B$6))</f>
        <v>35.5961825453053</v>
      </c>
      <c r="S6" s="92">
        <f ca="1">AVERAGE(OFFSET(FS!P116,0,-4+E$6-B$6):OFFSET(FS!P116,0,E$6-B$6))</f>
        <v>34.8405547306751</v>
      </c>
      <c r="T6" s="93">
        <f ca="1">OFFSET(FS!P123,0,0+E$6-B$6)</f>
        <v>35.2865333121538</v>
      </c>
      <c r="U6" s="93">
        <f ca="1">AVERAGE(OFFSET(FS!P123,0,-2+E$6-B$6):OFFSET(FS!P123,0,E$6-B$6))</f>
        <v>32.8653509691207</v>
      </c>
      <c r="V6" s="93">
        <f ca="1">AVERAGE(OFFSET(FS!P123,0,-4+E$6-B$6):OFFSET(FS!P123,0,E$6-B$6))</f>
        <v>33.722245726318</v>
      </c>
      <c r="W6" s="92">
        <f ca="1">OFFSET(FS!P122,0,0+E$6-B$6)</f>
        <v>11.8557976863062</v>
      </c>
      <c r="X6" s="92">
        <f ca="1">AVERAGE(OFFSET(FS!P122,0,-2+E$6-B$6):OFFSET(FS!P122,0,E$6-B$6))</f>
        <v>10.4457948845292</v>
      </c>
      <c r="Y6" s="92">
        <f ca="1">AVERAGE(OFFSET(FS!P122,0,-4+E$6-B$6):OFFSET(FS!P122,0,E$6-B$6))</f>
        <v>9.06699453196051</v>
      </c>
      <c r="Z6" s="92">
        <f ca="1">OFFSET(FS!P133,0,0+E$6-B$6)</f>
        <v>0.00700029025593744</v>
      </c>
      <c r="AA6" s="92">
        <f ca="1">AVERAGE(OFFSET(FS!P133,0,-2+E$6-B$6):OFFSET(FS!P133,0,E$6-B$6))</f>
        <v>0.00786190145886695</v>
      </c>
      <c r="AB6" s="92">
        <f ca="1">AVERAGE(OFFSET(FS!P133,0,-4+E$6-B$6):OFFSET(FS!P133,0,E$6-B$6))</f>
        <v>0.00821002637868996</v>
      </c>
      <c r="AC6" s="92">
        <f ca="1">OFFSET(FS!P187,0,0+E$6-B$6)</f>
        <v>0.475797744077569</v>
      </c>
      <c r="AD6" s="92">
        <f ca="1">AVERAGE(OFFSET(FS!P187,0,-2+E$6-B$6):OFFSET(FS!P187,0,E$6-B$6))</f>
        <v>0.506249256606329</v>
      </c>
      <c r="AE6" s="92">
        <f ca="1">AVERAGE(OFFSET(FS!P187,0,-4+E$6-B$6):OFFSET(FS!P187,0,E$6-B$6))</f>
        <v>0.540144330699568</v>
      </c>
      <c r="AF6" s="92">
        <f ca="1">OFFSET(FS!P188,0,0+E$6-B$6)</f>
        <v>0.907660618972947</v>
      </c>
      <c r="AG6" s="92">
        <f ca="1">AVERAGE(OFFSET(FS!P188,0,-2+E$6-B$6):OFFSET(FS!P188,0,E$6-B$6))</f>
        <v>1.11922242544059</v>
      </c>
      <c r="AH6" s="92">
        <f ca="1">AVERAGE(OFFSET(FS!P188,0,-4+E$6-B$6):OFFSET(FS!P188,0,E$6-B$6))</f>
        <v>1.25106875201982</v>
      </c>
      <c r="AI6" s="92">
        <f ca="1">OFFSET(FS!P189,0,0+E$6-B$6)</f>
        <v>0.994141692708121</v>
      </c>
      <c r="AJ6" s="92">
        <f ca="1">AVERAGE(OFFSET(FS!P189,0,-2+E$6-B$6):OFFSET(FS!P189,0,E$6-B$6))</f>
        <v>0.988401739342845</v>
      </c>
      <c r="AK6" s="92">
        <f ca="1">AVERAGE(OFFSET(FS!P189,0,-4+E$6-B$6):OFFSET(FS!P189,0,E$6-B$6))</f>
        <v>1.07717112836878</v>
      </c>
      <c r="AL6" s="92">
        <f ca="1">OFFSET(FS!P192,0,0+E$6-B$6)</f>
        <v>12.2568218298555</v>
      </c>
      <c r="AM6" s="92">
        <f ca="1">AVERAGE(OFFSET(FS!P192,0,-2+E$6-B$6):OFFSET(FS!P192,0,E$6-B$6))</f>
        <v>8.15767454902185</v>
      </c>
      <c r="AN6" s="92">
        <f ca="1">AVERAGE(OFFSET(FS!P192,0,-4+E$6-B$6):OFFSET(FS!P192,0,E$6-B$6))</f>
        <v>7.96737497777054</v>
      </c>
      <c r="AO6" s="92">
        <f ca="1">OFFSET(FS!P193,0,0+E$6-B$6)</f>
        <v>4.30612746820322</v>
      </c>
      <c r="AP6" s="92">
        <f ca="1">AVERAGE(OFFSET(FS!P193,0,-2+E$6-B$6):OFFSET(FS!P193,0,E$6-B$6))</f>
        <v>4.37940057632161</v>
      </c>
      <c r="AQ6" s="92">
        <f ca="1">AVERAGE(OFFSET(FS!P193,0,-4+E$6-B$6):OFFSET(FS!P193,0,E$6-B$6))</f>
        <v>4.40485068020052</v>
      </c>
      <c r="AR6" s="92">
        <f ca="1">OFFSET(FS!P194,0,0+E$6-B$6)</f>
        <v>3.36943080560102</v>
      </c>
      <c r="AS6" s="92">
        <f ca="1">AVERAGE(OFFSET(FS!P194,0,-2+E$6-B$6):OFFSET(FS!P194,0,E$6-B$6))</f>
        <v>3.43554816259184</v>
      </c>
      <c r="AT6" s="92">
        <f ca="1">AVERAGE(OFFSET(FS!P194,0,-4+E$6-B$6):OFFSET(FS!P194,0,E$6-B$6))</f>
        <v>3.4857519220773</v>
      </c>
      <c r="AU6" s="95">
        <f>'Sharpe, Sortino'!O23</f>
        <v>1.61928657608695</v>
      </c>
      <c r="AV6" s="95">
        <f>'Sharpe, Sortino'!P23</f>
        <v>0.574034012177764</v>
      </c>
      <c r="AW6" s="95">
        <f>'Sharpe, Sortino'!Q23</f>
        <v>1.12632737321946</v>
      </c>
      <c r="AX6" s="95">
        <f>'Sharpe, Sortino'!O40</f>
        <v>3.32094075320581</v>
      </c>
      <c r="AY6" s="95">
        <f>'Sharpe, Sortino'!P40</f>
        <v>1.16978517441736</v>
      </c>
      <c r="AZ6" s="95">
        <f>'Sharpe, Sortino'!Q40</f>
        <v>2.19465657095161</v>
      </c>
    </row>
    <row r="11" spans="3:3">
      <c r="C11" s="6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237"/>
  <sheetViews>
    <sheetView workbookViewId="0">
      <pane xSplit="4" ySplit="3" topLeftCell="E82" activePane="bottomRight" state="frozen"/>
      <selection/>
      <selection pane="topRight"/>
      <selection pane="bottomLeft"/>
      <selection pane="bottomRight" activeCell="T189" sqref="T189"/>
    </sheetView>
    <sheetView tabSelected="1" workbookViewId="1">
      <pane xSplit="4" ySplit="3" topLeftCell="E109" activePane="bottomRight" state="frozen"/>
      <selection/>
      <selection pane="topRight"/>
      <selection pane="bottomLeft"/>
      <selection pane="bottomRight" activeCell="I123" sqref="I123"/>
    </sheetView>
  </sheetViews>
  <sheetFormatPr defaultColWidth="9.14285714285714" defaultRowHeight="15"/>
  <cols>
    <col min="2" max="3" width="6.28571428571429" customWidth="1"/>
    <col min="4" max="4" width="39.7142857142857" customWidth="1"/>
    <col min="5" max="5" width="9.14285714285714" style="8"/>
    <col min="6" max="12" width="11.7142857142857" style="9"/>
    <col min="13" max="16" width="11" style="9"/>
    <col min="17" max="17" width="9.14285714285714" style="8"/>
    <col min="18" max="18" width="9.14285714285714" style="9"/>
    <col min="19" max="21" width="9.14285714285714" style="61"/>
    <col min="22" max="22" width="9.14285714285714" style="9"/>
  </cols>
  <sheetData>
    <row r="1" spans="6:16">
      <c r="F1" s="11" t="s">
        <v>31</v>
      </c>
      <c r="G1" s="11"/>
      <c r="H1" s="11"/>
      <c r="I1" s="11"/>
      <c r="J1" s="11"/>
      <c r="K1" s="11"/>
      <c r="M1" s="8"/>
      <c r="N1" s="8"/>
      <c r="O1" s="8"/>
      <c r="P1" s="8"/>
    </row>
    <row r="2" s="4" customFormat="1" spans="5:22">
      <c r="E2" s="12"/>
      <c r="F2" s="12" t="s">
        <v>32</v>
      </c>
      <c r="G2" s="12"/>
      <c r="H2" s="12"/>
      <c r="I2" s="12"/>
      <c r="J2" s="12"/>
      <c r="K2" s="12"/>
      <c r="M2" s="12"/>
      <c r="N2" s="12"/>
      <c r="O2" s="12"/>
      <c r="P2" s="12"/>
      <c r="Q2" s="12"/>
      <c r="R2" s="65"/>
      <c r="S2" s="66"/>
      <c r="T2" s="66"/>
      <c r="U2" s="66" t="s">
        <v>33</v>
      </c>
      <c r="V2" s="65"/>
    </row>
    <row r="3" s="4" customFormat="1" spans="5:22">
      <c r="E3" s="12"/>
      <c r="F3" s="12">
        <v>2014</v>
      </c>
      <c r="G3" s="12">
        <v>2015</v>
      </c>
      <c r="H3" s="12">
        <v>2016</v>
      </c>
      <c r="I3" s="12">
        <v>2017</v>
      </c>
      <c r="J3" s="12">
        <v>2018</v>
      </c>
      <c r="K3" s="12">
        <v>2019</v>
      </c>
      <c r="L3" s="12">
        <v>2020</v>
      </c>
      <c r="M3" s="12">
        <v>2021</v>
      </c>
      <c r="N3" s="12">
        <v>2022</v>
      </c>
      <c r="O3" s="12">
        <v>2023</v>
      </c>
      <c r="P3" s="12">
        <v>2024</v>
      </c>
      <c r="Q3" s="12"/>
      <c r="R3" s="65" t="s">
        <v>34</v>
      </c>
      <c r="S3" s="66" t="s">
        <v>35</v>
      </c>
      <c r="T3" s="66" t="s">
        <v>7</v>
      </c>
      <c r="U3" s="66" t="s">
        <v>36</v>
      </c>
      <c r="V3" s="65"/>
    </row>
    <row r="5" ht="15.75" spans="2:2">
      <c r="B5" s="13" t="s">
        <v>37</v>
      </c>
    </row>
    <row r="6" spans="3:16">
      <c r="C6" t="s">
        <v>38</v>
      </c>
      <c r="F6" s="9">
        <v>43474</v>
      </c>
      <c r="G6" s="9">
        <v>42941</v>
      </c>
      <c r="H6" s="9">
        <v>46416</v>
      </c>
      <c r="I6" s="9">
        <v>51078</v>
      </c>
      <c r="J6" s="9">
        <v>55926</v>
      </c>
      <c r="K6" s="9">
        <v>64199</v>
      </c>
      <c r="L6" s="9">
        <v>73160</v>
      </c>
      <c r="M6" s="9">
        <v>83953</v>
      </c>
      <c r="N6" s="9">
        <v>100218</v>
      </c>
      <c r="O6" s="9">
        <v>106744</v>
      </c>
      <c r="P6" s="9">
        <v>124704</v>
      </c>
    </row>
    <row r="7" spans="3:16">
      <c r="C7" t="s">
        <v>39</v>
      </c>
      <c r="F7" s="9">
        <v>43359</v>
      </c>
      <c r="G7" s="9">
        <v>50639</v>
      </c>
      <c r="H7" s="9">
        <v>44738</v>
      </c>
      <c r="I7" s="9">
        <v>45493</v>
      </c>
      <c r="J7" s="9">
        <v>54434</v>
      </c>
      <c r="K7" s="9">
        <v>61644</v>
      </c>
      <c r="L7" s="9">
        <v>69855</v>
      </c>
      <c r="M7" s="9">
        <v>84135</v>
      </c>
      <c r="N7" s="9">
        <v>98052</v>
      </c>
      <c r="O7" s="9">
        <v>105171</v>
      </c>
      <c r="P7" s="9">
        <v>120418</v>
      </c>
    </row>
    <row r="8" spans="2:16">
      <c r="B8" t="s">
        <v>40</v>
      </c>
      <c r="F8" s="14">
        <f t="shared" ref="F8:P8" si="0">SUM(F6:F7)</f>
        <v>86833</v>
      </c>
      <c r="G8" s="14">
        <f t="shared" si="0"/>
        <v>93580</v>
      </c>
      <c r="H8" s="14">
        <f t="shared" si="0"/>
        <v>91154</v>
      </c>
      <c r="I8" s="14">
        <f t="shared" si="0"/>
        <v>96571</v>
      </c>
      <c r="J8" s="14">
        <f t="shared" si="0"/>
        <v>110360</v>
      </c>
      <c r="K8" s="14">
        <f t="shared" si="0"/>
        <v>125843</v>
      </c>
      <c r="L8" s="14">
        <f t="shared" si="0"/>
        <v>143015</v>
      </c>
      <c r="M8" s="14">
        <f t="shared" si="0"/>
        <v>168088</v>
      </c>
      <c r="N8" s="14">
        <f t="shared" si="0"/>
        <v>198270</v>
      </c>
      <c r="O8" s="14">
        <f t="shared" si="0"/>
        <v>211915</v>
      </c>
      <c r="P8" s="14">
        <f t="shared" si="0"/>
        <v>245122</v>
      </c>
    </row>
    <row r="10" ht="15.75" spans="2:2">
      <c r="B10" s="13" t="s">
        <v>41</v>
      </c>
    </row>
    <row r="11" spans="3:16">
      <c r="C11" t="s">
        <v>42</v>
      </c>
      <c r="F11" s="9">
        <v>17055</v>
      </c>
      <c r="G11" s="9">
        <v>18612</v>
      </c>
      <c r="H11" s="9">
        <v>23868</v>
      </c>
      <c r="I11" s="9">
        <v>21649</v>
      </c>
      <c r="J11" s="9">
        <v>26129</v>
      </c>
      <c r="K11" s="9">
        <v>32622</v>
      </c>
      <c r="L11" s="9">
        <v>41379</v>
      </c>
      <c r="M11" s="9">
        <v>52589</v>
      </c>
      <c r="N11" s="9">
        <v>67350</v>
      </c>
      <c r="O11" s="9">
        <v>79970</v>
      </c>
      <c r="P11" s="9">
        <v>97726</v>
      </c>
    </row>
    <row r="12" spans="3:16">
      <c r="C12" t="s">
        <v>43</v>
      </c>
      <c r="F12" s="9">
        <v>24323</v>
      </c>
      <c r="G12" s="9">
        <v>23538</v>
      </c>
      <c r="H12" s="9">
        <v>19062</v>
      </c>
      <c r="I12" s="9">
        <v>25573</v>
      </c>
      <c r="J12" s="9">
        <v>28316</v>
      </c>
      <c r="K12" s="9">
        <v>31769</v>
      </c>
      <c r="L12" s="9">
        <v>35316</v>
      </c>
      <c r="M12" s="9">
        <v>39872</v>
      </c>
      <c r="N12" s="9">
        <v>44970</v>
      </c>
      <c r="O12" s="9">
        <v>48848</v>
      </c>
      <c r="P12" s="9">
        <v>54875</v>
      </c>
    </row>
    <row r="13" spans="3:16">
      <c r="C13" t="s">
        <v>44</v>
      </c>
      <c r="F13" s="9">
        <v>16856</v>
      </c>
      <c r="G13" s="9">
        <v>14826</v>
      </c>
      <c r="H13" s="9">
        <v>17548</v>
      </c>
      <c r="I13" s="9">
        <v>18593</v>
      </c>
      <c r="J13" s="9">
        <v>19518</v>
      </c>
      <c r="K13" s="9">
        <v>20395</v>
      </c>
      <c r="L13" s="9">
        <v>21510</v>
      </c>
      <c r="M13" s="9">
        <v>22488</v>
      </c>
      <c r="N13" s="9">
        <v>24732</v>
      </c>
      <c r="O13" s="9">
        <v>21507</v>
      </c>
      <c r="P13" s="9">
        <v>23244</v>
      </c>
    </row>
    <row r="14" spans="3:16">
      <c r="C14" t="s">
        <v>45</v>
      </c>
      <c r="F14" s="9">
        <v>8643</v>
      </c>
      <c r="G14" s="9">
        <v>9121</v>
      </c>
      <c r="H14" s="9">
        <v>9202</v>
      </c>
      <c r="I14" s="9">
        <v>9051</v>
      </c>
      <c r="J14" s="9">
        <v>10353</v>
      </c>
      <c r="K14" s="9">
        <v>11386</v>
      </c>
      <c r="L14" s="9">
        <v>11575</v>
      </c>
      <c r="M14" s="9">
        <v>15370</v>
      </c>
      <c r="N14" s="9">
        <v>16230</v>
      </c>
      <c r="O14" s="9">
        <v>15466</v>
      </c>
      <c r="P14" s="9">
        <v>21503</v>
      </c>
    </row>
    <row r="15" spans="3:16">
      <c r="C15" t="s">
        <v>46</v>
      </c>
      <c r="F15" s="9">
        <v>0</v>
      </c>
      <c r="G15" s="9">
        <v>0</v>
      </c>
      <c r="H15" s="9">
        <v>0</v>
      </c>
      <c r="I15" s="9">
        <v>6219</v>
      </c>
      <c r="J15" s="9">
        <v>5259</v>
      </c>
      <c r="K15" s="9">
        <v>6754</v>
      </c>
      <c r="L15" s="9">
        <v>8077</v>
      </c>
      <c r="M15" s="9">
        <v>10289</v>
      </c>
      <c r="N15" s="9">
        <v>13631</v>
      </c>
      <c r="O15" s="9">
        <v>14989</v>
      </c>
      <c r="P15" s="9">
        <v>16372</v>
      </c>
    </row>
    <row r="16" spans="3:16">
      <c r="C16" t="s">
        <v>47</v>
      </c>
      <c r="F16" s="9">
        <v>4016</v>
      </c>
      <c r="G16" s="9">
        <v>4557</v>
      </c>
      <c r="H16" s="9">
        <v>5428</v>
      </c>
      <c r="I16" s="9">
        <v>2271</v>
      </c>
      <c r="J16" s="9">
        <v>7012</v>
      </c>
      <c r="K16" s="9">
        <v>7628</v>
      </c>
      <c r="L16" s="9">
        <v>8524</v>
      </c>
      <c r="M16" s="9">
        <v>9267</v>
      </c>
      <c r="N16" s="9">
        <v>11526</v>
      </c>
      <c r="O16" s="9">
        <v>12158</v>
      </c>
      <c r="P16" s="9">
        <v>12576</v>
      </c>
    </row>
    <row r="17" spans="3:16">
      <c r="C17" t="s">
        <v>48</v>
      </c>
      <c r="F17" s="9">
        <v>4767</v>
      </c>
      <c r="G17" s="9">
        <v>5090</v>
      </c>
      <c r="H17" s="9">
        <v>5659</v>
      </c>
      <c r="I17" s="9">
        <v>5542</v>
      </c>
      <c r="J17" s="9">
        <v>5134</v>
      </c>
      <c r="K17" s="9">
        <v>6124</v>
      </c>
      <c r="L17" s="9">
        <v>6409</v>
      </c>
      <c r="M17" s="9">
        <v>6943</v>
      </c>
      <c r="N17" s="9">
        <v>7605</v>
      </c>
      <c r="O17" s="9">
        <v>7900</v>
      </c>
      <c r="P17" s="9">
        <v>7594</v>
      </c>
    </row>
    <row r="18" spans="3:16">
      <c r="C18" t="s">
        <v>49</v>
      </c>
      <c r="F18" s="9">
        <v>0</v>
      </c>
      <c r="G18" s="9">
        <v>0</v>
      </c>
      <c r="H18" s="9">
        <v>0</v>
      </c>
      <c r="I18" s="9">
        <v>0</v>
      </c>
      <c r="J18" s="9">
        <v>0</v>
      </c>
      <c r="K18" s="9">
        <v>0</v>
      </c>
      <c r="L18" s="9">
        <v>0</v>
      </c>
      <c r="M18" s="9">
        <v>7143</v>
      </c>
      <c r="N18" s="9">
        <v>4687</v>
      </c>
      <c r="O18" s="9">
        <v>5437</v>
      </c>
      <c r="P18" s="9">
        <v>6481</v>
      </c>
    </row>
    <row r="19" spans="3:16">
      <c r="C19" t="s">
        <v>50</v>
      </c>
      <c r="F19" s="9">
        <f>1883+3073</f>
        <v>4956</v>
      </c>
      <c r="G19" s="9">
        <v>11602</v>
      </c>
      <c r="H19" s="9">
        <v>7888</v>
      </c>
      <c r="I19" s="9">
        <v>5062</v>
      </c>
      <c r="J19" s="9">
        <v>5846</v>
      </c>
      <c r="K19" s="9">
        <v>6095</v>
      </c>
      <c r="L19" s="9">
        <v>6457</v>
      </c>
      <c r="M19" s="9">
        <v>3754</v>
      </c>
      <c r="N19" s="9">
        <v>7306</v>
      </c>
      <c r="O19" s="9">
        <v>5521</v>
      </c>
      <c r="P19" s="9">
        <v>4706</v>
      </c>
    </row>
    <row r="20" spans="3:16">
      <c r="C20" t="s">
        <v>51</v>
      </c>
      <c r="F20" s="9">
        <v>6217</v>
      </c>
      <c r="G20" s="9">
        <v>6234</v>
      </c>
      <c r="H20" s="9">
        <v>2499</v>
      </c>
      <c r="I20" s="9">
        <v>2611</v>
      </c>
      <c r="J20" s="9">
        <v>2793</v>
      </c>
      <c r="K20" s="9">
        <v>3070</v>
      </c>
      <c r="L20" s="9">
        <v>3768</v>
      </c>
      <c r="M20" s="9">
        <v>373</v>
      </c>
      <c r="N20" s="9">
        <v>233</v>
      </c>
      <c r="O20" s="9">
        <v>119</v>
      </c>
      <c r="P20" s="9">
        <v>45</v>
      </c>
    </row>
    <row r="21" spans="2:16">
      <c r="B21" t="s">
        <v>40</v>
      </c>
      <c r="F21" s="14">
        <f t="shared" ref="F21:P21" si="1">SUM(F11:F20)</f>
        <v>86833</v>
      </c>
      <c r="G21" s="14">
        <f t="shared" si="1"/>
        <v>93580</v>
      </c>
      <c r="H21" s="14">
        <f t="shared" si="1"/>
        <v>91154</v>
      </c>
      <c r="I21" s="14">
        <f t="shared" si="1"/>
        <v>96571</v>
      </c>
      <c r="J21" s="14">
        <f t="shared" si="1"/>
        <v>110360</v>
      </c>
      <c r="K21" s="14">
        <f t="shared" si="1"/>
        <v>125843</v>
      </c>
      <c r="L21" s="14">
        <f t="shared" si="1"/>
        <v>143015</v>
      </c>
      <c r="M21" s="14">
        <f t="shared" si="1"/>
        <v>168088</v>
      </c>
      <c r="N21" s="14">
        <f t="shared" si="1"/>
        <v>198270</v>
      </c>
      <c r="O21" s="14">
        <f t="shared" si="1"/>
        <v>211915</v>
      </c>
      <c r="P21" s="14">
        <f t="shared" si="1"/>
        <v>245122</v>
      </c>
    </row>
    <row r="23" ht="15.75" spans="2:2">
      <c r="B23" s="13" t="s">
        <v>52</v>
      </c>
    </row>
    <row r="24" spans="3:18">
      <c r="C24" t="s">
        <v>53</v>
      </c>
      <c r="D24"/>
      <c r="F24" s="9">
        <v>26976</v>
      </c>
      <c r="G24" s="9">
        <v>26430</v>
      </c>
      <c r="H24" s="9">
        <v>25792</v>
      </c>
      <c r="I24" s="9">
        <v>29870</v>
      </c>
      <c r="J24" s="9">
        <v>35865</v>
      </c>
      <c r="K24" s="9">
        <v>41160</v>
      </c>
      <c r="L24" s="9">
        <v>46398</v>
      </c>
      <c r="M24" s="9">
        <v>53915</v>
      </c>
      <c r="N24" s="9">
        <v>63364</v>
      </c>
      <c r="O24" s="9">
        <v>69274</v>
      </c>
      <c r="P24" s="9">
        <v>77728</v>
      </c>
      <c r="R24" s="67"/>
    </row>
    <row r="25" spans="3:18">
      <c r="C25" t="s">
        <v>54</v>
      </c>
      <c r="D25"/>
      <c r="F25" s="9">
        <v>21735</v>
      </c>
      <c r="G25" s="9">
        <v>23715</v>
      </c>
      <c r="H25" s="9">
        <v>24952</v>
      </c>
      <c r="I25" s="9">
        <v>27407</v>
      </c>
      <c r="J25" s="9">
        <v>32219</v>
      </c>
      <c r="K25" s="9">
        <v>38985</v>
      </c>
      <c r="L25" s="9">
        <v>48366</v>
      </c>
      <c r="M25" s="9">
        <v>59728</v>
      </c>
      <c r="N25" s="9">
        <v>74965</v>
      </c>
      <c r="O25" s="9">
        <v>87907</v>
      </c>
      <c r="P25" s="9">
        <v>105362</v>
      </c>
      <c r="R25" s="67"/>
    </row>
    <row r="26" spans="3:18">
      <c r="C26" t="s">
        <v>55</v>
      </c>
      <c r="D26"/>
      <c r="F26" s="9">
        <f>38460-338</f>
        <v>38122</v>
      </c>
      <c r="G26" s="9">
        <v>43435</v>
      </c>
      <c r="H26" s="9">
        <v>40410</v>
      </c>
      <c r="I26" s="9">
        <v>39294</v>
      </c>
      <c r="J26" s="9">
        <v>42276</v>
      </c>
      <c r="K26" s="9">
        <v>45698</v>
      </c>
      <c r="L26" s="9">
        <v>48251</v>
      </c>
      <c r="M26" s="9">
        <v>54445</v>
      </c>
      <c r="N26" s="9">
        <v>59941</v>
      </c>
      <c r="O26" s="9">
        <v>54734</v>
      </c>
      <c r="P26" s="9">
        <v>62032</v>
      </c>
      <c r="R26" s="68"/>
    </row>
    <row r="27" spans="2:18">
      <c r="B27" t="s">
        <v>40</v>
      </c>
      <c r="F27" s="14">
        <f t="shared" ref="F27:P27" si="2">SUM(F24:F26)</f>
        <v>86833</v>
      </c>
      <c r="G27" s="14">
        <f t="shared" si="2"/>
        <v>93580</v>
      </c>
      <c r="H27" s="14">
        <f t="shared" si="2"/>
        <v>91154</v>
      </c>
      <c r="I27" s="14">
        <f t="shared" si="2"/>
        <v>96571</v>
      </c>
      <c r="J27" s="14">
        <f t="shared" si="2"/>
        <v>110360</v>
      </c>
      <c r="K27" s="14">
        <f t="shared" si="2"/>
        <v>125843</v>
      </c>
      <c r="L27" s="14">
        <f t="shared" si="2"/>
        <v>143015</v>
      </c>
      <c r="M27" s="14">
        <f t="shared" si="2"/>
        <v>168088</v>
      </c>
      <c r="N27" s="14">
        <f t="shared" si="2"/>
        <v>198270</v>
      </c>
      <c r="O27" s="14">
        <f t="shared" si="2"/>
        <v>211915</v>
      </c>
      <c r="P27" s="14">
        <f t="shared" si="2"/>
        <v>245122</v>
      </c>
      <c r="R27" s="69"/>
    </row>
    <row r="29" ht="15.75" spans="2:2">
      <c r="B29" s="13" t="s">
        <v>56</v>
      </c>
    </row>
    <row r="30" spans="3:22">
      <c r="C30" t="s">
        <v>53</v>
      </c>
      <c r="F30" s="9">
        <v>14173</v>
      </c>
      <c r="G30" s="9">
        <v>13274</v>
      </c>
      <c r="H30" s="9">
        <v>11756</v>
      </c>
      <c r="I30" s="9">
        <v>11389</v>
      </c>
      <c r="J30" s="9">
        <v>12924</v>
      </c>
      <c r="K30" s="9">
        <v>16219</v>
      </c>
      <c r="L30" s="9">
        <v>18724</v>
      </c>
      <c r="M30" s="9">
        <v>24351</v>
      </c>
      <c r="N30" s="9">
        <v>29690</v>
      </c>
      <c r="O30" s="9">
        <v>34189</v>
      </c>
      <c r="P30" s="9">
        <v>40540</v>
      </c>
      <c r="R30" s="65"/>
      <c r="S30" s="66"/>
      <c r="T30" s="66"/>
      <c r="U30" s="66"/>
      <c r="V30" s="65"/>
    </row>
    <row r="31" spans="3:22">
      <c r="C31" t="s">
        <v>54</v>
      </c>
      <c r="F31" s="9">
        <v>8446</v>
      </c>
      <c r="G31" s="9">
        <v>9803</v>
      </c>
      <c r="H31" s="9">
        <v>9249</v>
      </c>
      <c r="I31" s="9">
        <v>9127</v>
      </c>
      <c r="J31" s="9">
        <v>11524</v>
      </c>
      <c r="K31" s="9">
        <v>13920</v>
      </c>
      <c r="L31" s="9">
        <v>18324</v>
      </c>
      <c r="M31" s="9">
        <v>26471</v>
      </c>
      <c r="N31" s="9">
        <v>33203</v>
      </c>
      <c r="O31" s="9">
        <v>37884</v>
      </c>
      <c r="P31" s="9">
        <v>49584</v>
      </c>
      <c r="R31" s="65"/>
      <c r="S31" s="66"/>
      <c r="T31" s="66"/>
      <c r="U31" s="66"/>
      <c r="V31" s="65"/>
    </row>
    <row r="32" spans="3:16">
      <c r="C32" t="s">
        <v>55</v>
      </c>
      <c r="F32" s="9">
        <v>5605</v>
      </c>
      <c r="G32" s="9">
        <v>5095</v>
      </c>
      <c r="H32" s="9">
        <v>6183</v>
      </c>
      <c r="I32" s="9">
        <v>8815</v>
      </c>
      <c r="J32" s="9">
        <v>10610</v>
      </c>
      <c r="K32" s="9">
        <v>12820</v>
      </c>
      <c r="L32" s="9">
        <v>15911</v>
      </c>
      <c r="M32" s="9">
        <v>19094</v>
      </c>
      <c r="N32" s="9">
        <v>20490</v>
      </c>
      <c r="O32" s="9">
        <v>16450</v>
      </c>
      <c r="P32" s="9">
        <v>19309</v>
      </c>
    </row>
    <row r="33" spans="3:16">
      <c r="C33" t="s">
        <v>57</v>
      </c>
      <c r="F33" s="9">
        <v>-465</v>
      </c>
      <c r="G33" s="9">
        <v>-10011</v>
      </c>
      <c r="H33" s="9">
        <v>-1110</v>
      </c>
      <c r="I33" s="9">
        <v>-306</v>
      </c>
      <c r="J33" s="9">
        <v>0</v>
      </c>
      <c r="K33" s="9">
        <v>0</v>
      </c>
      <c r="L33" s="9">
        <v>0</v>
      </c>
      <c r="M33" s="9">
        <v>0</v>
      </c>
      <c r="N33" s="9">
        <v>0</v>
      </c>
      <c r="O33" s="9">
        <v>0</v>
      </c>
      <c r="P33" s="9">
        <v>0</v>
      </c>
    </row>
    <row r="34" spans="2:16">
      <c r="B34" t="s">
        <v>58</v>
      </c>
      <c r="F34" s="14">
        <f>SUM(F30:F33)</f>
        <v>27759</v>
      </c>
      <c r="G34" s="14">
        <f t="shared" ref="G34:P34" si="3">SUM(G30:G33)</f>
        <v>18161</v>
      </c>
      <c r="H34" s="14">
        <f t="shared" si="3"/>
        <v>26078</v>
      </c>
      <c r="I34" s="14">
        <f t="shared" si="3"/>
        <v>29025</v>
      </c>
      <c r="J34" s="14">
        <f t="shared" si="3"/>
        <v>35058</v>
      </c>
      <c r="K34" s="14">
        <f t="shared" si="3"/>
        <v>42959</v>
      </c>
      <c r="L34" s="14">
        <f t="shared" si="3"/>
        <v>52959</v>
      </c>
      <c r="M34" s="14">
        <f t="shared" si="3"/>
        <v>69916</v>
      </c>
      <c r="N34" s="14">
        <f t="shared" si="3"/>
        <v>83383</v>
      </c>
      <c r="O34" s="14">
        <f t="shared" si="3"/>
        <v>88523</v>
      </c>
      <c r="P34" s="14">
        <f t="shared" si="3"/>
        <v>109433</v>
      </c>
    </row>
    <row r="37" customFormat="1" ht="15.75" spans="3:22">
      <c r="C37" s="20" t="s">
        <v>59</v>
      </c>
      <c r="D37" s="19"/>
      <c r="E37" s="8"/>
      <c r="F37" s="9"/>
      <c r="G37" s="9"/>
      <c r="H37" s="9"/>
      <c r="I37" s="9"/>
      <c r="J37" s="9"/>
      <c r="K37" s="9"/>
      <c r="L37" s="9"/>
      <c r="M37" s="9"/>
      <c r="N37" s="9"/>
      <c r="O37" s="9"/>
      <c r="P37" s="9"/>
      <c r="Q37" s="8"/>
      <c r="R37" s="9"/>
      <c r="S37" s="61"/>
      <c r="T37" s="61"/>
      <c r="U37" s="61"/>
      <c r="V37" s="9"/>
    </row>
    <row r="38" s="7" customFormat="1" spans="3:22">
      <c r="C38" s="23" t="s">
        <v>60</v>
      </c>
      <c r="D38" s="23"/>
      <c r="E38" s="24"/>
      <c r="F38" s="24">
        <f>F6/F$8*100</f>
        <v>50.0662190641807</v>
      </c>
      <c r="G38" s="24">
        <f t="shared" ref="G38:P38" si="4">G6/G$8*100</f>
        <v>45.8869416541996</v>
      </c>
      <c r="H38" s="24">
        <f t="shared" si="4"/>
        <v>50.9204203874761</v>
      </c>
      <c r="I38" s="24">
        <f t="shared" si="4"/>
        <v>52.8916548446221</v>
      </c>
      <c r="J38" s="24">
        <f t="shared" si="4"/>
        <v>50.6759695541863</v>
      </c>
      <c r="K38" s="24">
        <f t="shared" si="4"/>
        <v>51.0151538027542</v>
      </c>
      <c r="L38" s="24">
        <f t="shared" si="4"/>
        <v>51.1554732021117</v>
      </c>
      <c r="M38" s="24">
        <f t="shared" si="4"/>
        <v>49.9458616914949</v>
      </c>
      <c r="N38" s="24">
        <f t="shared" si="4"/>
        <v>50.5462248449085</v>
      </c>
      <c r="O38" s="24">
        <f t="shared" si="4"/>
        <v>50.371139371918</v>
      </c>
      <c r="P38" s="24">
        <f t="shared" si="4"/>
        <v>50.8742585324859</v>
      </c>
      <c r="Q38" s="24"/>
      <c r="R38" s="70">
        <f>AVERAGEIF(E38:Q38,"&lt;&gt;0")</f>
        <v>50.3953924500307</v>
      </c>
      <c r="S38" s="24"/>
      <c r="T38" s="24"/>
      <c r="U38" s="24"/>
      <c r="V38" s="24"/>
    </row>
    <row r="39" s="7" customFormat="1" spans="3:22">
      <c r="C39" s="23" t="s">
        <v>61</v>
      </c>
      <c r="D39" s="23"/>
      <c r="E39" s="24"/>
      <c r="F39" s="24">
        <f t="shared" ref="F39:P39" si="5">F7/F$8*100</f>
        <v>49.9337809358193</v>
      </c>
      <c r="G39" s="24">
        <f t="shared" si="5"/>
        <v>54.1130583458004</v>
      </c>
      <c r="H39" s="24">
        <f t="shared" si="5"/>
        <v>49.0795796125239</v>
      </c>
      <c r="I39" s="24">
        <f t="shared" si="5"/>
        <v>47.1083451553779</v>
      </c>
      <c r="J39" s="24">
        <f t="shared" si="5"/>
        <v>49.3240304458137</v>
      </c>
      <c r="K39" s="24">
        <f t="shared" si="5"/>
        <v>48.9848461972458</v>
      </c>
      <c r="L39" s="24">
        <f t="shared" si="5"/>
        <v>48.8445267978883</v>
      </c>
      <c r="M39" s="24">
        <f t="shared" si="5"/>
        <v>50.0541383085051</v>
      </c>
      <c r="N39" s="24">
        <f t="shared" si="5"/>
        <v>49.4537751550915</v>
      </c>
      <c r="O39" s="24">
        <f t="shared" si="5"/>
        <v>49.628860628082</v>
      </c>
      <c r="P39" s="24">
        <f t="shared" si="5"/>
        <v>49.1257414675141</v>
      </c>
      <c r="Q39" s="24"/>
      <c r="R39" s="70">
        <f>AVERAGEIF(E39:Q39,"&lt;&gt;0")</f>
        <v>49.6046075499693</v>
      </c>
      <c r="S39" s="24"/>
      <c r="T39" s="24"/>
      <c r="U39" s="24"/>
      <c r="V39" s="24"/>
    </row>
    <row r="40" spans="6:16">
      <c r="F40" s="62">
        <f t="shared" ref="F40:P40" si="6">SUM(F38:F39)</f>
        <v>100</v>
      </c>
      <c r="G40" s="62">
        <f t="shared" si="6"/>
        <v>100</v>
      </c>
      <c r="H40" s="62">
        <f t="shared" si="6"/>
        <v>100</v>
      </c>
      <c r="I40" s="62">
        <f t="shared" si="6"/>
        <v>100</v>
      </c>
      <c r="J40" s="62">
        <f t="shared" si="6"/>
        <v>100</v>
      </c>
      <c r="K40" s="62">
        <f t="shared" si="6"/>
        <v>100</v>
      </c>
      <c r="L40" s="62">
        <f t="shared" si="6"/>
        <v>100</v>
      </c>
      <c r="M40" s="62">
        <f t="shared" si="6"/>
        <v>100</v>
      </c>
      <c r="N40" s="62">
        <f t="shared" si="6"/>
        <v>100</v>
      </c>
      <c r="O40" s="62">
        <f t="shared" si="6"/>
        <v>100</v>
      </c>
      <c r="P40" s="62">
        <f t="shared" si="6"/>
        <v>100</v>
      </c>
    </row>
    <row r="41" spans="6:16">
      <c r="F41" s="24"/>
      <c r="G41" s="24"/>
      <c r="H41" s="24"/>
      <c r="I41" s="24"/>
      <c r="J41" s="24"/>
      <c r="K41" s="24"/>
      <c r="L41" s="24"/>
      <c r="M41" s="24"/>
      <c r="N41" s="24"/>
      <c r="O41" s="24"/>
      <c r="P41" s="24"/>
    </row>
    <row r="42" ht="15.75" spans="3:16">
      <c r="C42" s="20" t="s">
        <v>62</v>
      </c>
      <c r="D42" s="19"/>
      <c r="F42" s="24"/>
      <c r="G42" s="24"/>
      <c r="H42" s="24"/>
      <c r="I42" s="24"/>
      <c r="J42" s="24"/>
      <c r="K42" s="24"/>
      <c r="L42" s="24"/>
      <c r="M42" s="24"/>
      <c r="N42" s="24"/>
      <c r="O42" s="24"/>
      <c r="P42" s="24"/>
    </row>
    <row r="43" spans="3:18">
      <c r="C43" s="63" t="s">
        <v>63</v>
      </c>
      <c r="D43" s="19"/>
      <c r="F43" s="24">
        <f t="shared" ref="F43:P43" si="7">IFERROR(F11/F$21*100,0)</f>
        <v>19.6411502539357</v>
      </c>
      <c r="G43" s="24">
        <f t="shared" si="7"/>
        <v>19.8888651421244</v>
      </c>
      <c r="H43" s="24">
        <f t="shared" si="7"/>
        <v>26.1842596046251</v>
      </c>
      <c r="I43" s="24">
        <f t="shared" si="7"/>
        <v>22.4177030371437</v>
      </c>
      <c r="J43" s="24">
        <f t="shared" si="7"/>
        <v>23.6761507792679</v>
      </c>
      <c r="K43" s="24">
        <f t="shared" si="7"/>
        <v>25.9227767933059</v>
      </c>
      <c r="L43" s="24">
        <f t="shared" si="7"/>
        <v>28.9333286718176</v>
      </c>
      <c r="M43" s="24">
        <f t="shared" si="7"/>
        <v>31.286587977726</v>
      </c>
      <c r="N43" s="24">
        <f t="shared" si="7"/>
        <v>33.9688303828113</v>
      </c>
      <c r="O43" s="24">
        <f t="shared" si="7"/>
        <v>37.7368284453673</v>
      </c>
      <c r="P43" s="24">
        <f t="shared" si="7"/>
        <v>39.8683104739681</v>
      </c>
      <c r="R43" s="70">
        <f>AVERAGEIF(E43:Q43,"&lt;&gt;0")</f>
        <v>28.1386174147357</v>
      </c>
    </row>
    <row r="44" spans="3:18">
      <c r="C44" s="63" t="s">
        <v>64</v>
      </c>
      <c r="D44" s="19"/>
      <c r="F44" s="24">
        <f t="shared" ref="F44:O44" si="8">IFERROR(F12/F$21*100,0)</f>
        <v>28.0112399663722</v>
      </c>
      <c r="G44" s="24">
        <f t="shared" si="8"/>
        <v>25.152810429579</v>
      </c>
      <c r="H44" s="24">
        <f t="shared" si="8"/>
        <v>20.9118634398929</v>
      </c>
      <c r="I44" s="24">
        <f t="shared" si="8"/>
        <v>26.481034679148</v>
      </c>
      <c r="J44" s="24">
        <f t="shared" si="8"/>
        <v>25.6578470460312</v>
      </c>
      <c r="K44" s="24">
        <f t="shared" si="8"/>
        <v>25.2449480702145</v>
      </c>
      <c r="L44" s="24">
        <f t="shared" si="8"/>
        <v>24.6939132258854</v>
      </c>
      <c r="M44" s="24">
        <f t="shared" si="8"/>
        <v>23.7209080957594</v>
      </c>
      <c r="N44" s="24">
        <f t="shared" si="8"/>
        <v>22.6811923135119</v>
      </c>
      <c r="O44" s="24">
        <f t="shared" si="8"/>
        <v>23.0507514805464</v>
      </c>
      <c r="P44" s="24">
        <f t="shared" ref="P44:P52" si="9">IFERROR(P12/P$21*100,0)</f>
        <v>22.3868114653112</v>
      </c>
      <c r="R44" s="70">
        <f t="shared" ref="R44:R52" si="10">AVERAGEIF(E44:Q44,"&lt;&gt;0")</f>
        <v>24.3630291102047</v>
      </c>
    </row>
    <row r="45" spans="3:18">
      <c r="C45" s="63" t="s">
        <v>65</v>
      </c>
      <c r="D45" s="19"/>
      <c r="F45" s="24">
        <f t="shared" ref="F45:O45" si="11">IFERROR(F13/F$21*100,0)</f>
        <v>19.4119747100757</v>
      </c>
      <c r="G45" s="24">
        <f t="shared" si="11"/>
        <v>15.843128873691</v>
      </c>
      <c r="H45" s="24">
        <f t="shared" si="11"/>
        <v>19.2509379731005</v>
      </c>
      <c r="I45" s="24">
        <f t="shared" si="11"/>
        <v>19.2531919520353</v>
      </c>
      <c r="J45" s="24">
        <f t="shared" si="11"/>
        <v>17.6857557085901</v>
      </c>
      <c r="K45" s="24">
        <f t="shared" si="11"/>
        <v>16.2067020017005</v>
      </c>
      <c r="L45" s="24">
        <f t="shared" si="11"/>
        <v>15.0403803796805</v>
      </c>
      <c r="M45" s="24">
        <f t="shared" si="11"/>
        <v>13.37870639189</v>
      </c>
      <c r="N45" s="24">
        <f t="shared" si="11"/>
        <v>12.473899228325</v>
      </c>
      <c r="O45" s="24">
        <f t="shared" si="11"/>
        <v>10.1488804473492</v>
      </c>
      <c r="P45" s="24">
        <f t="shared" si="9"/>
        <v>9.48262497858209</v>
      </c>
      <c r="R45" s="70">
        <f t="shared" si="10"/>
        <v>15.28874387682</v>
      </c>
    </row>
    <row r="46" spans="3:18">
      <c r="C46" s="63" t="s">
        <v>66</v>
      </c>
      <c r="D46" s="19"/>
      <c r="F46" s="24">
        <f t="shared" ref="F46:O46" si="12">IFERROR(F14/F$21*100,0)</f>
        <v>9.95358907327859</v>
      </c>
      <c r="G46" s="24">
        <f t="shared" si="12"/>
        <v>9.74674075657192</v>
      </c>
      <c r="H46" s="24">
        <f t="shared" si="12"/>
        <v>10.0950040590649</v>
      </c>
      <c r="I46" s="24">
        <f t="shared" si="12"/>
        <v>9.37237887150387</v>
      </c>
      <c r="J46" s="24">
        <f t="shared" si="12"/>
        <v>9.38111634650236</v>
      </c>
      <c r="K46" s="24">
        <f t="shared" si="12"/>
        <v>9.04778175981183</v>
      </c>
      <c r="L46" s="24">
        <f t="shared" si="12"/>
        <v>8.09355661993497</v>
      </c>
      <c r="M46" s="24">
        <f t="shared" si="12"/>
        <v>9.14401979915283</v>
      </c>
      <c r="N46" s="24">
        <f t="shared" si="12"/>
        <v>8.18580723256166</v>
      </c>
      <c r="O46" s="24">
        <f t="shared" si="12"/>
        <v>7.29820918764599</v>
      </c>
      <c r="P46" s="24">
        <f t="shared" si="9"/>
        <v>8.77236641345942</v>
      </c>
      <c r="R46" s="70">
        <f t="shared" si="10"/>
        <v>9.00823364722621</v>
      </c>
    </row>
    <row r="47" spans="3:18">
      <c r="C47" s="63" t="s">
        <v>67</v>
      </c>
      <c r="D47" s="19"/>
      <c r="F47" s="24">
        <f t="shared" ref="F47:O47" si="13">IFERROR(F15/F$21*100,0)</f>
        <v>0</v>
      </c>
      <c r="G47" s="24">
        <f t="shared" si="13"/>
        <v>0</v>
      </c>
      <c r="H47" s="24">
        <f t="shared" si="13"/>
        <v>0</v>
      </c>
      <c r="I47" s="24">
        <f t="shared" si="13"/>
        <v>6.43982147849769</v>
      </c>
      <c r="J47" s="24">
        <f t="shared" si="13"/>
        <v>4.76531351939108</v>
      </c>
      <c r="K47" s="24">
        <f t="shared" si="13"/>
        <v>5.36700491882743</v>
      </c>
      <c r="L47" s="24">
        <f t="shared" si="13"/>
        <v>5.64765933643324</v>
      </c>
      <c r="M47" s="24">
        <f t="shared" si="13"/>
        <v>6.1211984198753</v>
      </c>
      <c r="N47" s="24">
        <f t="shared" si="13"/>
        <v>6.8749684773289</v>
      </c>
      <c r="O47" s="24">
        <f t="shared" si="13"/>
        <v>7.07311893919732</v>
      </c>
      <c r="P47" s="24">
        <f t="shared" si="9"/>
        <v>6.67912304893074</v>
      </c>
      <c r="R47" s="70">
        <f t="shared" si="10"/>
        <v>6.12102601731021</v>
      </c>
    </row>
    <row r="48" spans="3:18">
      <c r="C48" s="63" t="s">
        <v>68</v>
      </c>
      <c r="D48" s="19"/>
      <c r="F48" s="24">
        <f t="shared" ref="F48:O48" si="14">IFERROR(F16/F$21*100,0)</f>
        <v>4.62496976955766</v>
      </c>
      <c r="G48" s="24">
        <f t="shared" si="14"/>
        <v>4.86963026287668</v>
      </c>
      <c r="H48" s="24">
        <f t="shared" si="14"/>
        <v>5.95475788226518</v>
      </c>
      <c r="I48" s="24">
        <f t="shared" si="14"/>
        <v>2.35163765519669</v>
      </c>
      <c r="J48" s="24">
        <f t="shared" si="14"/>
        <v>6.35375135918811</v>
      </c>
      <c r="K48" s="24">
        <f t="shared" si="14"/>
        <v>6.0615211016902</v>
      </c>
      <c r="L48" s="24">
        <f t="shared" si="14"/>
        <v>5.96021396357026</v>
      </c>
      <c r="M48" s="24">
        <f t="shared" si="14"/>
        <v>5.51318357051069</v>
      </c>
      <c r="N48" s="24">
        <f t="shared" si="14"/>
        <v>5.81328491451052</v>
      </c>
      <c r="O48" s="24">
        <f t="shared" si="14"/>
        <v>5.73720595521789</v>
      </c>
      <c r="P48" s="24">
        <f t="shared" si="9"/>
        <v>5.13050644169026</v>
      </c>
      <c r="R48" s="70">
        <f t="shared" si="10"/>
        <v>5.3064238978431</v>
      </c>
    </row>
    <row r="49" spans="3:18">
      <c r="C49" s="63" t="s">
        <v>69</v>
      </c>
      <c r="D49" s="19"/>
      <c r="F49" s="24">
        <f t="shared" ref="F49:O49" si="15">IFERROR(F17/F$21*100,0)</f>
        <v>5.48984832955213</v>
      </c>
      <c r="G49" s="24">
        <f t="shared" si="15"/>
        <v>5.43919640948921</v>
      </c>
      <c r="H49" s="24">
        <f t="shared" si="15"/>
        <v>6.20817517607565</v>
      </c>
      <c r="I49" s="24">
        <f t="shared" si="15"/>
        <v>5.738782864421</v>
      </c>
      <c r="J49" s="24">
        <f t="shared" si="15"/>
        <v>4.65204784342153</v>
      </c>
      <c r="K49" s="24">
        <f t="shared" si="15"/>
        <v>4.86638112568836</v>
      </c>
      <c r="L49" s="24">
        <f t="shared" si="15"/>
        <v>4.48134811033808</v>
      </c>
      <c r="M49" s="24">
        <f t="shared" si="15"/>
        <v>4.13057446099662</v>
      </c>
      <c r="N49" s="24">
        <f t="shared" si="15"/>
        <v>3.83567862006355</v>
      </c>
      <c r="O49" s="24">
        <f t="shared" si="15"/>
        <v>3.72790977514569</v>
      </c>
      <c r="P49" s="24">
        <f t="shared" si="9"/>
        <v>3.09804913471659</v>
      </c>
      <c r="R49" s="70">
        <f t="shared" si="10"/>
        <v>4.69709016817349</v>
      </c>
    </row>
    <row r="50" spans="3:18">
      <c r="C50" s="63" t="s">
        <v>70</v>
      </c>
      <c r="D50" s="19"/>
      <c r="F50" s="24">
        <f t="shared" ref="F50:O50" si="16">IFERROR(F18/F$21*100,0)</f>
        <v>0</v>
      </c>
      <c r="G50" s="24">
        <f t="shared" si="16"/>
        <v>0</v>
      </c>
      <c r="H50" s="24">
        <f t="shared" si="16"/>
        <v>0</v>
      </c>
      <c r="I50" s="24">
        <f t="shared" si="16"/>
        <v>0</v>
      </c>
      <c r="J50" s="24">
        <f t="shared" si="16"/>
        <v>0</v>
      </c>
      <c r="K50" s="24">
        <f t="shared" si="16"/>
        <v>0</v>
      </c>
      <c r="L50" s="24">
        <f t="shared" si="16"/>
        <v>0</v>
      </c>
      <c r="M50" s="24">
        <f t="shared" si="16"/>
        <v>4.24955975441435</v>
      </c>
      <c r="N50" s="24">
        <f t="shared" si="16"/>
        <v>2.36394815151057</v>
      </c>
      <c r="O50" s="24">
        <f t="shared" si="16"/>
        <v>2.5656513224642</v>
      </c>
      <c r="P50" s="24">
        <f t="shared" si="9"/>
        <v>2.64398952358417</v>
      </c>
      <c r="R50" s="70">
        <f t="shared" si="10"/>
        <v>2.95578718799332</v>
      </c>
    </row>
    <row r="51" spans="3:18">
      <c r="C51" s="63" t="s">
        <v>71</v>
      </c>
      <c r="D51" s="19"/>
      <c r="F51" s="24">
        <f t="shared" ref="F51:O51" si="17">IFERROR(F19/F$21*100,0)</f>
        <v>5.70750751442424</v>
      </c>
      <c r="G51" s="24">
        <f t="shared" si="17"/>
        <v>12.3979482795469</v>
      </c>
      <c r="H51" s="24">
        <f t="shared" si="17"/>
        <v>8.65348750466244</v>
      </c>
      <c r="I51" s="24">
        <f t="shared" si="17"/>
        <v>5.24173923848775</v>
      </c>
      <c r="J51" s="24">
        <f t="shared" si="17"/>
        <v>5.29720913374411</v>
      </c>
      <c r="K51" s="24">
        <f t="shared" si="17"/>
        <v>4.84333653838513</v>
      </c>
      <c r="L51" s="24">
        <f t="shared" si="17"/>
        <v>4.51491102331923</v>
      </c>
      <c r="M51" s="24">
        <f t="shared" si="17"/>
        <v>2.23335395745086</v>
      </c>
      <c r="N51" s="24">
        <f t="shared" si="17"/>
        <v>3.68487416149695</v>
      </c>
      <c r="O51" s="24">
        <f t="shared" si="17"/>
        <v>2.6052898567822</v>
      </c>
      <c r="P51" s="24">
        <f t="shared" si="9"/>
        <v>1.91986031445566</v>
      </c>
      <c r="R51" s="70">
        <f t="shared" si="10"/>
        <v>5.19086522934141</v>
      </c>
    </row>
    <row r="52" spans="3:18">
      <c r="C52" s="63" t="s">
        <v>72</v>
      </c>
      <c r="D52" s="19"/>
      <c r="F52" s="24">
        <f t="shared" ref="F52:O52" si="18">IFERROR(F20/F$21*100,0)</f>
        <v>7.15972038280377</v>
      </c>
      <c r="G52" s="24">
        <f t="shared" si="18"/>
        <v>6.66167984612097</v>
      </c>
      <c r="H52" s="24">
        <f t="shared" si="18"/>
        <v>2.74151436031332</v>
      </c>
      <c r="I52" s="24">
        <f t="shared" si="18"/>
        <v>2.70371022356608</v>
      </c>
      <c r="J52" s="24">
        <f t="shared" si="18"/>
        <v>2.53080826386372</v>
      </c>
      <c r="K52" s="24">
        <f t="shared" si="18"/>
        <v>2.4395476903761</v>
      </c>
      <c r="L52" s="24">
        <f t="shared" si="18"/>
        <v>2.63468866902073</v>
      </c>
      <c r="M52" s="24">
        <f t="shared" si="18"/>
        <v>0.221907572224073</v>
      </c>
      <c r="N52" s="24">
        <f t="shared" si="18"/>
        <v>0.117516517879659</v>
      </c>
      <c r="O52" s="24">
        <f t="shared" si="18"/>
        <v>0.0561545902838402</v>
      </c>
      <c r="P52" s="24">
        <f t="shared" si="9"/>
        <v>0.0183582053018497</v>
      </c>
      <c r="R52" s="70">
        <f t="shared" si="10"/>
        <v>2.48050966561401</v>
      </c>
    </row>
    <row r="53" s="37" customFormat="1" spans="5:22">
      <c r="E53" s="61"/>
      <c r="F53" s="62">
        <f t="shared" ref="F53:P53" si="19">SUM(F43:F52)</f>
        <v>100</v>
      </c>
      <c r="G53" s="62">
        <f t="shared" si="19"/>
        <v>100</v>
      </c>
      <c r="H53" s="62">
        <f t="shared" si="19"/>
        <v>100</v>
      </c>
      <c r="I53" s="62">
        <f t="shared" si="19"/>
        <v>100</v>
      </c>
      <c r="J53" s="62">
        <f t="shared" si="19"/>
        <v>100</v>
      </c>
      <c r="K53" s="62">
        <f t="shared" si="19"/>
        <v>100</v>
      </c>
      <c r="L53" s="62">
        <f t="shared" si="19"/>
        <v>100</v>
      </c>
      <c r="M53" s="62">
        <f t="shared" si="19"/>
        <v>100</v>
      </c>
      <c r="N53" s="62">
        <f t="shared" si="19"/>
        <v>100</v>
      </c>
      <c r="O53" s="62">
        <f t="shared" si="19"/>
        <v>100</v>
      </c>
      <c r="P53" s="62">
        <f t="shared" si="19"/>
        <v>100</v>
      </c>
      <c r="Q53" s="61"/>
      <c r="R53" s="69"/>
      <c r="V53" s="61"/>
    </row>
    <row r="54" s="37" customFormat="1" spans="5:22">
      <c r="E54" s="61"/>
      <c r="F54" s="24"/>
      <c r="G54" s="24"/>
      <c r="H54" s="24"/>
      <c r="I54" s="24"/>
      <c r="J54" s="24"/>
      <c r="K54" s="24"/>
      <c r="L54" s="24"/>
      <c r="M54" s="24"/>
      <c r="N54" s="24"/>
      <c r="O54" s="24"/>
      <c r="P54" s="24"/>
      <c r="Q54" s="61"/>
      <c r="R54" s="61"/>
      <c r="V54" s="61"/>
    </row>
    <row r="55" s="37" customFormat="1" ht="15.75" spans="3:22">
      <c r="C55" s="20" t="s">
        <v>73</v>
      </c>
      <c r="D55" s="19"/>
      <c r="E55" s="61"/>
      <c r="F55" s="24"/>
      <c r="G55" s="24"/>
      <c r="H55" s="24"/>
      <c r="I55" s="24"/>
      <c r="J55" s="24"/>
      <c r="K55" s="24"/>
      <c r="L55" s="24"/>
      <c r="M55" s="24"/>
      <c r="N55" s="24"/>
      <c r="O55" s="24"/>
      <c r="P55" s="24"/>
      <c r="Q55" s="61"/>
      <c r="R55" s="61"/>
      <c r="V55" s="61"/>
    </row>
    <row r="56" s="37" customFormat="1" spans="3:22">
      <c r="C56" s="63" t="s">
        <v>74</v>
      </c>
      <c r="D56" s="64"/>
      <c r="E56" s="61"/>
      <c r="F56" s="24">
        <f t="shared" ref="F56:P56" si="20">IFERROR(F24/F$27*100,0)</f>
        <v>31.0665300058733</v>
      </c>
      <c r="G56" s="24">
        <f t="shared" si="20"/>
        <v>28.2432143620432</v>
      </c>
      <c r="H56" s="24">
        <f t="shared" si="20"/>
        <v>28.2949733418171</v>
      </c>
      <c r="I56" s="24">
        <f t="shared" si="20"/>
        <v>30.9306106388046</v>
      </c>
      <c r="J56" s="24">
        <f t="shared" si="20"/>
        <v>32.4981877491845</v>
      </c>
      <c r="K56" s="24">
        <f t="shared" si="20"/>
        <v>32.7074211517526</v>
      </c>
      <c r="L56" s="24">
        <f t="shared" si="20"/>
        <v>32.4427507604098</v>
      </c>
      <c r="M56" s="24">
        <f t="shared" si="20"/>
        <v>32.0754604730855</v>
      </c>
      <c r="N56" s="24">
        <f t="shared" si="20"/>
        <v>31.9584405104151</v>
      </c>
      <c r="O56" s="24">
        <f t="shared" si="20"/>
        <v>32.689521742208</v>
      </c>
      <c r="P56" s="24">
        <f t="shared" si="20"/>
        <v>31.7099240378261</v>
      </c>
      <c r="Q56" s="8"/>
      <c r="R56" s="70">
        <f t="shared" ref="R56:R58" si="21">AVERAGEIF(E56:Q56,"&lt;&gt;0")</f>
        <v>31.3288213430382</v>
      </c>
      <c r="V56" s="61"/>
    </row>
    <row r="57" s="37" customFormat="1" spans="3:22">
      <c r="C57" s="63" t="s">
        <v>75</v>
      </c>
      <c r="D57" s="64"/>
      <c r="E57" s="61"/>
      <c r="F57" s="24">
        <f t="shared" ref="F57:P57" si="22">IFERROR(F25/F$27*100,0)</f>
        <v>25.0308062602927</v>
      </c>
      <c r="G57" s="24">
        <f t="shared" si="22"/>
        <v>25.341953408848</v>
      </c>
      <c r="H57" s="24">
        <f t="shared" si="22"/>
        <v>27.3734559097791</v>
      </c>
      <c r="I57" s="24">
        <f t="shared" si="22"/>
        <v>28.3801555332346</v>
      </c>
      <c r="J57" s="24">
        <f t="shared" si="22"/>
        <v>29.1944545125045</v>
      </c>
      <c r="K57" s="24">
        <f t="shared" si="22"/>
        <v>30.9790771040106</v>
      </c>
      <c r="L57" s="24">
        <f t="shared" si="22"/>
        <v>33.8188301926371</v>
      </c>
      <c r="M57" s="24">
        <f t="shared" si="22"/>
        <v>35.533768026272</v>
      </c>
      <c r="N57" s="24">
        <f t="shared" si="22"/>
        <v>37.8095526302517</v>
      </c>
      <c r="O57" s="24">
        <f t="shared" si="22"/>
        <v>41.4821980511054</v>
      </c>
      <c r="P57" s="24">
        <f t="shared" si="22"/>
        <v>42.983493933633</v>
      </c>
      <c r="Q57" s="8"/>
      <c r="R57" s="70">
        <f t="shared" si="21"/>
        <v>32.5388859602335</v>
      </c>
      <c r="V57" s="61"/>
    </row>
    <row r="58" s="37" customFormat="1" spans="3:22">
      <c r="C58" s="63" t="s">
        <v>76</v>
      </c>
      <c r="D58" s="64"/>
      <c r="E58" s="61"/>
      <c r="F58" s="24">
        <f t="shared" ref="F58:P58" si="23">IFERROR(F26/F$27*100,0)</f>
        <v>43.9026637338339</v>
      </c>
      <c r="G58" s="24">
        <f t="shared" si="23"/>
        <v>46.4148322291088</v>
      </c>
      <c r="H58" s="24">
        <f t="shared" si="23"/>
        <v>44.3315707484038</v>
      </c>
      <c r="I58" s="24">
        <f t="shared" si="23"/>
        <v>40.6892338279608</v>
      </c>
      <c r="J58" s="24">
        <f t="shared" si="23"/>
        <v>38.307357738311</v>
      </c>
      <c r="K58" s="24">
        <f t="shared" si="23"/>
        <v>36.3135017442369</v>
      </c>
      <c r="L58" s="24">
        <f t="shared" si="23"/>
        <v>33.7384190469531</v>
      </c>
      <c r="M58" s="24">
        <f t="shared" si="23"/>
        <v>32.3907715006425</v>
      </c>
      <c r="N58" s="24">
        <f t="shared" si="23"/>
        <v>30.2320068593332</v>
      </c>
      <c r="O58" s="24">
        <f t="shared" si="23"/>
        <v>25.8282802066866</v>
      </c>
      <c r="P58" s="24">
        <f t="shared" si="23"/>
        <v>25.3065820285409</v>
      </c>
      <c r="Q58" s="8"/>
      <c r="R58" s="70">
        <f t="shared" si="21"/>
        <v>36.1322926967283</v>
      </c>
      <c r="V58" s="61"/>
    </row>
    <row r="59" s="37" customFormat="1" spans="5:22">
      <c r="E59" s="61"/>
      <c r="F59" s="62">
        <f>SUM(F56:F58)</f>
        <v>100</v>
      </c>
      <c r="G59" s="62">
        <f t="shared" ref="G59:P59" si="24">SUM(G56:G58)</f>
        <v>100</v>
      </c>
      <c r="H59" s="62">
        <f t="shared" si="24"/>
        <v>100</v>
      </c>
      <c r="I59" s="62">
        <f t="shared" si="24"/>
        <v>100</v>
      </c>
      <c r="J59" s="62">
        <f t="shared" si="24"/>
        <v>100</v>
      </c>
      <c r="K59" s="62">
        <f t="shared" si="24"/>
        <v>100</v>
      </c>
      <c r="L59" s="62">
        <f t="shared" si="24"/>
        <v>100</v>
      </c>
      <c r="M59" s="62">
        <f t="shared" si="24"/>
        <v>100</v>
      </c>
      <c r="N59" s="62">
        <f t="shared" si="24"/>
        <v>100</v>
      </c>
      <c r="O59" s="62">
        <f t="shared" si="24"/>
        <v>100</v>
      </c>
      <c r="P59" s="62">
        <f t="shared" si="24"/>
        <v>100</v>
      </c>
      <c r="Q59" s="61"/>
      <c r="R59" s="61"/>
      <c r="V59" s="61"/>
    </row>
    <row r="60" s="37" customFormat="1" spans="5:22">
      <c r="E60" s="61"/>
      <c r="F60" s="24"/>
      <c r="G60" s="24"/>
      <c r="H60" s="24"/>
      <c r="I60" s="24"/>
      <c r="J60" s="24"/>
      <c r="K60" s="24"/>
      <c r="L60" s="24"/>
      <c r="M60" s="24"/>
      <c r="N60" s="24"/>
      <c r="O60" s="24"/>
      <c r="P60" s="24"/>
      <c r="Q60" s="61"/>
      <c r="R60" s="61"/>
      <c r="V60" s="61"/>
    </row>
    <row r="61" ht="15.75" spans="3:4">
      <c r="C61" s="20" t="s">
        <v>77</v>
      </c>
      <c r="D61" s="19"/>
    </row>
    <row r="62" s="37" customFormat="1" spans="3:22">
      <c r="C62" s="64" t="s">
        <v>42</v>
      </c>
      <c r="D62" s="64"/>
      <c r="E62" s="61"/>
      <c r="F62" s="61"/>
      <c r="G62" s="24">
        <f t="shared" ref="G62:P62" si="25">IFERROR((G11-F11)/ABS(F11)*100,0)</f>
        <v>9.12928759894459</v>
      </c>
      <c r="H62" s="24">
        <f t="shared" si="25"/>
        <v>28.2398452611219</v>
      </c>
      <c r="I62" s="24">
        <f t="shared" si="25"/>
        <v>-9.29696664990783</v>
      </c>
      <c r="J62" s="24">
        <f t="shared" si="25"/>
        <v>20.6937964802069</v>
      </c>
      <c r="K62" s="24">
        <f t="shared" si="25"/>
        <v>24.8497837651651</v>
      </c>
      <c r="L62" s="24">
        <f t="shared" si="25"/>
        <v>26.8438477101343</v>
      </c>
      <c r="M62" s="24">
        <f t="shared" si="25"/>
        <v>27.0910365161072</v>
      </c>
      <c r="N62" s="24">
        <f t="shared" si="25"/>
        <v>28.0686075034703</v>
      </c>
      <c r="O62" s="24">
        <f t="shared" si="25"/>
        <v>18.7379361544172</v>
      </c>
      <c r="P62" s="24">
        <f t="shared" si="25"/>
        <v>22.2033262473428</v>
      </c>
      <c r="Q62" s="61"/>
      <c r="R62" s="70">
        <f>AVERAGEIF(E62:Q62,"&lt;&gt;0")</f>
        <v>19.6560500587002</v>
      </c>
      <c r="S62" s="70"/>
      <c r="U62" s="70" cm="1">
        <f t="array" ref="U62">_xlfn.STDEV.S(IF(E62:Q62&lt;&gt;0,E62:Q62))</f>
        <v>11.7183112289319</v>
      </c>
      <c r="V62" s="70"/>
    </row>
    <row r="63" s="37" customFormat="1" spans="3:22">
      <c r="C63" s="64" t="s">
        <v>43</v>
      </c>
      <c r="D63" s="64"/>
      <c r="E63" s="61"/>
      <c r="F63" s="61"/>
      <c r="G63" s="24">
        <f t="shared" ref="G63:O63" si="26">IFERROR((G12-F12)/ABS(F12)*100,0)</f>
        <v>-3.22739793610985</v>
      </c>
      <c r="H63" s="24">
        <f t="shared" si="26"/>
        <v>-19.0160591384145</v>
      </c>
      <c r="I63" s="24">
        <f t="shared" si="26"/>
        <v>34.156961494072</v>
      </c>
      <c r="J63" s="24">
        <f t="shared" si="26"/>
        <v>10.7261564931764</v>
      </c>
      <c r="K63" s="24">
        <f t="shared" si="26"/>
        <v>12.1945189998587</v>
      </c>
      <c r="L63" s="24">
        <f t="shared" si="26"/>
        <v>11.1649721426548</v>
      </c>
      <c r="M63" s="24">
        <f t="shared" si="26"/>
        <v>12.9006682523502</v>
      </c>
      <c r="N63" s="24">
        <f t="shared" si="26"/>
        <v>12.7859149277689</v>
      </c>
      <c r="O63" s="24">
        <f t="shared" si="26"/>
        <v>8.62352679564154</v>
      </c>
      <c r="P63" s="24">
        <f t="shared" ref="P63:P71" si="27">IFERROR((P12-O12)/ABS(O12)*100,0)</f>
        <v>12.3382738290206</v>
      </c>
      <c r="Q63" s="61"/>
      <c r="R63" s="70">
        <f t="shared" ref="R63:R71" si="28">AVERAGEIF(E63:Q63,"&lt;&gt;0")</f>
        <v>9.26475358600188</v>
      </c>
      <c r="S63" s="70"/>
      <c r="U63" s="70" cm="1">
        <f t="array" ref="U63">_xlfn.STDEV.S(IF(E63:Q63&lt;&gt;0,E63:Q63))</f>
        <v>13.4382804706907</v>
      </c>
      <c r="V63" s="70"/>
    </row>
    <row r="64" s="37" customFormat="1" spans="3:22">
      <c r="C64" s="64" t="s">
        <v>44</v>
      </c>
      <c r="D64" s="64"/>
      <c r="E64" s="61"/>
      <c r="F64" s="61"/>
      <c r="G64" s="24">
        <f t="shared" ref="G64:O64" si="29">IFERROR((G13-F13)/ABS(F13)*100,0)</f>
        <v>-12.0431893687708</v>
      </c>
      <c r="H64" s="24">
        <f t="shared" si="29"/>
        <v>18.3596384729529</v>
      </c>
      <c r="I64" s="24">
        <f t="shared" si="29"/>
        <v>5.95509459767495</v>
      </c>
      <c r="J64" s="24">
        <f t="shared" si="29"/>
        <v>4.97499058785565</v>
      </c>
      <c r="K64" s="24">
        <f t="shared" si="29"/>
        <v>4.49328824674659</v>
      </c>
      <c r="L64" s="24">
        <f t="shared" si="29"/>
        <v>5.46702623191959</v>
      </c>
      <c r="M64" s="24">
        <f t="shared" si="29"/>
        <v>4.54672245467225</v>
      </c>
      <c r="N64" s="24">
        <f t="shared" si="29"/>
        <v>9.9786552828175</v>
      </c>
      <c r="O64" s="24">
        <f t="shared" si="29"/>
        <v>-13.0397865114022</v>
      </c>
      <c r="P64" s="24">
        <f t="shared" si="27"/>
        <v>8.07644022876273</v>
      </c>
      <c r="Q64" s="61"/>
      <c r="R64" s="70">
        <f t="shared" si="28"/>
        <v>3.67688802232292</v>
      </c>
      <c r="S64" s="70"/>
      <c r="U64" s="70" cm="1">
        <f t="array" ref="U64">_xlfn.STDEV.S(IF(E64:Q64&lt;&gt;0,E64:Q64))</f>
        <v>9.5027630088002</v>
      </c>
      <c r="V64" s="70"/>
    </row>
    <row r="65" s="37" customFormat="1" spans="3:22">
      <c r="C65" s="64" t="s">
        <v>45</v>
      </c>
      <c r="D65" s="64"/>
      <c r="E65" s="61"/>
      <c r="F65" s="61"/>
      <c r="G65" s="24">
        <f t="shared" ref="G65:O65" si="30">IFERROR((G14-F14)/ABS(F14)*100,0)</f>
        <v>5.53048709938679</v>
      </c>
      <c r="H65" s="24">
        <f t="shared" si="30"/>
        <v>0.88806051967986</v>
      </c>
      <c r="I65" s="24">
        <f t="shared" si="30"/>
        <v>-1.64094762008259</v>
      </c>
      <c r="J65" s="24">
        <f t="shared" si="30"/>
        <v>14.385150812065</v>
      </c>
      <c r="K65" s="24">
        <f t="shared" si="30"/>
        <v>9.97778421713513</v>
      </c>
      <c r="L65" s="24">
        <f t="shared" si="30"/>
        <v>1.65993325136132</v>
      </c>
      <c r="M65" s="24">
        <f t="shared" si="30"/>
        <v>32.7861771058315</v>
      </c>
      <c r="N65" s="24">
        <f t="shared" si="30"/>
        <v>5.59531554977228</v>
      </c>
      <c r="O65" s="24">
        <f t="shared" si="30"/>
        <v>-4.70733210104744</v>
      </c>
      <c r="P65" s="24">
        <f t="shared" si="27"/>
        <v>39.0340100866417</v>
      </c>
      <c r="Q65" s="61"/>
      <c r="R65" s="70">
        <f t="shared" si="28"/>
        <v>10.3508638920743</v>
      </c>
      <c r="S65" s="70"/>
      <c r="U65" s="70" cm="1">
        <f t="array" ref="U65">_xlfn.STDEV.S(IF(E65:Q65&lt;&gt;0,E65:Q65))</f>
        <v>14.6209963919893</v>
      </c>
      <c r="V65" s="70"/>
    </row>
    <row r="66" s="37" customFormat="1" spans="3:22">
      <c r="C66" s="64" t="s">
        <v>46</v>
      </c>
      <c r="D66" s="64"/>
      <c r="E66" s="61"/>
      <c r="F66" s="61"/>
      <c r="G66" s="24">
        <f t="shared" ref="G66:O66" si="31">IFERROR((G15-F15)/ABS(F15)*100,0)</f>
        <v>0</v>
      </c>
      <c r="H66" s="24">
        <f t="shared" si="31"/>
        <v>0</v>
      </c>
      <c r="I66" s="24">
        <f t="shared" si="31"/>
        <v>0</v>
      </c>
      <c r="J66" s="24">
        <f t="shared" si="31"/>
        <v>-15.4365653642065</v>
      </c>
      <c r="K66" s="24">
        <f t="shared" si="31"/>
        <v>28.4274576915763</v>
      </c>
      <c r="L66" s="24">
        <f t="shared" si="31"/>
        <v>19.5883920639621</v>
      </c>
      <c r="M66" s="24">
        <f t="shared" si="31"/>
        <v>27.3864058437539</v>
      </c>
      <c r="N66" s="24">
        <f t="shared" si="31"/>
        <v>32.4812906988045</v>
      </c>
      <c r="O66" s="24">
        <f t="shared" si="31"/>
        <v>9.96258528354486</v>
      </c>
      <c r="P66" s="24">
        <f t="shared" si="27"/>
        <v>9.22676629528321</v>
      </c>
      <c r="Q66" s="61"/>
      <c r="R66" s="70">
        <f t="shared" si="28"/>
        <v>15.9480475018169</v>
      </c>
      <c r="S66" s="70"/>
      <c r="U66" s="70" cm="1">
        <f t="array" ref="U66">_xlfn.STDEV.S(IF(E66:Q66&lt;&gt;0,E66:Q66))</f>
        <v>16.5285977584233</v>
      </c>
      <c r="V66" s="70"/>
    </row>
    <row r="67" s="37" customFormat="1" spans="3:22">
      <c r="C67" s="64" t="s">
        <v>47</v>
      </c>
      <c r="D67" s="64"/>
      <c r="E67" s="61"/>
      <c r="F67" s="61"/>
      <c r="G67" s="24">
        <f t="shared" ref="G67:O67" si="32">IFERROR((G16-F16)/ABS(F16)*100,0)</f>
        <v>13.4711155378486</v>
      </c>
      <c r="H67" s="24">
        <f t="shared" si="32"/>
        <v>19.1134518323458</v>
      </c>
      <c r="I67" s="24">
        <f t="shared" si="32"/>
        <v>-58.1613854089904</v>
      </c>
      <c r="J67" s="24">
        <f t="shared" si="32"/>
        <v>208.762659621312</v>
      </c>
      <c r="K67" s="24">
        <f t="shared" si="32"/>
        <v>8.78494010268112</v>
      </c>
      <c r="L67" s="24">
        <f t="shared" si="32"/>
        <v>11.7461982170949</v>
      </c>
      <c r="M67" s="24">
        <f t="shared" si="32"/>
        <v>8.71656499296105</v>
      </c>
      <c r="N67" s="24">
        <f t="shared" si="32"/>
        <v>24.3768209776627</v>
      </c>
      <c r="O67" s="24">
        <f t="shared" si="32"/>
        <v>5.48325524900226</v>
      </c>
      <c r="P67" s="24">
        <f t="shared" si="27"/>
        <v>3.43806547129462</v>
      </c>
      <c r="Q67" s="61"/>
      <c r="R67" s="70">
        <f t="shared" si="28"/>
        <v>24.5731686593213</v>
      </c>
      <c r="S67" s="70"/>
      <c r="U67" s="70" cm="1">
        <f t="array" ref="U67">_xlfn.STDEV.S(IF(E67:Q67&lt;&gt;0,E67:Q67))</f>
        <v>68.63771740391</v>
      </c>
      <c r="V67" s="70"/>
    </row>
    <row r="68" s="37" customFormat="1" spans="3:22">
      <c r="C68" s="64" t="s">
        <v>48</v>
      </c>
      <c r="D68" s="64"/>
      <c r="E68" s="61"/>
      <c r="F68" s="61"/>
      <c r="G68" s="24">
        <f t="shared" ref="G68:O68" si="33">IFERROR((G17-F17)/ABS(F17)*100,0)</f>
        <v>6.77574994755611</v>
      </c>
      <c r="H68" s="24">
        <f t="shared" si="33"/>
        <v>11.1787819253438</v>
      </c>
      <c r="I68" s="24">
        <f t="shared" si="33"/>
        <v>-2.06750309241916</v>
      </c>
      <c r="J68" s="24">
        <f t="shared" si="33"/>
        <v>-7.36196319018405</v>
      </c>
      <c r="K68" s="24">
        <f t="shared" si="33"/>
        <v>19.2832099727308</v>
      </c>
      <c r="L68" s="24">
        <f t="shared" si="33"/>
        <v>4.65382103200522</v>
      </c>
      <c r="M68" s="24">
        <f t="shared" si="33"/>
        <v>8.33203307848338</v>
      </c>
      <c r="N68" s="24">
        <f t="shared" si="33"/>
        <v>9.53478323491286</v>
      </c>
      <c r="O68" s="24">
        <f t="shared" si="33"/>
        <v>3.87902695595003</v>
      </c>
      <c r="P68" s="24">
        <f t="shared" si="27"/>
        <v>-3.87341772151899</v>
      </c>
      <c r="Q68" s="61"/>
      <c r="R68" s="70">
        <f t="shared" si="28"/>
        <v>5.033452214286</v>
      </c>
      <c r="S68" s="70"/>
      <c r="U68" s="70" cm="1">
        <f t="array" ref="U68">_xlfn.STDEV.S(IF(E68:Q68&lt;&gt;0,E68:Q68))</f>
        <v>7.88724660012338</v>
      </c>
      <c r="V68" s="70"/>
    </row>
    <row r="69" s="37" customFormat="1" spans="3:22">
      <c r="C69" s="64" t="s">
        <v>49</v>
      </c>
      <c r="D69" s="64"/>
      <c r="E69" s="61"/>
      <c r="F69" s="61"/>
      <c r="G69" s="24">
        <f t="shared" ref="G69:O69" si="34">IFERROR((G18-F18)/ABS(F18)*100,0)</f>
        <v>0</v>
      </c>
      <c r="H69" s="24">
        <f t="shared" si="34"/>
        <v>0</v>
      </c>
      <c r="I69" s="24">
        <f t="shared" si="34"/>
        <v>0</v>
      </c>
      <c r="J69" s="24">
        <f t="shared" si="34"/>
        <v>0</v>
      </c>
      <c r="K69" s="24">
        <f t="shared" si="34"/>
        <v>0</v>
      </c>
      <c r="L69" s="24">
        <f t="shared" si="34"/>
        <v>0</v>
      </c>
      <c r="M69" s="24">
        <f t="shared" si="34"/>
        <v>0</v>
      </c>
      <c r="N69" s="24">
        <f t="shared" si="34"/>
        <v>-34.3833123337533</v>
      </c>
      <c r="O69" s="24">
        <f t="shared" si="34"/>
        <v>16.0017068487305</v>
      </c>
      <c r="P69" s="24">
        <f t="shared" si="27"/>
        <v>19.2017656796027</v>
      </c>
      <c r="Q69" s="61"/>
      <c r="R69" s="70">
        <f t="shared" si="28"/>
        <v>0.273386731526643</v>
      </c>
      <c r="S69" s="70"/>
      <c r="U69" s="70" cm="1">
        <f t="array" ref="U69">_xlfn.STDEV.S(IF(E69:Q69&lt;&gt;0,E69:Q69))</f>
        <v>30.056200470224</v>
      </c>
      <c r="V69" s="70"/>
    </row>
    <row r="70" s="37" customFormat="1" spans="3:22">
      <c r="C70" s="64" t="s">
        <v>50</v>
      </c>
      <c r="D70" s="64"/>
      <c r="E70" s="61"/>
      <c r="F70" s="61"/>
      <c r="G70" s="24">
        <f t="shared" ref="G70:O70" si="35">IFERROR((G19-F19)/ABS(F19)*100,0)</f>
        <v>134.10008071025</v>
      </c>
      <c r="H70" s="24">
        <f t="shared" si="35"/>
        <v>-32.0117221168764</v>
      </c>
      <c r="I70" s="24">
        <f t="shared" si="35"/>
        <v>-35.8265720081136</v>
      </c>
      <c r="J70" s="24">
        <f t="shared" si="35"/>
        <v>15.4879494271039</v>
      </c>
      <c r="K70" s="24">
        <f t="shared" si="35"/>
        <v>4.25932261375299</v>
      </c>
      <c r="L70" s="24">
        <f t="shared" si="35"/>
        <v>5.93929450369155</v>
      </c>
      <c r="M70" s="24">
        <f t="shared" si="35"/>
        <v>-41.8615456094161</v>
      </c>
      <c r="N70" s="24">
        <f t="shared" si="35"/>
        <v>94.6190729888119</v>
      </c>
      <c r="O70" s="24">
        <f t="shared" si="35"/>
        <v>-24.4319737202299</v>
      </c>
      <c r="P70" s="24">
        <f t="shared" si="27"/>
        <v>-14.7618185111393</v>
      </c>
      <c r="Q70" s="61"/>
      <c r="R70" s="70">
        <f t="shared" si="28"/>
        <v>10.5512088277835</v>
      </c>
      <c r="S70" s="70"/>
      <c r="U70" s="70" cm="1">
        <f t="array" ref="U70">_xlfn.STDEV.S(IF(E70:Q70&lt;&gt;0,E70:Q70))</f>
        <v>58.6809920099446</v>
      </c>
      <c r="V70" s="70"/>
    </row>
    <row r="71" s="37" customFormat="1" spans="3:22">
      <c r="C71" s="64" t="s">
        <v>51</v>
      </c>
      <c r="D71" s="64"/>
      <c r="E71" s="61"/>
      <c r="F71" s="61"/>
      <c r="G71" s="24">
        <f t="shared" ref="G71:O71" si="36">IFERROR((G20-F20)/ABS(F20)*100,0)</f>
        <v>0.273443783175165</v>
      </c>
      <c r="H71" s="24">
        <f t="shared" si="36"/>
        <v>-59.9133782483157</v>
      </c>
      <c r="I71" s="24">
        <f t="shared" si="36"/>
        <v>4.48179271708683</v>
      </c>
      <c r="J71" s="24">
        <f t="shared" si="36"/>
        <v>6.97050938337802</v>
      </c>
      <c r="K71" s="24">
        <f t="shared" si="36"/>
        <v>9.91765127103473</v>
      </c>
      <c r="L71" s="24">
        <f t="shared" si="36"/>
        <v>22.7361563517915</v>
      </c>
      <c r="M71" s="24">
        <f t="shared" si="36"/>
        <v>-90.1008492569002</v>
      </c>
      <c r="N71" s="24">
        <f t="shared" si="36"/>
        <v>-37.5335120643432</v>
      </c>
      <c r="O71" s="24">
        <f t="shared" si="36"/>
        <v>-48.9270386266094</v>
      </c>
      <c r="P71" s="24">
        <f t="shared" si="27"/>
        <v>-62.1848739495798</v>
      </c>
      <c r="Q71" s="61"/>
      <c r="R71" s="70">
        <f t="shared" si="28"/>
        <v>-25.4280098639282</v>
      </c>
      <c r="S71" s="70"/>
      <c r="U71" s="70" cm="1">
        <f t="array" ref="U71">_xlfn.STDEV.S(IF(E71:Q71&lt;&gt;0,E71:Q71))</f>
        <v>38.8666653934125</v>
      </c>
      <c r="V71" s="70"/>
    </row>
    <row r="72" spans="3:21">
      <c r="C72" s="8"/>
      <c r="D72" s="8"/>
      <c r="G72" s="71"/>
      <c r="H72" s="71"/>
      <c r="I72" s="71"/>
      <c r="J72" s="71"/>
      <c r="K72" s="71"/>
      <c r="L72" s="71"/>
      <c r="M72" s="71"/>
      <c r="N72" s="71"/>
      <c r="O72" s="71"/>
      <c r="P72" s="71"/>
      <c r="R72" s="67"/>
      <c r="U72" s="70"/>
    </row>
    <row r="73" ht="15.75" spans="3:21">
      <c r="C73" s="20" t="s">
        <v>78</v>
      </c>
      <c r="D73" s="19"/>
      <c r="G73" s="71"/>
      <c r="H73" s="71"/>
      <c r="I73" s="71"/>
      <c r="J73" s="71"/>
      <c r="K73" s="71"/>
      <c r="L73" s="71"/>
      <c r="M73" s="71"/>
      <c r="N73" s="71"/>
      <c r="O73" s="71"/>
      <c r="P73" s="71"/>
      <c r="R73" s="67"/>
      <c r="U73" s="70"/>
    </row>
    <row r="74" spans="3:21">
      <c r="C74" s="19" t="s">
        <v>53</v>
      </c>
      <c r="D74" s="19"/>
      <c r="G74" s="71">
        <f t="shared" ref="G74:P74" si="37">(G24-F24)/ABS(F24)*100</f>
        <v>-2.02402135231317</v>
      </c>
      <c r="H74" s="71">
        <f t="shared" si="37"/>
        <v>-2.41392357169883</v>
      </c>
      <c r="I74" s="71">
        <f t="shared" si="37"/>
        <v>15.8111042183623</v>
      </c>
      <c r="J74" s="71">
        <f t="shared" si="37"/>
        <v>20.0703046534985</v>
      </c>
      <c r="K74" s="71">
        <f t="shared" si="37"/>
        <v>14.7636971978252</v>
      </c>
      <c r="L74" s="71">
        <f t="shared" si="37"/>
        <v>12.7259475218659</v>
      </c>
      <c r="M74" s="71">
        <f t="shared" si="37"/>
        <v>16.2011293590241</v>
      </c>
      <c r="N74" s="71">
        <f t="shared" si="37"/>
        <v>17.525734953167</v>
      </c>
      <c r="O74" s="71">
        <f t="shared" si="37"/>
        <v>9.32706268543653</v>
      </c>
      <c r="P74" s="71">
        <f t="shared" si="37"/>
        <v>12.2037127926783</v>
      </c>
      <c r="R74" s="67">
        <f>AVERAGE(E74:Q74)</f>
        <v>11.4190748457846</v>
      </c>
      <c r="U74" s="70"/>
    </row>
    <row r="75" spans="3:21">
      <c r="C75" s="19" t="s">
        <v>54</v>
      </c>
      <c r="D75" s="19"/>
      <c r="G75" s="71">
        <f t="shared" ref="G75:P75" si="38">(G25-F25)/ABS(F25)*100</f>
        <v>9.10973084886128</v>
      </c>
      <c r="H75" s="71">
        <f t="shared" si="38"/>
        <v>5.21610794855577</v>
      </c>
      <c r="I75" s="71">
        <f t="shared" si="38"/>
        <v>9.83889067008657</v>
      </c>
      <c r="J75" s="71">
        <f t="shared" si="38"/>
        <v>17.5575582880286</v>
      </c>
      <c r="K75" s="71">
        <f t="shared" si="38"/>
        <v>21.0000310375865</v>
      </c>
      <c r="L75" s="71">
        <f t="shared" si="38"/>
        <v>24.0631011927664</v>
      </c>
      <c r="M75" s="71">
        <f t="shared" si="38"/>
        <v>23.4917090518133</v>
      </c>
      <c r="N75" s="71">
        <f t="shared" si="38"/>
        <v>25.5106482721672</v>
      </c>
      <c r="O75" s="71">
        <f t="shared" si="38"/>
        <v>17.2640565597279</v>
      </c>
      <c r="P75" s="71">
        <f t="shared" si="38"/>
        <v>19.8562116782509</v>
      </c>
      <c r="R75" s="67">
        <f t="shared" ref="R75:R83" si="39">AVERAGE(E75:Q75)</f>
        <v>17.2908045547844</v>
      </c>
      <c r="U75" s="70"/>
    </row>
    <row r="76" spans="3:21">
      <c r="C76" s="19" t="s">
        <v>55</v>
      </c>
      <c r="D76" s="19"/>
      <c r="G76" s="71">
        <f t="shared" ref="G76:P76" si="40">(G26-F26)/ABS(F26)*100</f>
        <v>13.9368343738524</v>
      </c>
      <c r="H76" s="71">
        <f t="shared" si="40"/>
        <v>-6.96442960745942</v>
      </c>
      <c r="I76" s="71">
        <f t="shared" si="40"/>
        <v>-2.76169265033408</v>
      </c>
      <c r="J76" s="71">
        <f t="shared" si="40"/>
        <v>7.58894487708047</v>
      </c>
      <c r="K76" s="71">
        <f t="shared" si="40"/>
        <v>8.09442709811714</v>
      </c>
      <c r="L76" s="71">
        <f t="shared" si="40"/>
        <v>5.58667775394984</v>
      </c>
      <c r="M76" s="71">
        <f t="shared" si="40"/>
        <v>12.8370396468467</v>
      </c>
      <c r="N76" s="71">
        <f t="shared" si="40"/>
        <v>10.0945908715217</v>
      </c>
      <c r="O76" s="71">
        <f t="shared" si="40"/>
        <v>-8.68687542750371</v>
      </c>
      <c r="P76" s="71">
        <f t="shared" si="40"/>
        <v>13.3335769357255</v>
      </c>
      <c r="R76" s="67">
        <f t="shared" si="39"/>
        <v>5.30590938717965</v>
      </c>
      <c r="U76" s="70"/>
    </row>
    <row r="77" s="55" customFormat="1" spans="3:22">
      <c r="C77" s="72" t="s">
        <v>79</v>
      </c>
      <c r="D77" s="72"/>
      <c r="E77" s="8"/>
      <c r="F77" s="9"/>
      <c r="G77" s="73">
        <f t="shared" ref="G77:P77" si="41">(G27-F27)/ABS(F27)*100</f>
        <v>7.77008740916472</v>
      </c>
      <c r="H77" s="73">
        <f t="shared" si="41"/>
        <v>-2.59243428082924</v>
      </c>
      <c r="I77" s="73">
        <f t="shared" si="41"/>
        <v>5.94269039208373</v>
      </c>
      <c r="J77" s="73">
        <f t="shared" si="41"/>
        <v>14.2786136624867</v>
      </c>
      <c r="K77" s="73">
        <f t="shared" si="41"/>
        <v>14.0295396882929</v>
      </c>
      <c r="L77" s="73">
        <f t="shared" si="41"/>
        <v>13.6455742472764</v>
      </c>
      <c r="M77" s="73">
        <f t="shared" si="41"/>
        <v>17.5317274411775</v>
      </c>
      <c r="N77" s="73">
        <f t="shared" si="41"/>
        <v>17.9560706296702</v>
      </c>
      <c r="O77" s="73">
        <f t="shared" si="41"/>
        <v>6.88202955565643</v>
      </c>
      <c r="P77" s="73">
        <f t="shared" si="41"/>
        <v>15.6699620130713</v>
      </c>
      <c r="Q77" s="8"/>
      <c r="R77" s="73">
        <f t="shared" si="39"/>
        <v>11.111386075805</v>
      </c>
      <c r="S77" s="83">
        <f>MEDIAN(E77:Q77)</f>
        <v>13.8375569677846</v>
      </c>
      <c r="T77" s="83"/>
      <c r="U77" s="83">
        <f>_xlfn.STDEV.S(E77:Q77)</f>
        <v>6.47544083474059</v>
      </c>
      <c r="V77" s="73">
        <f>R77-U77</f>
        <v>4.63594524106446</v>
      </c>
    </row>
    <row r="78" s="56" customFormat="1" spans="5:22">
      <c r="E78" s="71"/>
      <c r="F78" s="71"/>
      <c r="G78" s="71"/>
      <c r="H78" s="71"/>
      <c r="I78" s="71"/>
      <c r="J78" s="71"/>
      <c r="K78" s="71"/>
      <c r="L78" s="71"/>
      <c r="M78" s="71"/>
      <c r="N78" s="71"/>
      <c r="O78" s="71"/>
      <c r="P78" s="71"/>
      <c r="Q78" s="8"/>
      <c r="R78" s="71"/>
      <c r="S78" s="61"/>
      <c r="T78" s="61"/>
      <c r="U78" s="61"/>
      <c r="V78" s="71"/>
    </row>
    <row r="79" ht="15.75" spans="3:4">
      <c r="C79" s="20" t="s">
        <v>80</v>
      </c>
      <c r="D79" s="19"/>
    </row>
    <row r="80" spans="3:21">
      <c r="C80" s="19" t="s">
        <v>81</v>
      </c>
      <c r="D80" s="19"/>
      <c r="F80" s="71"/>
      <c r="G80" s="71">
        <f t="shared" ref="F80:P80" si="42">(G30-F30)/ABS(F30)*100</f>
        <v>-6.34304663797361</v>
      </c>
      <c r="H80" s="71">
        <f t="shared" si="42"/>
        <v>-11.435889709206</v>
      </c>
      <c r="I80" s="71">
        <f t="shared" si="42"/>
        <v>-3.12181013950323</v>
      </c>
      <c r="J80" s="71">
        <f t="shared" si="42"/>
        <v>13.4779172886118</v>
      </c>
      <c r="K80" s="71">
        <f t="shared" si="42"/>
        <v>25.495202723615</v>
      </c>
      <c r="L80" s="71">
        <f t="shared" si="42"/>
        <v>15.4448486343178</v>
      </c>
      <c r="M80" s="71">
        <f t="shared" si="42"/>
        <v>30.0523392437513</v>
      </c>
      <c r="N80" s="71">
        <f t="shared" si="42"/>
        <v>21.9251776107757</v>
      </c>
      <c r="O80" s="71">
        <f t="shared" si="42"/>
        <v>15.1532502526103</v>
      </c>
      <c r="P80" s="71">
        <f t="shared" si="42"/>
        <v>18.5761502237562</v>
      </c>
      <c r="R80" s="67">
        <f t="shared" si="39"/>
        <v>11.9224139490755</v>
      </c>
      <c r="U80" s="70">
        <f t="shared" ref="U80:U83" si="43">_xlfn.STDEV.S(E80:Q80)</f>
        <v>14.0952071926826</v>
      </c>
    </row>
    <row r="81" spans="3:21">
      <c r="C81" s="19" t="s">
        <v>82</v>
      </c>
      <c r="D81" s="19"/>
      <c r="F81" s="71"/>
      <c r="G81" s="71">
        <f t="shared" ref="G81:P81" si="44">(G31-F31)/ABS(F31)*100</f>
        <v>16.0667771726261</v>
      </c>
      <c r="H81" s="71">
        <f t="shared" si="44"/>
        <v>-5.65133122513516</v>
      </c>
      <c r="I81" s="71">
        <f t="shared" si="44"/>
        <v>-1.31906152016434</v>
      </c>
      <c r="J81" s="71">
        <f t="shared" si="44"/>
        <v>26.2627369343706</v>
      </c>
      <c r="K81" s="71">
        <f t="shared" si="44"/>
        <v>20.7913918778202</v>
      </c>
      <c r="L81" s="71">
        <f t="shared" si="44"/>
        <v>31.6379310344828</v>
      </c>
      <c r="M81" s="71">
        <f t="shared" si="44"/>
        <v>44.4608164156298</v>
      </c>
      <c r="N81" s="71">
        <f t="shared" si="44"/>
        <v>25.4316043972649</v>
      </c>
      <c r="O81" s="71">
        <f t="shared" si="44"/>
        <v>14.0981236635244</v>
      </c>
      <c r="P81" s="71">
        <f t="shared" si="44"/>
        <v>30.8837503959455</v>
      </c>
      <c r="R81" s="67">
        <f t="shared" si="39"/>
        <v>20.2662739146365</v>
      </c>
      <c r="U81" s="70">
        <f t="shared" si="43"/>
        <v>15.2157303412268</v>
      </c>
    </row>
    <row r="82" spans="3:21">
      <c r="C82" s="19" t="s">
        <v>83</v>
      </c>
      <c r="D82" s="19"/>
      <c r="F82" s="71"/>
      <c r="G82" s="71">
        <f t="shared" ref="G82:P82" si="45">(G32-F32)/ABS(F32)*100</f>
        <v>-9.09901873327386</v>
      </c>
      <c r="H82" s="71">
        <f t="shared" si="45"/>
        <v>21.3542688910697</v>
      </c>
      <c r="I82" s="71">
        <f t="shared" si="45"/>
        <v>42.5683325246644</v>
      </c>
      <c r="J82" s="71">
        <f t="shared" si="45"/>
        <v>20.3630175836642</v>
      </c>
      <c r="K82" s="71">
        <f t="shared" si="45"/>
        <v>20.8294062205467</v>
      </c>
      <c r="L82" s="71">
        <f t="shared" si="45"/>
        <v>24.1107644305772</v>
      </c>
      <c r="M82" s="71">
        <f t="shared" si="45"/>
        <v>20.0050279680724</v>
      </c>
      <c r="N82" s="71">
        <f t="shared" si="45"/>
        <v>7.31119723473342</v>
      </c>
      <c r="O82" s="71">
        <f t="shared" si="45"/>
        <v>-19.7169350902879</v>
      </c>
      <c r="P82" s="71">
        <f t="shared" si="45"/>
        <v>17.3799392097264</v>
      </c>
      <c r="R82" s="67">
        <f t="shared" si="39"/>
        <v>14.5106000239493</v>
      </c>
      <c r="U82" s="70">
        <f t="shared" si="43"/>
        <v>17.6999840567961</v>
      </c>
    </row>
    <row r="83" s="39" customFormat="1" spans="3:22">
      <c r="C83" s="74" t="s">
        <v>84</v>
      </c>
      <c r="D83" s="74"/>
      <c r="E83" s="75"/>
      <c r="F83" s="76"/>
      <c r="G83" s="77">
        <f t="shared" ref="G83:P83" si="46">(G34-F34)/ABS(F34)*100</f>
        <v>-34.5761734932815</v>
      </c>
      <c r="H83" s="77">
        <f t="shared" si="46"/>
        <v>43.5934144595562</v>
      </c>
      <c r="I83" s="77">
        <f t="shared" si="46"/>
        <v>11.3007132448807</v>
      </c>
      <c r="J83" s="77">
        <f t="shared" si="46"/>
        <v>20.7855297157623</v>
      </c>
      <c r="K83" s="77">
        <f t="shared" si="46"/>
        <v>22.5369387871527</v>
      </c>
      <c r="L83" s="77">
        <f t="shared" si="46"/>
        <v>23.2780092646477</v>
      </c>
      <c r="M83" s="77">
        <f t="shared" si="46"/>
        <v>32.0191091221511</v>
      </c>
      <c r="N83" s="77">
        <f t="shared" si="46"/>
        <v>19.2616854511128</v>
      </c>
      <c r="O83" s="77">
        <f t="shared" si="46"/>
        <v>6.16432606166725</v>
      </c>
      <c r="P83" s="77">
        <f t="shared" si="46"/>
        <v>23.6209798583419</v>
      </c>
      <c r="Q83" s="75"/>
      <c r="R83" s="73">
        <f t="shared" si="39"/>
        <v>16.7984532471991</v>
      </c>
      <c r="S83" s="83">
        <f>MEDIAN(E83:Q83)</f>
        <v>21.6612342514575</v>
      </c>
      <c r="T83" s="83"/>
      <c r="U83" s="83">
        <f t="shared" si="43"/>
        <v>20.7517774713453</v>
      </c>
      <c r="V83" s="80"/>
    </row>
    <row r="87" ht="15.75" spans="2:2">
      <c r="B87" s="13" t="s">
        <v>85</v>
      </c>
    </row>
    <row r="88" spans="2:2">
      <c r="B88" t="s">
        <v>86</v>
      </c>
    </row>
    <row r="89" spans="3:16">
      <c r="C89" t="s">
        <v>87</v>
      </c>
      <c r="F89" s="9">
        <v>72948</v>
      </c>
      <c r="G89" s="9">
        <v>75956</v>
      </c>
      <c r="H89" s="9">
        <v>67336</v>
      </c>
      <c r="I89" s="9">
        <v>63811</v>
      </c>
      <c r="J89" s="9">
        <v>64497</v>
      </c>
      <c r="K89" s="9">
        <v>66069</v>
      </c>
      <c r="L89" s="9">
        <v>68041</v>
      </c>
      <c r="M89" s="9">
        <v>71074</v>
      </c>
      <c r="N89" s="9">
        <v>72732</v>
      </c>
      <c r="O89" s="9">
        <v>64699</v>
      </c>
      <c r="P89" s="9">
        <v>64773</v>
      </c>
    </row>
    <row r="90" spans="3:16">
      <c r="C90" t="s">
        <v>88</v>
      </c>
      <c r="F90" s="9">
        <v>13885</v>
      </c>
      <c r="G90" s="9">
        <v>17624</v>
      </c>
      <c r="H90" s="9">
        <v>23818</v>
      </c>
      <c r="I90" s="9">
        <v>32760</v>
      </c>
      <c r="J90" s="9">
        <v>45863</v>
      </c>
      <c r="K90" s="9">
        <v>59774</v>
      </c>
      <c r="L90" s="9">
        <v>74974</v>
      </c>
      <c r="M90" s="9">
        <v>97014</v>
      </c>
      <c r="N90" s="9">
        <v>125538</v>
      </c>
      <c r="O90" s="9">
        <v>147216</v>
      </c>
      <c r="P90" s="9">
        <v>180349</v>
      </c>
    </row>
    <row r="91" spans="6:16">
      <c r="F91" s="14">
        <f>SUM(F89:F90)</f>
        <v>86833</v>
      </c>
      <c r="G91" s="14">
        <f t="shared" ref="G91:P91" si="47">SUM(G89:G90)</f>
        <v>93580</v>
      </c>
      <c r="H91" s="14">
        <f t="shared" si="47"/>
        <v>91154</v>
      </c>
      <c r="I91" s="14">
        <f t="shared" si="47"/>
        <v>96571</v>
      </c>
      <c r="J91" s="14">
        <f t="shared" si="47"/>
        <v>110360</v>
      </c>
      <c r="K91" s="14">
        <f t="shared" si="47"/>
        <v>125843</v>
      </c>
      <c r="L91" s="14">
        <f t="shared" si="47"/>
        <v>143015</v>
      </c>
      <c r="M91" s="14">
        <f t="shared" si="47"/>
        <v>168088</v>
      </c>
      <c r="N91" s="14">
        <f t="shared" si="47"/>
        <v>198270</v>
      </c>
      <c r="O91" s="14">
        <f t="shared" si="47"/>
        <v>211915</v>
      </c>
      <c r="P91" s="14">
        <f t="shared" si="47"/>
        <v>245122</v>
      </c>
    </row>
    <row r="92" spans="2:4">
      <c r="B92" t="s">
        <v>89</v>
      </c>
      <c r="D92"/>
    </row>
    <row r="93" spans="3:16">
      <c r="C93" t="s">
        <v>87</v>
      </c>
      <c r="F93" s="9">
        <v>16681</v>
      </c>
      <c r="G93" s="9">
        <v>21410</v>
      </c>
      <c r="H93" s="9">
        <v>17880</v>
      </c>
      <c r="I93" s="9">
        <v>15175</v>
      </c>
      <c r="J93" s="9">
        <v>15420</v>
      </c>
      <c r="K93" s="9">
        <v>16273</v>
      </c>
      <c r="L93" s="9">
        <v>16017</v>
      </c>
      <c r="M93" s="9">
        <v>18219</v>
      </c>
      <c r="N93" s="9">
        <v>19064</v>
      </c>
      <c r="O93" s="9">
        <v>17804</v>
      </c>
      <c r="P93" s="9">
        <v>15272</v>
      </c>
    </row>
    <row r="94" spans="3:16">
      <c r="C94" t="s">
        <v>88</v>
      </c>
      <c r="F94" s="9">
        <v>10397</v>
      </c>
      <c r="G94" s="9">
        <v>11628</v>
      </c>
      <c r="H94" s="9">
        <v>14900</v>
      </c>
      <c r="I94" s="9">
        <v>19086</v>
      </c>
      <c r="J94" s="9">
        <v>22933</v>
      </c>
      <c r="K94" s="9">
        <v>26637</v>
      </c>
      <c r="L94" s="9">
        <v>30061</v>
      </c>
      <c r="M94" s="9">
        <v>34013</v>
      </c>
      <c r="N94" s="9">
        <v>43586</v>
      </c>
      <c r="O94" s="9">
        <v>48059</v>
      </c>
      <c r="P94" s="9">
        <v>58842</v>
      </c>
    </row>
    <row r="95" spans="6:16">
      <c r="F95" s="14">
        <f>SUM(F93:F94)</f>
        <v>27078</v>
      </c>
      <c r="G95" s="14">
        <f t="shared" ref="G95:P95" si="48">SUM(G93:G94)</f>
        <v>33038</v>
      </c>
      <c r="H95" s="14">
        <f t="shared" si="48"/>
        <v>32780</v>
      </c>
      <c r="I95" s="14">
        <f t="shared" si="48"/>
        <v>34261</v>
      </c>
      <c r="J95" s="14">
        <f t="shared" si="48"/>
        <v>38353</v>
      </c>
      <c r="K95" s="14">
        <f t="shared" si="48"/>
        <v>42910</v>
      </c>
      <c r="L95" s="14">
        <f t="shared" si="48"/>
        <v>46078</v>
      </c>
      <c r="M95" s="14">
        <f t="shared" si="48"/>
        <v>52232</v>
      </c>
      <c r="N95" s="14">
        <f t="shared" si="48"/>
        <v>62650</v>
      </c>
      <c r="O95" s="14">
        <f t="shared" si="48"/>
        <v>65863</v>
      </c>
      <c r="P95" s="14">
        <f t="shared" si="48"/>
        <v>74114</v>
      </c>
    </row>
    <row r="97" spans="2:16">
      <c r="B97" t="s">
        <v>90</v>
      </c>
      <c r="F97" s="14">
        <f>F91-F95</f>
        <v>59755</v>
      </c>
      <c r="G97" s="14">
        <f t="shared" ref="G97:P97" si="49">G91-G95</f>
        <v>60542</v>
      </c>
      <c r="H97" s="14">
        <f t="shared" si="49"/>
        <v>58374</v>
      </c>
      <c r="I97" s="14">
        <f t="shared" si="49"/>
        <v>62310</v>
      </c>
      <c r="J97" s="14">
        <f t="shared" si="49"/>
        <v>72007</v>
      </c>
      <c r="K97" s="14">
        <f t="shared" si="49"/>
        <v>82933</v>
      </c>
      <c r="L97" s="14">
        <f t="shared" si="49"/>
        <v>96937</v>
      </c>
      <c r="M97" s="14">
        <f t="shared" si="49"/>
        <v>115856</v>
      </c>
      <c r="N97" s="14">
        <f t="shared" si="49"/>
        <v>135620</v>
      </c>
      <c r="O97" s="14">
        <f t="shared" si="49"/>
        <v>146052</v>
      </c>
      <c r="P97" s="14">
        <f t="shared" si="49"/>
        <v>171008</v>
      </c>
    </row>
    <row r="98" s="5" customFormat="1" ht="15.75" spans="3:22">
      <c r="C98" s="15" t="s">
        <v>91</v>
      </c>
      <c r="D98" s="16"/>
      <c r="E98" s="17"/>
      <c r="F98" s="18">
        <f>IFERROR(F97/F91*100,0)</f>
        <v>68.8160031324496</v>
      </c>
      <c r="G98" s="18">
        <f t="shared" ref="G98:P98" si="50">IFERROR(G97/G91*100,0)</f>
        <v>64.6954477452447</v>
      </c>
      <c r="H98" s="18">
        <f t="shared" si="50"/>
        <v>64.0388792592755</v>
      </c>
      <c r="I98" s="18">
        <f t="shared" si="50"/>
        <v>64.5224756914602</v>
      </c>
      <c r="J98" s="18">
        <f t="shared" si="50"/>
        <v>65.2473722363175</v>
      </c>
      <c r="K98" s="18">
        <f t="shared" si="50"/>
        <v>65.9019572006389</v>
      </c>
      <c r="L98" s="18">
        <f t="shared" si="50"/>
        <v>67.781001992798</v>
      </c>
      <c r="M98" s="18">
        <f t="shared" si="50"/>
        <v>68.9258007710247</v>
      </c>
      <c r="N98" s="18">
        <f t="shared" si="50"/>
        <v>68.4016744842891</v>
      </c>
      <c r="O98" s="18">
        <f t="shared" si="50"/>
        <v>68.920085883491</v>
      </c>
      <c r="P98" s="18">
        <f t="shared" si="50"/>
        <v>69.7644438279714</v>
      </c>
      <c r="Q98" s="17"/>
      <c r="R98" s="73">
        <f>AVERAGE(E98:Q98)</f>
        <v>67.0013765659055</v>
      </c>
      <c r="S98" s="18"/>
      <c r="T98" s="18"/>
      <c r="U98" s="18"/>
      <c r="V98" s="18"/>
    </row>
    <row r="100" spans="2:18">
      <c r="B100" t="s">
        <v>92</v>
      </c>
      <c r="F100" s="9">
        <v>11381</v>
      </c>
      <c r="G100" s="9">
        <v>12046</v>
      </c>
      <c r="H100" s="9">
        <v>11988</v>
      </c>
      <c r="I100" s="9">
        <v>13037</v>
      </c>
      <c r="J100" s="9">
        <v>14726</v>
      </c>
      <c r="K100" s="9">
        <v>16876</v>
      </c>
      <c r="L100" s="9">
        <v>19269</v>
      </c>
      <c r="M100" s="9">
        <v>20716</v>
      </c>
      <c r="N100" s="9">
        <v>24512</v>
      </c>
      <c r="O100" s="9">
        <v>27195</v>
      </c>
      <c r="P100" s="9">
        <v>29510</v>
      </c>
      <c r="R100" s="61">
        <f>AVERAGE(E100:Q100)/AVERAGE($E$91:$Q$91)*100</f>
        <v>12.8127246138949</v>
      </c>
    </row>
    <row r="101" spans="2:18">
      <c r="B101" t="s">
        <v>93</v>
      </c>
      <c r="F101" s="9">
        <v>15811</v>
      </c>
      <c r="G101" s="9">
        <v>15713</v>
      </c>
      <c r="H101" s="9">
        <v>14635</v>
      </c>
      <c r="I101" s="9">
        <v>15461</v>
      </c>
      <c r="J101" s="9">
        <v>17469</v>
      </c>
      <c r="K101" s="9">
        <v>18213</v>
      </c>
      <c r="L101" s="9">
        <v>19598</v>
      </c>
      <c r="M101" s="9">
        <v>20117</v>
      </c>
      <c r="N101" s="9">
        <v>21825</v>
      </c>
      <c r="O101" s="9">
        <v>22759</v>
      </c>
      <c r="P101" s="9">
        <v>24456</v>
      </c>
      <c r="R101" s="61">
        <f>AVERAGE(E101:Q101)/AVERAGE($E$91:$Q$91)*100</f>
        <v>13.1183745864239</v>
      </c>
    </row>
    <row r="102" spans="2:18">
      <c r="B102" t="s">
        <v>94</v>
      </c>
      <c r="F102" s="9">
        <v>4677</v>
      </c>
      <c r="G102" s="9">
        <v>4611</v>
      </c>
      <c r="H102" s="9">
        <v>4563</v>
      </c>
      <c r="I102" s="9">
        <f>4481</f>
        <v>4481</v>
      </c>
      <c r="J102" s="9">
        <v>4754</v>
      </c>
      <c r="K102" s="9">
        <v>4885</v>
      </c>
      <c r="L102" s="9">
        <v>5111</v>
      </c>
      <c r="M102" s="9">
        <v>5107</v>
      </c>
      <c r="N102" s="9">
        <v>5900</v>
      </c>
      <c r="O102" s="9">
        <v>7575</v>
      </c>
      <c r="P102" s="9">
        <v>7609</v>
      </c>
      <c r="R102" s="61">
        <f>AVERAGE(E102:Q102)/AVERAGE($E$91:$Q$91)*100</f>
        <v>3.77354526592694</v>
      </c>
    </row>
    <row r="103" spans="2:18">
      <c r="B103" t="s">
        <v>95</v>
      </c>
      <c r="F103" s="9">
        <v>127</v>
      </c>
      <c r="G103" s="9">
        <v>10011</v>
      </c>
      <c r="H103" s="9">
        <v>1110</v>
      </c>
      <c r="I103" s="9">
        <v>306</v>
      </c>
      <c r="J103" s="9">
        <v>0</v>
      </c>
      <c r="K103" s="9">
        <v>0</v>
      </c>
      <c r="L103" s="9">
        <v>0</v>
      </c>
      <c r="M103" s="9">
        <v>0</v>
      </c>
      <c r="N103" s="9">
        <v>0</v>
      </c>
      <c r="O103" s="9">
        <v>0</v>
      </c>
      <c r="P103" s="9">
        <v>0</v>
      </c>
      <c r="R103" s="61">
        <f>AVERAGE(E103:Q103)/AVERAGE($E$91:$Q$91)*100</f>
        <v>0.735571710602126</v>
      </c>
    </row>
    <row r="104" spans="2:16">
      <c r="B104" t="s">
        <v>96</v>
      </c>
      <c r="F104" s="14">
        <f>SUM(F100:F103)</f>
        <v>31996</v>
      </c>
      <c r="G104" s="14">
        <f t="shared" ref="G104:P104" si="51">SUM(G100:G103)</f>
        <v>42381</v>
      </c>
      <c r="H104" s="14">
        <f t="shared" si="51"/>
        <v>32296</v>
      </c>
      <c r="I104" s="14">
        <f t="shared" si="51"/>
        <v>33285</v>
      </c>
      <c r="J104" s="14">
        <f t="shared" si="51"/>
        <v>36949</v>
      </c>
      <c r="K104" s="14">
        <f t="shared" si="51"/>
        <v>39974</v>
      </c>
      <c r="L104" s="14">
        <f t="shared" si="51"/>
        <v>43978</v>
      </c>
      <c r="M104" s="14">
        <f t="shared" si="51"/>
        <v>45940</v>
      </c>
      <c r="N104" s="14">
        <f t="shared" si="51"/>
        <v>52237</v>
      </c>
      <c r="O104" s="14">
        <f t="shared" si="51"/>
        <v>57529</v>
      </c>
      <c r="P104" s="14">
        <f t="shared" si="51"/>
        <v>61575</v>
      </c>
    </row>
    <row r="106" spans="2:16">
      <c r="B106" t="s">
        <v>97</v>
      </c>
      <c r="F106" s="14">
        <f t="shared" ref="F106:P106" si="52">F97-F104</f>
        <v>27759</v>
      </c>
      <c r="G106" s="14">
        <f t="shared" si="52"/>
        <v>18161</v>
      </c>
      <c r="H106" s="14">
        <f t="shared" si="52"/>
        <v>26078</v>
      </c>
      <c r="I106" s="14">
        <f t="shared" si="52"/>
        <v>29025</v>
      </c>
      <c r="J106" s="14">
        <f t="shared" si="52"/>
        <v>35058</v>
      </c>
      <c r="K106" s="14">
        <f t="shared" si="52"/>
        <v>42959</v>
      </c>
      <c r="L106" s="14">
        <f t="shared" si="52"/>
        <v>52959</v>
      </c>
      <c r="M106" s="14">
        <f t="shared" si="52"/>
        <v>69916</v>
      </c>
      <c r="N106" s="14">
        <f t="shared" si="52"/>
        <v>83383</v>
      </c>
      <c r="O106" s="14">
        <f t="shared" si="52"/>
        <v>88523</v>
      </c>
      <c r="P106" s="14">
        <f t="shared" si="52"/>
        <v>109433</v>
      </c>
    </row>
    <row r="107" s="5" customFormat="1" ht="15.75" spans="3:22">
      <c r="C107" s="15" t="s">
        <v>98</v>
      </c>
      <c r="D107" s="16"/>
      <c r="E107" s="17"/>
      <c r="F107" s="18">
        <f>IFERROR(F106/F91*100,0)</f>
        <v>31.9682609146292</v>
      </c>
      <c r="G107" s="18">
        <f t="shared" ref="G107:P107" si="53">IFERROR(G106/G91*100,0)</f>
        <v>19.4069245565292</v>
      </c>
      <c r="H107" s="18">
        <f t="shared" si="53"/>
        <v>28.6087280865349</v>
      </c>
      <c r="I107" s="18">
        <f t="shared" si="53"/>
        <v>30.0556067556513</v>
      </c>
      <c r="J107" s="18">
        <f t="shared" si="53"/>
        <v>31.766944545125</v>
      </c>
      <c r="K107" s="18">
        <f t="shared" si="53"/>
        <v>34.1369802054941</v>
      </c>
      <c r="L107" s="18">
        <f t="shared" si="53"/>
        <v>37.0303814285215</v>
      </c>
      <c r="M107" s="18">
        <f t="shared" si="53"/>
        <v>41.5948788729713</v>
      </c>
      <c r="N107" s="18">
        <f t="shared" si="53"/>
        <v>42.0552781560498</v>
      </c>
      <c r="O107" s="18">
        <f t="shared" si="53"/>
        <v>41.7728806361041</v>
      </c>
      <c r="P107" s="18">
        <f t="shared" si="53"/>
        <v>44.6442995732737</v>
      </c>
      <c r="Q107" s="17"/>
      <c r="R107" s="73">
        <f>AVERAGE(E107:Q107)</f>
        <v>34.8219239755349</v>
      </c>
      <c r="S107" s="18"/>
      <c r="T107" s="18"/>
      <c r="U107" s="18"/>
      <c r="V107" s="18"/>
    </row>
    <row r="109" spans="2:18">
      <c r="B109" t="s">
        <v>99</v>
      </c>
      <c r="F109" s="9">
        <v>61</v>
      </c>
      <c r="G109" s="9">
        <v>346</v>
      </c>
      <c r="H109" s="9">
        <v>-439</v>
      </c>
      <c r="I109" s="9">
        <v>876</v>
      </c>
      <c r="J109" s="9">
        <v>1416</v>
      </c>
      <c r="K109" s="9">
        <v>729</v>
      </c>
      <c r="L109" s="9">
        <v>77</v>
      </c>
      <c r="M109" s="9">
        <v>1186</v>
      </c>
      <c r="N109" s="9">
        <v>333</v>
      </c>
      <c r="O109" s="9">
        <v>788</v>
      </c>
      <c r="P109" s="9">
        <v>-1646</v>
      </c>
      <c r="R109" s="61">
        <f>AVERAGE(E109:Q109)/AVERAGE(E91:Q91)*100</f>
        <v>0.237275035954139</v>
      </c>
    </row>
    <row r="111" spans="2:16">
      <c r="B111" t="s">
        <v>100</v>
      </c>
      <c r="F111" s="14">
        <f t="shared" ref="F111:P111" si="54">F106+F109</f>
        <v>27820</v>
      </c>
      <c r="G111" s="14">
        <f t="shared" si="54"/>
        <v>18507</v>
      </c>
      <c r="H111" s="14">
        <f t="shared" si="54"/>
        <v>25639</v>
      </c>
      <c r="I111" s="14">
        <f t="shared" si="54"/>
        <v>29901</v>
      </c>
      <c r="J111" s="14">
        <f t="shared" si="54"/>
        <v>36474</v>
      </c>
      <c r="K111" s="14">
        <f t="shared" si="54"/>
        <v>43688</v>
      </c>
      <c r="L111" s="14">
        <f t="shared" si="54"/>
        <v>53036</v>
      </c>
      <c r="M111" s="14">
        <f t="shared" si="54"/>
        <v>71102</v>
      </c>
      <c r="N111" s="14">
        <f t="shared" si="54"/>
        <v>83716</v>
      </c>
      <c r="O111" s="14">
        <f t="shared" si="54"/>
        <v>89311</v>
      </c>
      <c r="P111" s="14">
        <f t="shared" si="54"/>
        <v>107787</v>
      </c>
    </row>
    <row r="113" spans="2:18">
      <c r="B113" t="s">
        <v>101</v>
      </c>
      <c r="F113" s="9">
        <v>5746</v>
      </c>
      <c r="G113" s="9">
        <v>6314</v>
      </c>
      <c r="H113" s="9">
        <v>5100</v>
      </c>
      <c r="I113" s="9">
        <v>4412</v>
      </c>
      <c r="J113" s="9">
        <v>19903</v>
      </c>
      <c r="K113" s="9">
        <v>4448</v>
      </c>
      <c r="L113" s="9">
        <v>8755</v>
      </c>
      <c r="M113" s="9">
        <v>9831</v>
      </c>
      <c r="N113" s="9">
        <v>10978</v>
      </c>
      <c r="O113" s="9">
        <v>16950</v>
      </c>
      <c r="P113" s="9">
        <v>19651</v>
      </c>
      <c r="R113" s="61">
        <f>AVERAGE(E113:Q113)/AVERAGE(E111:Q111)*100</f>
        <v>19.0956777135887</v>
      </c>
    </row>
    <row r="115" spans="2:16">
      <c r="B115" t="s">
        <v>102</v>
      </c>
      <c r="F115" s="14">
        <f t="shared" ref="F115:P115" si="55">F111-F113</f>
        <v>22074</v>
      </c>
      <c r="G115" s="14">
        <f t="shared" si="55"/>
        <v>12193</v>
      </c>
      <c r="H115" s="14">
        <f t="shared" si="55"/>
        <v>20539</v>
      </c>
      <c r="I115" s="14">
        <f t="shared" si="55"/>
        <v>25489</v>
      </c>
      <c r="J115" s="14">
        <f t="shared" si="55"/>
        <v>16571</v>
      </c>
      <c r="K115" s="14">
        <f t="shared" si="55"/>
        <v>39240</v>
      </c>
      <c r="L115" s="14">
        <f t="shared" si="55"/>
        <v>44281</v>
      </c>
      <c r="M115" s="14">
        <f t="shared" si="55"/>
        <v>61271</v>
      </c>
      <c r="N115" s="14">
        <f t="shared" si="55"/>
        <v>72738</v>
      </c>
      <c r="O115" s="14">
        <f t="shared" si="55"/>
        <v>72361</v>
      </c>
      <c r="P115" s="14">
        <f t="shared" si="55"/>
        <v>88136</v>
      </c>
    </row>
    <row r="116" ht="15.75" spans="3:18">
      <c r="C116" s="15" t="s">
        <v>103</v>
      </c>
      <c r="D116" s="19"/>
      <c r="F116" s="18">
        <f>IFERROR(F115/F91*100,0)</f>
        <v>25.421210829984</v>
      </c>
      <c r="G116" s="18">
        <f t="shared" ref="G116:P116" si="56">IFERROR(G115/G91*100,0)</f>
        <v>13.0294934815131</v>
      </c>
      <c r="H116" s="18">
        <f t="shared" si="56"/>
        <v>22.5321982578932</v>
      </c>
      <c r="I116" s="18">
        <f t="shared" si="56"/>
        <v>26.3940520446097</v>
      </c>
      <c r="J116" s="18">
        <f t="shared" si="56"/>
        <v>15.0154041319319</v>
      </c>
      <c r="K116" s="18">
        <f t="shared" si="56"/>
        <v>31.1817105440907</v>
      </c>
      <c r="L116" s="18">
        <f t="shared" si="56"/>
        <v>30.96248645247</v>
      </c>
      <c r="M116" s="18">
        <f t="shared" si="56"/>
        <v>36.4517395649898</v>
      </c>
      <c r="N116" s="18">
        <f t="shared" si="56"/>
        <v>36.6863368134362</v>
      </c>
      <c r="O116" s="18">
        <f t="shared" si="56"/>
        <v>34.1462378783946</v>
      </c>
      <c r="P116" s="18">
        <f t="shared" si="56"/>
        <v>35.955972944085</v>
      </c>
      <c r="R116" s="73">
        <f>AVERAGE(E116:Q116)</f>
        <v>27.9797129948544</v>
      </c>
    </row>
    <row r="119" customFormat="1" ht="15.75" spans="3:22">
      <c r="C119" s="20" t="s">
        <v>104</v>
      </c>
      <c r="D119" s="19"/>
      <c r="E119" s="8"/>
      <c r="F119" s="9"/>
      <c r="G119" s="9"/>
      <c r="H119" s="9"/>
      <c r="I119" s="9"/>
      <c r="J119" s="9"/>
      <c r="K119" s="9"/>
      <c r="L119" s="9"/>
      <c r="M119" s="9"/>
      <c r="N119" s="9"/>
      <c r="O119" s="9"/>
      <c r="P119" s="9"/>
      <c r="Q119" s="8"/>
      <c r="R119" s="9"/>
      <c r="S119" s="61"/>
      <c r="T119" s="61"/>
      <c r="U119" s="61"/>
      <c r="V119" s="9"/>
    </row>
    <row r="120" s="57" customFormat="1" spans="3:22">
      <c r="C120" s="63" t="s">
        <v>105</v>
      </c>
      <c r="D120" s="63"/>
      <c r="E120" s="78"/>
      <c r="F120" s="22">
        <v>8239</v>
      </c>
      <c r="G120" s="22">
        <v>8027</v>
      </c>
      <c r="H120" s="22">
        <v>7808</v>
      </c>
      <c r="I120" s="22">
        <v>7708</v>
      </c>
      <c r="J120" s="22">
        <v>7677</v>
      </c>
      <c r="K120" s="22">
        <v>7643</v>
      </c>
      <c r="L120" s="22">
        <v>7571</v>
      </c>
      <c r="M120" s="22">
        <v>7519</v>
      </c>
      <c r="N120" s="22">
        <v>7464</v>
      </c>
      <c r="O120" s="22">
        <v>7432</v>
      </c>
      <c r="P120" s="22">
        <v>7434</v>
      </c>
      <c r="Q120" s="78"/>
      <c r="R120" s="22"/>
      <c r="S120" s="24"/>
      <c r="T120" s="24"/>
      <c r="U120" s="24"/>
      <c r="V120" s="22"/>
    </row>
    <row r="121" s="37" customFormat="1" spans="3:22">
      <c r="C121" s="23" t="s">
        <v>106</v>
      </c>
      <c r="D121" s="64"/>
      <c r="E121" s="61"/>
      <c r="F121" s="24">
        <v>43.16</v>
      </c>
      <c r="G121" s="24">
        <v>46.7</v>
      </c>
      <c r="H121" s="24">
        <v>56.68</v>
      </c>
      <c r="I121" s="24">
        <v>72.7</v>
      </c>
      <c r="J121" s="24">
        <v>106.08</v>
      </c>
      <c r="K121" s="24">
        <v>136.27</v>
      </c>
      <c r="L121" s="24">
        <v>205.01</v>
      </c>
      <c r="M121" s="24">
        <v>284.91</v>
      </c>
      <c r="N121" s="24">
        <v>280.74</v>
      </c>
      <c r="O121" s="24">
        <v>335.92</v>
      </c>
      <c r="P121" s="24">
        <v>418.35</v>
      </c>
      <c r="Q121" s="61"/>
      <c r="R121" s="61"/>
      <c r="S121" s="61"/>
      <c r="T121" s="61">
        <f>((P121/F121)^(1/(P3-F3))-1)*100</f>
        <v>25.5006091347315</v>
      </c>
      <c r="U121" s="61"/>
      <c r="V121" s="61"/>
    </row>
    <row r="122" s="7" customFormat="1" spans="3:22">
      <c r="C122" s="23" t="s">
        <v>12</v>
      </c>
      <c r="D122" s="23"/>
      <c r="E122" s="24"/>
      <c r="F122" s="24">
        <f t="shared" ref="F122:P122" si="57">IFERROR(F115/F120,0)</f>
        <v>2.67920864182546</v>
      </c>
      <c r="G122" s="24">
        <f t="shared" si="57"/>
        <v>1.51899838046593</v>
      </c>
      <c r="H122" s="24">
        <f t="shared" si="57"/>
        <v>2.63050717213115</v>
      </c>
      <c r="I122" s="24">
        <f t="shared" si="57"/>
        <v>3.30682407887909</v>
      </c>
      <c r="J122" s="24">
        <f t="shared" si="57"/>
        <v>2.1585254656767</v>
      </c>
      <c r="K122" s="24">
        <f t="shared" si="57"/>
        <v>5.13410964281042</v>
      </c>
      <c r="L122" s="24">
        <f t="shared" si="57"/>
        <v>5.84876502443535</v>
      </c>
      <c r="M122" s="24">
        <f t="shared" si="57"/>
        <v>8.14882298177949</v>
      </c>
      <c r="N122" s="24">
        <f t="shared" si="57"/>
        <v>9.7451768488746</v>
      </c>
      <c r="O122" s="24">
        <f t="shared" si="57"/>
        <v>9.73641011840689</v>
      </c>
      <c r="P122" s="24">
        <f t="shared" si="57"/>
        <v>11.8557976863062</v>
      </c>
      <c r="Q122" s="24"/>
      <c r="R122" s="24"/>
      <c r="S122" s="24"/>
      <c r="T122" s="24"/>
      <c r="U122" s="24"/>
      <c r="V122" s="24"/>
    </row>
    <row r="123" s="58" customFormat="1" spans="3:22">
      <c r="C123" s="25" t="s">
        <v>107</v>
      </c>
      <c r="D123" s="79"/>
      <c r="E123" s="80"/>
      <c r="F123" s="11">
        <f t="shared" ref="F123:P123" si="58">F121/F122</f>
        <v>16.109234393404</v>
      </c>
      <c r="G123" s="11">
        <f t="shared" si="58"/>
        <v>30.7439432461248</v>
      </c>
      <c r="H123" s="11">
        <f t="shared" si="58"/>
        <v>21.5471756171186</v>
      </c>
      <c r="I123" s="11">
        <f t="shared" si="58"/>
        <v>21.9848405194397</v>
      </c>
      <c r="J123" s="11">
        <f t="shared" si="58"/>
        <v>49.144659948102</v>
      </c>
      <c r="K123" s="11">
        <f t="shared" si="58"/>
        <v>26.5420899592253</v>
      </c>
      <c r="L123" s="11">
        <f t="shared" si="58"/>
        <v>35.0518441317946</v>
      </c>
      <c r="M123" s="11">
        <f t="shared" si="58"/>
        <v>34.9633315924336</v>
      </c>
      <c r="N123" s="11">
        <f t="shared" si="58"/>
        <v>28.8080970056917</v>
      </c>
      <c r="O123" s="11">
        <f t="shared" si="58"/>
        <v>34.5014225895165</v>
      </c>
      <c r="P123" s="11">
        <f t="shared" si="58"/>
        <v>35.2865333121538</v>
      </c>
      <c r="Q123" s="80"/>
      <c r="R123" s="80">
        <f>AVERAGE(E123:Q123)</f>
        <v>30.4257429377277</v>
      </c>
      <c r="S123" s="83"/>
      <c r="T123" s="83"/>
      <c r="U123" s="83">
        <f>_xlfn.STDEV.S(E123:Q123)</f>
        <v>8.97478592080575</v>
      </c>
      <c r="V123" s="83">
        <f>R123-U123</f>
        <v>21.4509570169219</v>
      </c>
    </row>
    <row r="124" s="59" customFormat="1" spans="3:22">
      <c r="C124" s="23" t="s">
        <v>108</v>
      </c>
      <c r="D124" s="81"/>
      <c r="E124" s="70"/>
      <c r="F124" s="24">
        <f>F91/F120</f>
        <v>10.5392644738439</v>
      </c>
      <c r="G124" s="24">
        <f t="shared" ref="G124:P124" si="59">G91/G120</f>
        <v>11.6581537311573</v>
      </c>
      <c r="H124" s="24">
        <f t="shared" si="59"/>
        <v>11.6744364754098</v>
      </c>
      <c r="I124" s="24">
        <f t="shared" si="59"/>
        <v>12.5286715101194</v>
      </c>
      <c r="J124" s="24">
        <f t="shared" si="59"/>
        <v>14.3754070600495</v>
      </c>
      <c r="K124" s="24">
        <f t="shared" si="59"/>
        <v>16.4651314928693</v>
      </c>
      <c r="L124" s="24">
        <f t="shared" si="59"/>
        <v>18.8898428212918</v>
      </c>
      <c r="M124" s="24">
        <f t="shared" si="59"/>
        <v>22.3551004122889</v>
      </c>
      <c r="N124" s="24">
        <f t="shared" si="59"/>
        <v>26.5635048231511</v>
      </c>
      <c r="O124" s="24">
        <f t="shared" si="59"/>
        <v>28.5138589881593</v>
      </c>
      <c r="P124" s="24">
        <f t="shared" si="59"/>
        <v>32.9730965832661</v>
      </c>
      <c r="Q124" s="70"/>
      <c r="R124" s="70"/>
      <c r="S124" s="70"/>
      <c r="T124" s="70"/>
      <c r="U124" s="70"/>
      <c r="V124" s="70"/>
    </row>
    <row r="125" s="58" customFormat="1" spans="3:22">
      <c r="C125" s="25" t="s">
        <v>109</v>
      </c>
      <c r="D125" s="79"/>
      <c r="E125" s="80"/>
      <c r="F125" s="11">
        <f t="shared" ref="F125:P125" si="60">F121/F124</f>
        <v>4.09516243824352</v>
      </c>
      <c r="G125" s="11">
        <f t="shared" si="60"/>
        <v>4.00578008121393</v>
      </c>
      <c r="H125" s="11">
        <f t="shared" si="60"/>
        <v>4.8550523290256</v>
      </c>
      <c r="I125" s="11">
        <f t="shared" si="60"/>
        <v>5.80269024862536</v>
      </c>
      <c r="J125" s="11">
        <f t="shared" si="60"/>
        <v>7.37926930047118</v>
      </c>
      <c r="K125" s="11">
        <f t="shared" si="60"/>
        <v>8.27627766343778</v>
      </c>
      <c r="L125" s="11">
        <f t="shared" si="60"/>
        <v>10.8529224906478</v>
      </c>
      <c r="M125" s="11">
        <f t="shared" si="60"/>
        <v>12.7447425753177</v>
      </c>
      <c r="N125" s="11">
        <f t="shared" si="60"/>
        <v>10.5686354970495</v>
      </c>
      <c r="O125" s="11">
        <f t="shared" si="60"/>
        <v>11.7809378288465</v>
      </c>
      <c r="P125" s="11">
        <f t="shared" si="60"/>
        <v>12.6876163706236</v>
      </c>
      <c r="Q125" s="80"/>
      <c r="R125" s="80">
        <f>AVERAGE(E125:Q125)</f>
        <v>8.45900789304568</v>
      </c>
      <c r="S125" s="80"/>
      <c r="T125" s="80"/>
      <c r="U125" s="83">
        <f>_xlfn.STDEV.S(E125:Q125)</f>
        <v>3.42904295173007</v>
      </c>
      <c r="V125" s="83">
        <f>R125-U125</f>
        <v>5.02996494131561</v>
      </c>
    </row>
    <row r="126" s="60" customFormat="1" spans="3:22">
      <c r="C126" s="22"/>
      <c r="D126" s="9"/>
      <c r="E126" s="9"/>
      <c r="F126" s="22"/>
      <c r="G126" s="22"/>
      <c r="H126" s="22"/>
      <c r="I126" s="22"/>
      <c r="J126" s="22"/>
      <c r="K126" s="22"/>
      <c r="L126" s="22"/>
      <c r="M126" s="22"/>
      <c r="N126" s="22"/>
      <c r="O126" s="22"/>
      <c r="P126" s="22"/>
      <c r="Q126" s="9"/>
      <c r="R126" s="84"/>
      <c r="S126" s="61"/>
      <c r="T126" s="61"/>
      <c r="U126" s="61"/>
      <c r="V126" s="9"/>
    </row>
    <row r="127" s="60" customFormat="1" spans="3:22">
      <c r="C127" s="21" t="s">
        <v>110</v>
      </c>
      <c r="D127" s="82"/>
      <c r="E127" s="9"/>
      <c r="F127" s="22">
        <f t="shared" ref="F127:P127" si="61">F120*F121</f>
        <v>355595.24</v>
      </c>
      <c r="G127" s="22">
        <f t="shared" si="61"/>
        <v>374860.9</v>
      </c>
      <c r="H127" s="22">
        <f t="shared" si="61"/>
        <v>442557.44</v>
      </c>
      <c r="I127" s="22">
        <f t="shared" si="61"/>
        <v>560371.6</v>
      </c>
      <c r="J127" s="22">
        <f t="shared" si="61"/>
        <v>814376.16</v>
      </c>
      <c r="K127" s="22">
        <f t="shared" si="61"/>
        <v>1041511.61</v>
      </c>
      <c r="L127" s="22">
        <f t="shared" si="61"/>
        <v>1552130.71</v>
      </c>
      <c r="M127" s="22">
        <f t="shared" si="61"/>
        <v>2142238.29</v>
      </c>
      <c r="N127" s="22">
        <f t="shared" si="61"/>
        <v>2095443.36</v>
      </c>
      <c r="O127" s="22">
        <f t="shared" si="61"/>
        <v>2496557.44</v>
      </c>
      <c r="P127" s="22">
        <f t="shared" si="61"/>
        <v>3110013.9</v>
      </c>
      <c r="Q127" s="9"/>
      <c r="R127" s="9"/>
      <c r="S127" s="61"/>
      <c r="T127" s="61"/>
      <c r="U127" s="61"/>
      <c r="V127" s="9"/>
    </row>
    <row r="128" s="60" customFormat="1" spans="3:22">
      <c r="C128" s="21" t="s">
        <v>111</v>
      </c>
      <c r="D128" s="82"/>
      <c r="E128" s="9"/>
      <c r="F128" s="22">
        <f>F127+(F168+F159)-(F139+F140+F149)</f>
        <v>277934.24</v>
      </c>
      <c r="G128" s="22">
        <f t="shared" ref="G128:P128" si="62">G127+(G168+G159)-(G139+G140+G149)</f>
        <v>299074.9</v>
      </c>
      <c r="H128" s="22">
        <f t="shared" si="62"/>
        <v>372347.44</v>
      </c>
      <c r="I128" s="22">
        <f t="shared" si="62"/>
        <v>506512.6</v>
      </c>
      <c r="J128" s="22">
        <f t="shared" si="62"/>
        <v>750988.16</v>
      </c>
      <c r="K128" s="22">
        <f t="shared" si="62"/>
        <v>971705.61</v>
      </c>
      <c r="L128" s="22">
        <f t="shared" si="62"/>
        <v>1472216.71</v>
      </c>
      <c r="M128" s="22">
        <f t="shared" si="62"/>
        <v>2055994.29</v>
      </c>
      <c r="N128" s="22">
        <f t="shared" si="62"/>
        <v>2030827.36</v>
      </c>
      <c r="O128" s="22">
        <f t="shared" si="62"/>
        <v>2417406.44</v>
      </c>
      <c r="P128" s="22">
        <f t="shared" si="62"/>
        <v>3069251.9</v>
      </c>
      <c r="Q128" s="9"/>
      <c r="R128" s="9"/>
      <c r="S128" s="9"/>
      <c r="T128" s="9"/>
      <c r="U128" s="9"/>
      <c r="V128" s="9"/>
    </row>
    <row r="129" s="39" customFormat="1" spans="3:22">
      <c r="C129" s="85" t="s">
        <v>112</v>
      </c>
      <c r="D129" s="86"/>
      <c r="E129" s="75"/>
      <c r="F129" s="11">
        <f t="shared" ref="F129:P129" si="63">F128/(F111+F203)</f>
        <v>8.41409057883265</v>
      </c>
      <c r="G129" s="11">
        <f t="shared" si="63"/>
        <v>12.2251021909745</v>
      </c>
      <c r="H129" s="11">
        <f t="shared" si="63"/>
        <v>11.5417203434487</v>
      </c>
      <c r="I129" s="11">
        <f t="shared" si="63"/>
        <v>13.0952868481605</v>
      </c>
      <c r="J129" s="11">
        <f t="shared" si="63"/>
        <v>16.069073713491</v>
      </c>
      <c r="K129" s="11">
        <f t="shared" si="63"/>
        <v>17.5493156944194</v>
      </c>
      <c r="L129" s="11">
        <f t="shared" si="63"/>
        <v>22.3632383947017</v>
      </c>
      <c r="M129" s="11">
        <f t="shared" si="63"/>
        <v>24.8344481084215</v>
      </c>
      <c r="N129" s="11">
        <f t="shared" si="63"/>
        <v>20.6855785528031</v>
      </c>
      <c r="O129" s="11">
        <f t="shared" si="63"/>
        <v>23.430838211918</v>
      </c>
      <c r="P129" s="11">
        <f t="shared" si="63"/>
        <v>23.5961983178806</v>
      </c>
      <c r="Q129" s="75"/>
      <c r="R129" s="80">
        <f>AVERAGE(E129:Q129)</f>
        <v>17.6186264504592</v>
      </c>
      <c r="S129" s="83"/>
      <c r="T129" s="83"/>
      <c r="U129" s="83"/>
      <c r="V129" s="80"/>
    </row>
    <row r="130" s="39" customFormat="1" spans="3:22">
      <c r="C130" s="85" t="s">
        <v>113</v>
      </c>
      <c r="D130" s="86"/>
      <c r="E130" s="75"/>
      <c r="F130" s="11">
        <f t="shared" ref="F130:P130" si="64">F128/F91</f>
        <v>3.20079048288093</v>
      </c>
      <c r="G130" s="11">
        <f t="shared" si="64"/>
        <v>3.1959275486215</v>
      </c>
      <c r="H130" s="11">
        <f t="shared" si="64"/>
        <v>4.08481734208044</v>
      </c>
      <c r="I130" s="11">
        <f t="shared" si="64"/>
        <v>5.24497623510163</v>
      </c>
      <c r="J130" s="11">
        <f t="shared" si="64"/>
        <v>6.80489452700254</v>
      </c>
      <c r="K130" s="11">
        <f t="shared" si="64"/>
        <v>7.72157060782085</v>
      </c>
      <c r="L130" s="11">
        <f t="shared" si="64"/>
        <v>10.2941419431528</v>
      </c>
      <c r="M130" s="11">
        <f t="shared" si="64"/>
        <v>12.2316541930417</v>
      </c>
      <c r="N130" s="11">
        <f t="shared" si="64"/>
        <v>10.2427364704696</v>
      </c>
      <c r="O130" s="11">
        <f t="shared" si="64"/>
        <v>11.4074343014888</v>
      </c>
      <c r="P130" s="11">
        <f t="shared" si="64"/>
        <v>12.5213236673983</v>
      </c>
      <c r="Q130" s="75"/>
      <c r="R130" s="80">
        <f>AVERAGE(E130:Q130)</f>
        <v>7.9045697562781</v>
      </c>
      <c r="S130" s="83"/>
      <c r="T130" s="83"/>
      <c r="U130" s="83"/>
      <c r="V130" s="80"/>
    </row>
    <row r="131" spans="6:16">
      <c r="F131" s="22"/>
      <c r="G131" s="22"/>
      <c r="H131" s="22"/>
      <c r="I131" s="22"/>
      <c r="J131" s="22"/>
      <c r="K131" s="22"/>
      <c r="L131" s="22"/>
      <c r="M131" s="22"/>
      <c r="N131" s="22"/>
      <c r="O131" s="22"/>
      <c r="P131" s="22"/>
    </row>
    <row r="132" s="37" customFormat="1" spans="3:22">
      <c r="C132" s="23" t="s">
        <v>114</v>
      </c>
      <c r="D132" s="64"/>
      <c r="E132" s="61"/>
      <c r="F132" s="24">
        <f t="shared" ref="F132:P132" si="65">ABS(F216/F120)</f>
        <v>1.07767933001578</v>
      </c>
      <c r="G132" s="24">
        <f t="shared" si="65"/>
        <v>1.2310950541921</v>
      </c>
      <c r="H132" s="24">
        <f t="shared" si="65"/>
        <v>1.40957991803279</v>
      </c>
      <c r="I132" s="24">
        <f t="shared" si="65"/>
        <v>1.53671510119357</v>
      </c>
      <c r="J132" s="24">
        <f t="shared" si="65"/>
        <v>1.65416178194607</v>
      </c>
      <c r="K132" s="24">
        <f t="shared" si="65"/>
        <v>1.80701295302892</v>
      </c>
      <c r="L132" s="24">
        <f t="shared" si="65"/>
        <v>1.99933958525954</v>
      </c>
      <c r="M132" s="24">
        <f t="shared" si="65"/>
        <v>2.19723367469078</v>
      </c>
      <c r="N132" s="24">
        <f t="shared" si="65"/>
        <v>2.42966237942122</v>
      </c>
      <c r="O132" s="24">
        <f t="shared" si="65"/>
        <v>2.66415500538213</v>
      </c>
      <c r="P132" s="24">
        <f t="shared" si="65"/>
        <v>2.92857142857143</v>
      </c>
      <c r="Q132" s="61"/>
      <c r="R132" s="61">
        <f>AVERAGE(E132:Q132)</f>
        <v>1.90320056470312</v>
      </c>
      <c r="S132" s="61">
        <f>MEDIAN(E132:Q132)</f>
        <v>1.80701295302892</v>
      </c>
      <c r="V132" s="61"/>
    </row>
    <row r="133" s="37" customFormat="1" spans="3:22">
      <c r="C133" s="23" t="s">
        <v>115</v>
      </c>
      <c r="D133" s="64"/>
      <c r="E133" s="61"/>
      <c r="F133" s="24">
        <f>F132/F121</f>
        <v>0.0249694006027752</v>
      </c>
      <c r="G133" s="24">
        <f t="shared" ref="G133:P133" si="66">G132/G121</f>
        <v>0.0263617784623576</v>
      </c>
      <c r="H133" s="24">
        <f t="shared" si="66"/>
        <v>0.0248690881798304</v>
      </c>
      <c r="I133" s="24">
        <f t="shared" si="66"/>
        <v>0.0211377593011495</v>
      </c>
      <c r="J133" s="24">
        <f t="shared" si="66"/>
        <v>0.0155935311269426</v>
      </c>
      <c r="K133" s="24">
        <f t="shared" si="66"/>
        <v>0.0132605338888157</v>
      </c>
      <c r="L133" s="24">
        <f t="shared" si="66"/>
        <v>0.00975240029881246</v>
      </c>
      <c r="M133" s="24">
        <f t="shared" si="66"/>
        <v>0.00771202721803651</v>
      </c>
      <c r="N133" s="24">
        <f t="shared" si="66"/>
        <v>0.00865449305200977</v>
      </c>
      <c r="O133" s="24">
        <f t="shared" si="66"/>
        <v>0.00793092106865364</v>
      </c>
      <c r="P133" s="24">
        <f t="shared" si="66"/>
        <v>0.00700029025593744</v>
      </c>
      <c r="Q133" s="61"/>
      <c r="R133" s="61">
        <f>AVERAGE(E133:Q133)</f>
        <v>0.0152038384959383</v>
      </c>
      <c r="S133" s="61">
        <f>MEDIAN(E133:Q133)</f>
        <v>0.0132605338888157</v>
      </c>
      <c r="V133" s="61"/>
    </row>
    <row r="137" ht="15.75" spans="2:2">
      <c r="B137" s="13" t="s">
        <v>116</v>
      </c>
    </row>
    <row r="138" spans="2:2">
      <c r="B138" t="s">
        <v>117</v>
      </c>
    </row>
    <row r="139" spans="3:16">
      <c r="C139" t="s">
        <v>118</v>
      </c>
      <c r="F139" s="9">
        <v>8669</v>
      </c>
      <c r="G139" s="9">
        <v>5595</v>
      </c>
      <c r="H139" s="9">
        <v>6510</v>
      </c>
      <c r="I139" s="9">
        <v>7663</v>
      </c>
      <c r="J139" s="9">
        <v>11946</v>
      </c>
      <c r="K139" s="9">
        <v>11356</v>
      </c>
      <c r="L139" s="9">
        <v>13576</v>
      </c>
      <c r="M139" s="9">
        <v>14224</v>
      </c>
      <c r="N139" s="9">
        <v>13931</v>
      </c>
      <c r="O139" s="9">
        <v>34704</v>
      </c>
      <c r="P139" s="9">
        <v>18315</v>
      </c>
    </row>
    <row r="140" spans="3:16">
      <c r="C140" t="s">
        <v>119</v>
      </c>
      <c r="F140" s="9">
        <v>77040</v>
      </c>
      <c r="G140" s="9">
        <v>90931</v>
      </c>
      <c r="H140" s="9">
        <v>106730</v>
      </c>
      <c r="I140" s="9">
        <v>125318</v>
      </c>
      <c r="J140" s="9">
        <v>121822</v>
      </c>
      <c r="K140" s="9">
        <v>122463</v>
      </c>
      <c r="L140" s="9">
        <v>122951</v>
      </c>
      <c r="M140" s="9">
        <v>116110</v>
      </c>
      <c r="N140" s="9">
        <v>90826</v>
      </c>
      <c r="O140" s="9">
        <v>76558</v>
      </c>
      <c r="P140" s="9">
        <v>57228</v>
      </c>
    </row>
    <row r="141" spans="3:16">
      <c r="C141" t="s">
        <v>120</v>
      </c>
      <c r="F141" s="9">
        <v>19544</v>
      </c>
      <c r="G141" s="9">
        <v>17908</v>
      </c>
      <c r="H141" s="9">
        <v>18277</v>
      </c>
      <c r="I141" s="9">
        <v>22431</v>
      </c>
      <c r="J141" s="9">
        <v>26481</v>
      </c>
      <c r="K141" s="9">
        <v>29524</v>
      </c>
      <c r="L141" s="9">
        <v>32011</v>
      </c>
      <c r="M141" s="9">
        <v>38043</v>
      </c>
      <c r="N141" s="9">
        <v>44261</v>
      </c>
      <c r="O141" s="9">
        <v>48688</v>
      </c>
      <c r="P141" s="9">
        <v>56924</v>
      </c>
    </row>
    <row r="142" spans="3:16">
      <c r="C142" t="s">
        <v>121</v>
      </c>
      <c r="F142" s="9">
        <v>2660</v>
      </c>
      <c r="G142" s="9">
        <v>2902</v>
      </c>
      <c r="H142" s="9">
        <v>2251</v>
      </c>
      <c r="I142" s="9">
        <v>2181</v>
      </c>
      <c r="J142" s="9">
        <v>2662</v>
      </c>
      <c r="K142" s="9">
        <v>2063</v>
      </c>
      <c r="L142" s="9">
        <v>1895</v>
      </c>
      <c r="M142" s="9">
        <v>2636</v>
      </c>
      <c r="N142" s="9">
        <v>3742</v>
      </c>
      <c r="O142" s="9">
        <v>2500</v>
      </c>
      <c r="P142" s="9">
        <v>1246</v>
      </c>
    </row>
    <row r="143" spans="3:16">
      <c r="C143" t="s">
        <v>122</v>
      </c>
      <c r="F143" s="9">
        <f>1941+4392</f>
        <v>6333</v>
      </c>
      <c r="G143" s="9">
        <v>5461</v>
      </c>
      <c r="H143" s="9">
        <v>5892</v>
      </c>
      <c r="I143" s="9">
        <v>5103</v>
      </c>
      <c r="J143" s="9">
        <v>6751</v>
      </c>
      <c r="K143" s="9">
        <v>10146</v>
      </c>
      <c r="L143" s="9">
        <v>11482</v>
      </c>
      <c r="M143" s="9">
        <v>13393</v>
      </c>
      <c r="N143" s="9">
        <v>16924</v>
      </c>
      <c r="O143" s="9">
        <v>21807</v>
      </c>
      <c r="P143" s="9">
        <v>26021</v>
      </c>
    </row>
    <row r="144" spans="2:16">
      <c r="B144" t="s">
        <v>123</v>
      </c>
      <c r="F144" s="14">
        <f t="shared" ref="F144:P144" si="67">SUM(F139:F143)</f>
        <v>114246</v>
      </c>
      <c r="G144" s="14">
        <f t="shared" si="67"/>
        <v>122797</v>
      </c>
      <c r="H144" s="14">
        <f t="shared" si="67"/>
        <v>139660</v>
      </c>
      <c r="I144" s="14">
        <f t="shared" si="67"/>
        <v>162696</v>
      </c>
      <c r="J144" s="14">
        <f t="shared" si="67"/>
        <v>169662</v>
      </c>
      <c r="K144" s="14">
        <f t="shared" si="67"/>
        <v>175552</v>
      </c>
      <c r="L144" s="14">
        <f t="shared" si="67"/>
        <v>181915</v>
      </c>
      <c r="M144" s="14">
        <f t="shared" si="67"/>
        <v>184406</v>
      </c>
      <c r="N144" s="14">
        <f t="shared" si="67"/>
        <v>169684</v>
      </c>
      <c r="O144" s="14">
        <f t="shared" si="67"/>
        <v>184257</v>
      </c>
      <c r="P144" s="14">
        <f t="shared" si="67"/>
        <v>159734</v>
      </c>
    </row>
    <row r="146" spans="2:2">
      <c r="B146" t="s">
        <v>124</v>
      </c>
    </row>
    <row r="147" spans="3:16">
      <c r="C147" t="s">
        <v>125</v>
      </c>
      <c r="F147" s="9">
        <v>13011</v>
      </c>
      <c r="G147" s="9">
        <v>14731</v>
      </c>
      <c r="H147" s="9">
        <v>18356</v>
      </c>
      <c r="I147" s="9">
        <v>23734</v>
      </c>
      <c r="J147" s="9">
        <v>29460</v>
      </c>
      <c r="K147" s="9">
        <v>36477</v>
      </c>
      <c r="L147" s="9">
        <v>44151</v>
      </c>
      <c r="M147" s="9">
        <v>59715</v>
      </c>
      <c r="N147" s="9">
        <v>74398</v>
      </c>
      <c r="O147" s="9">
        <v>95641</v>
      </c>
      <c r="P147" s="9">
        <v>135591</v>
      </c>
    </row>
    <row r="148" spans="3:16">
      <c r="C148" t="s">
        <v>126</v>
      </c>
      <c r="F148" s="9">
        <v>0</v>
      </c>
      <c r="G148" s="9">
        <v>0</v>
      </c>
      <c r="H148" s="9">
        <v>0</v>
      </c>
      <c r="I148" s="9">
        <v>6555</v>
      </c>
      <c r="J148" s="9">
        <v>6686</v>
      </c>
      <c r="K148" s="9">
        <v>7379</v>
      </c>
      <c r="L148" s="9">
        <v>8753</v>
      </c>
      <c r="M148" s="9">
        <v>11088</v>
      </c>
      <c r="N148" s="9">
        <v>13148</v>
      </c>
      <c r="O148" s="9">
        <v>14346</v>
      </c>
      <c r="P148" s="9">
        <v>18961</v>
      </c>
    </row>
    <row r="149" spans="3:16">
      <c r="C149" t="s">
        <v>127</v>
      </c>
      <c r="F149" s="9">
        <v>14597</v>
      </c>
      <c r="G149" s="9">
        <v>12053</v>
      </c>
      <c r="H149" s="9">
        <v>10431</v>
      </c>
      <c r="I149" s="9">
        <v>6023</v>
      </c>
      <c r="J149" s="9">
        <v>1862</v>
      </c>
      <c r="K149" s="9">
        <v>2649</v>
      </c>
      <c r="L149" s="9">
        <v>2965</v>
      </c>
      <c r="M149" s="9">
        <v>5984</v>
      </c>
      <c r="N149" s="9">
        <v>6891</v>
      </c>
      <c r="O149" s="9">
        <v>9879</v>
      </c>
      <c r="P149" s="9">
        <v>14600</v>
      </c>
    </row>
    <row r="150" spans="3:16">
      <c r="C150" t="s">
        <v>128</v>
      </c>
      <c r="F150" s="9">
        <v>20127</v>
      </c>
      <c r="G150" s="9">
        <v>16939</v>
      </c>
      <c r="H150" s="9">
        <v>17872</v>
      </c>
      <c r="I150" s="9">
        <v>35122</v>
      </c>
      <c r="J150" s="9">
        <v>35683</v>
      </c>
      <c r="K150" s="9">
        <v>42026</v>
      </c>
      <c r="L150" s="9">
        <v>43351</v>
      </c>
      <c r="M150" s="9">
        <v>49711</v>
      </c>
      <c r="N150" s="9">
        <v>67524</v>
      </c>
      <c r="O150" s="9">
        <v>67886</v>
      </c>
      <c r="P150" s="9">
        <v>119220</v>
      </c>
    </row>
    <row r="151" spans="3:16">
      <c r="C151" t="s">
        <v>129</v>
      </c>
      <c r="F151" s="9">
        <v>6981</v>
      </c>
      <c r="G151" s="9">
        <v>4835</v>
      </c>
      <c r="H151" s="9">
        <v>3733</v>
      </c>
      <c r="I151" s="9">
        <v>10106</v>
      </c>
      <c r="J151" s="9">
        <v>8053</v>
      </c>
      <c r="K151" s="9">
        <v>7750</v>
      </c>
      <c r="L151" s="9">
        <v>7038</v>
      </c>
      <c r="M151" s="9">
        <v>7800</v>
      </c>
      <c r="N151" s="9">
        <v>11298</v>
      </c>
      <c r="O151" s="9">
        <v>9366</v>
      </c>
      <c r="P151" s="9">
        <v>27597</v>
      </c>
    </row>
    <row r="152" spans="3:16">
      <c r="C152" t="s">
        <v>130</v>
      </c>
      <c r="F152" s="9">
        <v>3422</v>
      </c>
      <c r="G152" s="9">
        <v>3117</v>
      </c>
      <c r="H152" s="9">
        <v>3416</v>
      </c>
      <c r="I152" s="9">
        <v>6076</v>
      </c>
      <c r="J152" s="9">
        <v>7442</v>
      </c>
      <c r="K152" s="9">
        <v>14723</v>
      </c>
      <c r="L152" s="9">
        <v>13138</v>
      </c>
      <c r="M152" s="9">
        <v>15075</v>
      </c>
      <c r="N152" s="9">
        <v>21897</v>
      </c>
      <c r="O152" s="9">
        <v>30601</v>
      </c>
      <c r="P152" s="9">
        <v>36460</v>
      </c>
    </row>
    <row r="153" spans="2:16">
      <c r="B153" t="s">
        <v>131</v>
      </c>
      <c r="F153" s="14">
        <f>SUM(F147:F152)</f>
        <v>58138</v>
      </c>
      <c r="G153" s="14">
        <f t="shared" ref="G153:P153" si="68">SUM(G147:G152)</f>
        <v>51675</v>
      </c>
      <c r="H153" s="14">
        <f t="shared" si="68"/>
        <v>53808</v>
      </c>
      <c r="I153" s="14">
        <f t="shared" si="68"/>
        <v>87616</v>
      </c>
      <c r="J153" s="14">
        <f t="shared" si="68"/>
        <v>89186</v>
      </c>
      <c r="K153" s="14">
        <f t="shared" si="68"/>
        <v>111004</v>
      </c>
      <c r="L153" s="14">
        <f t="shared" si="68"/>
        <v>119396</v>
      </c>
      <c r="M153" s="14">
        <f t="shared" si="68"/>
        <v>149373</v>
      </c>
      <c r="N153" s="14">
        <f t="shared" si="68"/>
        <v>195156</v>
      </c>
      <c r="O153" s="14">
        <f t="shared" si="68"/>
        <v>227719</v>
      </c>
      <c r="P153" s="14">
        <f t="shared" si="68"/>
        <v>352429</v>
      </c>
    </row>
    <row r="155" spans="2:16">
      <c r="B155" t="s">
        <v>132</v>
      </c>
      <c r="F155" s="14">
        <f t="shared" ref="F155:L155" si="69">F144+F153</f>
        <v>172384</v>
      </c>
      <c r="G155" s="14">
        <f t="shared" si="69"/>
        <v>174472</v>
      </c>
      <c r="H155" s="14">
        <f t="shared" si="69"/>
        <v>193468</v>
      </c>
      <c r="I155" s="14">
        <f t="shared" si="69"/>
        <v>250312</v>
      </c>
      <c r="J155" s="14">
        <f t="shared" si="69"/>
        <v>258848</v>
      </c>
      <c r="K155" s="14">
        <f t="shared" si="69"/>
        <v>286556</v>
      </c>
      <c r="L155" s="14">
        <f t="shared" si="69"/>
        <v>301311</v>
      </c>
      <c r="M155" s="14">
        <f t="shared" ref="L155:P155" si="70">M144+M153</f>
        <v>333779</v>
      </c>
      <c r="N155" s="14">
        <f t="shared" si="70"/>
        <v>364840</v>
      </c>
      <c r="O155" s="14">
        <f t="shared" si="70"/>
        <v>411976</v>
      </c>
      <c r="P155" s="14">
        <f t="shared" si="70"/>
        <v>512163</v>
      </c>
    </row>
    <row r="157" spans="2:2">
      <c r="B157" t="s">
        <v>133</v>
      </c>
    </row>
    <row r="158" spans="3:16">
      <c r="C158" t="s">
        <v>134</v>
      </c>
      <c r="F158" s="9">
        <v>7432</v>
      </c>
      <c r="G158" s="9">
        <v>6591</v>
      </c>
      <c r="H158" s="9">
        <v>6898</v>
      </c>
      <c r="I158" s="9">
        <v>7390</v>
      </c>
      <c r="J158" s="9">
        <v>8617</v>
      </c>
      <c r="K158" s="9">
        <v>9382</v>
      </c>
      <c r="L158" s="9">
        <v>12530</v>
      </c>
      <c r="M158" s="9">
        <v>15163</v>
      </c>
      <c r="N158" s="9">
        <v>19000</v>
      </c>
      <c r="O158" s="9">
        <v>18095</v>
      </c>
      <c r="P158" s="9">
        <v>21996</v>
      </c>
    </row>
    <row r="159" spans="3:16">
      <c r="C159" t="s">
        <v>135</v>
      </c>
      <c r="F159" s="9">
        <v>2000</v>
      </c>
      <c r="G159" s="9">
        <v>4985</v>
      </c>
      <c r="H159" s="9">
        <v>12904</v>
      </c>
      <c r="I159" s="9">
        <v>9072</v>
      </c>
      <c r="J159" s="9">
        <v>0</v>
      </c>
      <c r="K159" s="9">
        <v>0</v>
      </c>
      <c r="L159" s="9">
        <v>0</v>
      </c>
      <c r="M159" s="9">
        <v>0</v>
      </c>
      <c r="N159" s="9">
        <v>0</v>
      </c>
      <c r="O159" s="9">
        <v>0</v>
      </c>
      <c r="P159" s="9">
        <v>6693</v>
      </c>
    </row>
    <row r="160" spans="3:16">
      <c r="C160" t="s">
        <v>136</v>
      </c>
      <c r="F160" s="9">
        <v>0</v>
      </c>
      <c r="G160" s="9">
        <v>2499</v>
      </c>
      <c r="H160" s="9">
        <v>0</v>
      </c>
      <c r="I160" s="9">
        <v>1049</v>
      </c>
      <c r="J160" s="9">
        <v>3998</v>
      </c>
      <c r="K160" s="9">
        <v>5516</v>
      </c>
      <c r="L160" s="9">
        <v>3749</v>
      </c>
      <c r="M160" s="9">
        <v>8072</v>
      </c>
      <c r="N160" s="9">
        <v>2749</v>
      </c>
      <c r="O160" s="9">
        <v>5247</v>
      </c>
      <c r="P160" s="9">
        <v>2249</v>
      </c>
    </row>
    <row r="161" spans="3:16">
      <c r="C161" t="s">
        <v>137</v>
      </c>
      <c r="F161" s="9">
        <v>4797</v>
      </c>
      <c r="G161" s="9">
        <v>5096</v>
      </c>
      <c r="H161" s="9">
        <v>5264</v>
      </c>
      <c r="I161" s="9">
        <v>5819</v>
      </c>
      <c r="J161" s="9">
        <v>6103</v>
      </c>
      <c r="K161" s="9">
        <v>6830</v>
      </c>
      <c r="L161" s="9">
        <v>7874</v>
      </c>
      <c r="M161" s="9">
        <v>10057</v>
      </c>
      <c r="N161" s="9">
        <v>10661</v>
      </c>
      <c r="O161" s="9">
        <v>11009</v>
      </c>
      <c r="P161" s="9">
        <v>12564</v>
      </c>
    </row>
    <row r="162" spans="3:16">
      <c r="C162" t="s">
        <v>138</v>
      </c>
      <c r="F162" s="9">
        <v>782</v>
      </c>
      <c r="G162" s="9">
        <v>606</v>
      </c>
      <c r="H162" s="9">
        <v>580</v>
      </c>
      <c r="I162" s="9">
        <v>718</v>
      </c>
      <c r="J162" s="9">
        <v>2121</v>
      </c>
      <c r="K162" s="9">
        <v>5665</v>
      </c>
      <c r="L162" s="9">
        <v>2130</v>
      </c>
      <c r="M162" s="9">
        <v>2174</v>
      </c>
      <c r="N162" s="9">
        <v>4067</v>
      </c>
      <c r="O162" s="9">
        <v>4152</v>
      </c>
      <c r="P162" s="9">
        <v>5017</v>
      </c>
    </row>
    <row r="163" spans="3:16">
      <c r="C163" t="s">
        <v>139</v>
      </c>
      <c r="F163" s="9">
        <v>23150</v>
      </c>
      <c r="G163" s="9">
        <v>23223</v>
      </c>
      <c r="H163" s="9">
        <v>27468</v>
      </c>
      <c r="I163" s="9">
        <v>24013</v>
      </c>
      <c r="J163" s="9">
        <v>28905</v>
      </c>
      <c r="K163" s="9">
        <v>32676</v>
      </c>
      <c r="L163" s="9">
        <v>36000</v>
      </c>
      <c r="M163" s="9">
        <v>41525</v>
      </c>
      <c r="N163" s="9">
        <v>45538</v>
      </c>
      <c r="O163" s="9">
        <v>50901</v>
      </c>
      <c r="P163" s="9">
        <v>57582</v>
      </c>
    </row>
    <row r="164" spans="3:16">
      <c r="C164" t="s">
        <v>140</v>
      </c>
      <c r="F164" s="9">
        <f>558+6906</f>
        <v>7464</v>
      </c>
      <c r="G164" s="9">
        <f>92+6555</f>
        <v>6647</v>
      </c>
      <c r="H164" s="9">
        <f>294+5949</f>
        <v>6243</v>
      </c>
      <c r="I164" s="9">
        <v>7684</v>
      </c>
      <c r="J164" s="9">
        <v>8744</v>
      </c>
      <c r="K164" s="9">
        <v>9351</v>
      </c>
      <c r="L164" s="9">
        <v>10027</v>
      </c>
      <c r="M164" s="9">
        <v>11666</v>
      </c>
      <c r="N164" s="9">
        <v>13067</v>
      </c>
      <c r="O164" s="9">
        <v>14745</v>
      </c>
      <c r="P164" s="9">
        <v>19185</v>
      </c>
    </row>
    <row r="165" spans="2:16">
      <c r="B165" t="s">
        <v>141</v>
      </c>
      <c r="F165" s="14">
        <f t="shared" ref="F165:P165" si="71">SUM(F158:F164)</f>
        <v>45625</v>
      </c>
      <c r="G165" s="14">
        <f t="shared" si="71"/>
        <v>49647</v>
      </c>
      <c r="H165" s="14">
        <f t="shared" si="71"/>
        <v>59357</v>
      </c>
      <c r="I165" s="14">
        <f t="shared" si="71"/>
        <v>55745</v>
      </c>
      <c r="J165" s="14">
        <f t="shared" si="71"/>
        <v>58488</v>
      </c>
      <c r="K165" s="14">
        <f t="shared" si="71"/>
        <v>69420</v>
      </c>
      <c r="L165" s="14">
        <f t="shared" si="71"/>
        <v>72310</v>
      </c>
      <c r="M165" s="14">
        <f t="shared" si="71"/>
        <v>88657</v>
      </c>
      <c r="N165" s="14">
        <f t="shared" si="71"/>
        <v>95082</v>
      </c>
      <c r="O165" s="14">
        <f t="shared" si="71"/>
        <v>104149</v>
      </c>
      <c r="P165" s="14">
        <f t="shared" si="71"/>
        <v>125286</v>
      </c>
    </row>
    <row r="167" spans="2:2">
      <c r="B167" t="s">
        <v>142</v>
      </c>
    </row>
    <row r="168" spans="3:16">
      <c r="C168" t="s">
        <v>143</v>
      </c>
      <c r="F168" s="9">
        <v>20645</v>
      </c>
      <c r="G168" s="9">
        <v>27808</v>
      </c>
      <c r="H168" s="9">
        <v>40557</v>
      </c>
      <c r="I168" s="9">
        <v>76073</v>
      </c>
      <c r="J168" s="9">
        <v>72242</v>
      </c>
      <c r="K168" s="9">
        <v>66662</v>
      </c>
      <c r="L168" s="9">
        <v>59578</v>
      </c>
      <c r="M168" s="9">
        <v>50074</v>
      </c>
      <c r="N168" s="9">
        <v>47032</v>
      </c>
      <c r="O168" s="9">
        <v>41990</v>
      </c>
      <c r="P168" s="9">
        <v>42688</v>
      </c>
    </row>
    <row r="169" spans="3:16">
      <c r="C169" t="s">
        <v>144</v>
      </c>
      <c r="F169" s="9">
        <v>0</v>
      </c>
      <c r="G169" s="9">
        <v>0</v>
      </c>
      <c r="H169" s="9">
        <v>0</v>
      </c>
      <c r="I169" s="9">
        <v>13485</v>
      </c>
      <c r="J169" s="9">
        <v>30265</v>
      </c>
      <c r="K169" s="9">
        <v>29612</v>
      </c>
      <c r="L169" s="9">
        <v>29432</v>
      </c>
      <c r="M169" s="9">
        <v>27190</v>
      </c>
      <c r="N169" s="9">
        <v>26069</v>
      </c>
      <c r="O169" s="9">
        <v>25560</v>
      </c>
      <c r="P169" s="9">
        <v>27931</v>
      </c>
    </row>
    <row r="170" spans="3:16">
      <c r="C170" t="s">
        <v>145</v>
      </c>
      <c r="F170" s="9">
        <v>2008</v>
      </c>
      <c r="G170" s="9">
        <v>2095</v>
      </c>
      <c r="H170" s="9">
        <v>6441</v>
      </c>
      <c r="I170" s="9">
        <v>2643</v>
      </c>
      <c r="J170" s="9">
        <v>3815</v>
      </c>
      <c r="K170" s="9">
        <v>4530</v>
      </c>
      <c r="L170" s="9">
        <v>3180</v>
      </c>
      <c r="M170" s="9">
        <v>2616</v>
      </c>
      <c r="N170" s="9">
        <v>2870</v>
      </c>
      <c r="O170" s="9">
        <v>2912</v>
      </c>
      <c r="P170" s="9">
        <v>2602</v>
      </c>
    </row>
    <row r="171" spans="3:16">
      <c r="C171" t="s">
        <v>146</v>
      </c>
      <c r="F171" s="9">
        <v>2728</v>
      </c>
      <c r="G171" s="9">
        <v>1295</v>
      </c>
      <c r="H171" s="9">
        <v>1476</v>
      </c>
      <c r="I171" s="9">
        <v>5734</v>
      </c>
      <c r="J171" s="9">
        <v>541</v>
      </c>
      <c r="K171" s="9">
        <v>233</v>
      </c>
      <c r="L171" s="9">
        <v>204</v>
      </c>
      <c r="M171" s="9">
        <v>198</v>
      </c>
      <c r="N171" s="9">
        <v>230</v>
      </c>
      <c r="O171" s="9">
        <v>433</v>
      </c>
      <c r="P171" s="9">
        <v>2618</v>
      </c>
    </row>
    <row r="172" spans="3:16">
      <c r="C172" t="s">
        <v>147</v>
      </c>
      <c r="F172" s="9">
        <v>0</v>
      </c>
      <c r="G172" s="9">
        <v>0</v>
      </c>
      <c r="H172" s="9">
        <v>0</v>
      </c>
      <c r="I172" s="9">
        <v>5372</v>
      </c>
      <c r="J172" s="9">
        <v>5568</v>
      </c>
      <c r="K172" s="9">
        <v>6188</v>
      </c>
      <c r="L172" s="9">
        <v>7671</v>
      </c>
      <c r="M172" s="9">
        <v>9629</v>
      </c>
      <c r="N172" s="9">
        <v>11489</v>
      </c>
      <c r="O172" s="9">
        <v>12728</v>
      </c>
      <c r="P172" s="9">
        <v>15497</v>
      </c>
    </row>
    <row r="173" spans="3:16">
      <c r="C173" t="s">
        <v>148</v>
      </c>
      <c r="F173" s="9">
        <f>11594</f>
        <v>11594</v>
      </c>
      <c r="G173" s="9">
        <v>13544</v>
      </c>
      <c r="H173" s="9">
        <v>13640</v>
      </c>
      <c r="I173" s="9">
        <v>3549</v>
      </c>
      <c r="J173" s="9">
        <v>5211</v>
      </c>
      <c r="K173" s="9">
        <v>7581</v>
      </c>
      <c r="L173" s="9">
        <v>10632</v>
      </c>
      <c r="M173" s="9">
        <v>13427</v>
      </c>
      <c r="N173" s="9">
        <v>15526</v>
      </c>
      <c r="O173" s="9">
        <v>17981</v>
      </c>
      <c r="P173" s="9">
        <v>27064</v>
      </c>
    </row>
    <row r="174" spans="2:16">
      <c r="B174" t="s">
        <v>149</v>
      </c>
      <c r="F174" s="14">
        <f t="shared" ref="F174:L174" si="72">SUM(F168:F173)</f>
        <v>36975</v>
      </c>
      <c r="G174" s="14">
        <f t="shared" si="72"/>
        <v>44742</v>
      </c>
      <c r="H174" s="14">
        <f t="shared" si="72"/>
        <v>62114</v>
      </c>
      <c r="I174" s="14">
        <f t="shared" si="72"/>
        <v>106856</v>
      </c>
      <c r="J174" s="14">
        <f t="shared" si="72"/>
        <v>117642</v>
      </c>
      <c r="K174" s="14">
        <f t="shared" si="72"/>
        <v>114806</v>
      </c>
      <c r="L174" s="14">
        <f t="shared" si="72"/>
        <v>110697</v>
      </c>
      <c r="M174" s="14">
        <f t="shared" ref="L174:P174" si="73">SUM(M168:M173)</f>
        <v>103134</v>
      </c>
      <c r="N174" s="14">
        <f t="shared" si="73"/>
        <v>103216</v>
      </c>
      <c r="O174" s="14">
        <f t="shared" si="73"/>
        <v>101604</v>
      </c>
      <c r="P174" s="14">
        <f t="shared" si="73"/>
        <v>118400</v>
      </c>
    </row>
    <row r="176" spans="2:16">
      <c r="B176" t="s">
        <v>150</v>
      </c>
      <c r="F176" s="14">
        <f t="shared" ref="F176:L176" si="74">F165+F174</f>
        <v>82600</v>
      </c>
      <c r="G176" s="14">
        <f t="shared" si="74"/>
        <v>94389</v>
      </c>
      <c r="H176" s="14">
        <f t="shared" si="74"/>
        <v>121471</v>
      </c>
      <c r="I176" s="14">
        <f t="shared" si="74"/>
        <v>162601</v>
      </c>
      <c r="J176" s="14">
        <f t="shared" si="74"/>
        <v>176130</v>
      </c>
      <c r="K176" s="14">
        <f t="shared" si="74"/>
        <v>184226</v>
      </c>
      <c r="L176" s="14">
        <f t="shared" si="74"/>
        <v>183007</v>
      </c>
      <c r="M176" s="14">
        <f t="shared" ref="L176:P176" si="75">M165+M174</f>
        <v>191791</v>
      </c>
      <c r="N176" s="14">
        <f t="shared" si="75"/>
        <v>198298</v>
      </c>
      <c r="O176" s="14">
        <f t="shared" si="75"/>
        <v>205753</v>
      </c>
      <c r="P176" s="14">
        <f t="shared" si="75"/>
        <v>243686</v>
      </c>
    </row>
    <row r="178" spans="2:2">
      <c r="B178" t="s">
        <v>151</v>
      </c>
    </row>
    <row r="179" spans="3:16">
      <c r="C179" t="s">
        <v>152</v>
      </c>
      <c r="F179" s="9">
        <v>68366</v>
      </c>
      <c r="G179" s="9">
        <v>68465</v>
      </c>
      <c r="H179" s="9">
        <v>68178</v>
      </c>
      <c r="I179" s="9">
        <v>69315</v>
      </c>
      <c r="J179" s="9">
        <v>71223</v>
      </c>
      <c r="K179" s="9">
        <v>78520</v>
      </c>
      <c r="L179" s="9">
        <v>80552</v>
      </c>
      <c r="M179" s="9">
        <v>83111</v>
      </c>
      <c r="N179" s="9">
        <v>86939</v>
      </c>
      <c r="O179" s="9">
        <v>93718</v>
      </c>
      <c r="P179" s="9">
        <v>100923</v>
      </c>
    </row>
    <row r="180" spans="3:16">
      <c r="C180" t="s">
        <v>153</v>
      </c>
      <c r="F180" s="9">
        <v>17710</v>
      </c>
      <c r="G180" s="9">
        <v>9096</v>
      </c>
      <c r="H180" s="9">
        <v>2282</v>
      </c>
      <c r="I180" s="9">
        <v>17769</v>
      </c>
      <c r="J180" s="9">
        <v>13682</v>
      </c>
      <c r="K180" s="9">
        <v>24150</v>
      </c>
      <c r="L180" s="9">
        <v>34566</v>
      </c>
      <c r="M180" s="9">
        <v>57055</v>
      </c>
      <c r="N180" s="9">
        <v>54281</v>
      </c>
      <c r="O180" s="9">
        <v>118848</v>
      </c>
      <c r="P180" s="9">
        <v>173144</v>
      </c>
    </row>
    <row r="181" spans="3:16">
      <c r="C181" t="s">
        <v>154</v>
      </c>
      <c r="F181" s="9">
        <v>3708</v>
      </c>
      <c r="G181" s="9">
        <v>2522</v>
      </c>
      <c r="H181" s="9">
        <v>1537</v>
      </c>
      <c r="I181" s="9">
        <v>627</v>
      </c>
      <c r="J181" s="9">
        <v>-2187</v>
      </c>
      <c r="K181" s="9">
        <v>-340</v>
      </c>
      <c r="L181" s="9">
        <v>3186</v>
      </c>
      <c r="M181" s="9">
        <v>1822</v>
      </c>
      <c r="N181" s="9">
        <v>-4678</v>
      </c>
      <c r="O181" s="9">
        <v>-6343</v>
      </c>
      <c r="P181" s="9">
        <v>-5590</v>
      </c>
    </row>
    <row r="182" spans="2:16">
      <c r="B182" t="s">
        <v>155</v>
      </c>
      <c r="F182" s="14">
        <f t="shared" ref="F182:L182" si="76">SUM(F179:F181)</f>
        <v>89784</v>
      </c>
      <c r="G182" s="14">
        <f t="shared" si="76"/>
        <v>80083</v>
      </c>
      <c r="H182" s="14">
        <f t="shared" si="76"/>
        <v>71997</v>
      </c>
      <c r="I182" s="14">
        <f t="shared" si="76"/>
        <v>87711</v>
      </c>
      <c r="J182" s="14">
        <f t="shared" si="76"/>
        <v>82718</v>
      </c>
      <c r="K182" s="14">
        <f t="shared" si="76"/>
        <v>102330</v>
      </c>
      <c r="L182" s="14">
        <f t="shared" si="76"/>
        <v>118304</v>
      </c>
      <c r="M182" s="14">
        <f t="shared" ref="L182:P182" si="77">SUM(M179:M181)</f>
        <v>141988</v>
      </c>
      <c r="N182" s="14">
        <f t="shared" si="77"/>
        <v>136542</v>
      </c>
      <c r="O182" s="14">
        <f t="shared" si="77"/>
        <v>206223</v>
      </c>
      <c r="P182" s="14">
        <f t="shared" si="77"/>
        <v>268477</v>
      </c>
    </row>
    <row r="184" spans="2:16">
      <c r="B184" t="s">
        <v>156</v>
      </c>
      <c r="F184" s="14">
        <f t="shared" ref="F184:L184" si="78">F176+F182</f>
        <v>172384</v>
      </c>
      <c r="G184" s="14">
        <f t="shared" si="78"/>
        <v>174472</v>
      </c>
      <c r="H184" s="14">
        <f t="shared" si="78"/>
        <v>193468</v>
      </c>
      <c r="I184" s="14">
        <f t="shared" si="78"/>
        <v>250312</v>
      </c>
      <c r="J184" s="14">
        <f t="shared" si="78"/>
        <v>258848</v>
      </c>
      <c r="K184" s="14">
        <f t="shared" si="78"/>
        <v>286556</v>
      </c>
      <c r="L184" s="14">
        <f t="shared" si="78"/>
        <v>301311</v>
      </c>
      <c r="M184" s="14">
        <f t="shared" ref="L184:P184" si="79">M176+M182</f>
        <v>333779</v>
      </c>
      <c r="N184" s="14">
        <f t="shared" si="79"/>
        <v>334840</v>
      </c>
      <c r="O184" s="14">
        <f t="shared" si="79"/>
        <v>411976</v>
      </c>
      <c r="P184" s="14">
        <f t="shared" si="79"/>
        <v>512163</v>
      </c>
    </row>
    <row r="186" ht="15.75" spans="3:4">
      <c r="C186" s="20" t="s">
        <v>4</v>
      </c>
      <c r="D186" s="19"/>
    </row>
    <row r="187" s="37" customFormat="1" spans="3:22">
      <c r="C187" s="23" t="s">
        <v>157</v>
      </c>
      <c r="D187" s="64"/>
      <c r="E187" s="61"/>
      <c r="F187" s="61">
        <f t="shared" ref="F187:P187" si="80">F176/F155</f>
        <v>0.479162799331725</v>
      </c>
      <c r="G187" s="61">
        <f t="shared" si="80"/>
        <v>0.540997982484295</v>
      </c>
      <c r="H187" s="61">
        <f t="shared" si="80"/>
        <v>0.627860938243017</v>
      </c>
      <c r="I187" s="61">
        <f t="shared" si="80"/>
        <v>0.649593307552175</v>
      </c>
      <c r="J187" s="61">
        <f t="shared" si="80"/>
        <v>0.680437940412906</v>
      </c>
      <c r="K187" s="61">
        <f t="shared" si="80"/>
        <v>0.64289702536328</v>
      </c>
      <c r="L187" s="61">
        <f t="shared" si="80"/>
        <v>0.60736913023421</v>
      </c>
      <c r="M187" s="61">
        <f t="shared" si="80"/>
        <v>0.574604753444644</v>
      </c>
      <c r="N187" s="61">
        <f t="shared" si="80"/>
        <v>0.543520447319373</v>
      </c>
      <c r="O187" s="61">
        <f t="shared" si="80"/>
        <v>0.499429578422044</v>
      </c>
      <c r="P187" s="61">
        <f t="shared" si="80"/>
        <v>0.475797744077569</v>
      </c>
      <c r="Q187" s="61"/>
      <c r="R187" s="67">
        <f>AVERAGE(E187:Q187)</f>
        <v>0.574697422444112</v>
      </c>
      <c r="S187" s="61"/>
      <c r="T187" s="61"/>
      <c r="U187" s="61"/>
      <c r="V187" s="61"/>
    </row>
    <row r="188" s="37" customFormat="1" spans="3:22">
      <c r="C188" s="23" t="s">
        <v>158</v>
      </c>
      <c r="D188" s="64"/>
      <c r="E188" s="61"/>
      <c r="F188" s="61">
        <f t="shared" ref="F188:P188" si="81">F176/F182</f>
        <v>0.919985743562327</v>
      </c>
      <c r="G188" s="61">
        <f t="shared" si="81"/>
        <v>1.17863966135135</v>
      </c>
      <c r="H188" s="61">
        <f t="shared" si="81"/>
        <v>1.68716752086893</v>
      </c>
      <c r="I188" s="61">
        <f t="shared" si="81"/>
        <v>1.85382677201263</v>
      </c>
      <c r="J188" s="61">
        <f t="shared" si="81"/>
        <v>2.1292826228874</v>
      </c>
      <c r="K188" s="61">
        <f t="shared" si="81"/>
        <v>1.80031271376918</v>
      </c>
      <c r="L188" s="61">
        <f t="shared" si="81"/>
        <v>1.54692149039762</v>
      </c>
      <c r="M188" s="61">
        <f t="shared" si="81"/>
        <v>1.35075499337972</v>
      </c>
      <c r="N188" s="61">
        <f t="shared" si="81"/>
        <v>1.45228574358073</v>
      </c>
      <c r="O188" s="61">
        <f t="shared" si="81"/>
        <v>0.997720913768105</v>
      </c>
      <c r="P188" s="61">
        <f t="shared" si="81"/>
        <v>0.907660618972947</v>
      </c>
      <c r="Q188" s="61"/>
      <c r="R188" s="67">
        <f>AVERAGE(E188:Q188)</f>
        <v>1.43859625405008</v>
      </c>
      <c r="S188" s="61"/>
      <c r="T188" s="61"/>
      <c r="U188" s="61"/>
      <c r="V188" s="61"/>
    </row>
    <row r="189" s="37" customFormat="1" spans="3:22">
      <c r="C189" s="23" t="s">
        <v>159</v>
      </c>
      <c r="D189" s="64"/>
      <c r="E189" s="61"/>
      <c r="F189" s="61">
        <f>F176/F91</f>
        <v>0.95125125240404</v>
      </c>
      <c r="G189" s="61">
        <f t="shared" ref="G189:P189" si="82">G176/G91</f>
        <v>1.00864500961744</v>
      </c>
      <c r="H189" s="61">
        <f t="shared" si="82"/>
        <v>1.33259099984641</v>
      </c>
      <c r="I189" s="61">
        <f t="shared" si="82"/>
        <v>1.68374563792443</v>
      </c>
      <c r="J189" s="61">
        <f t="shared" si="82"/>
        <v>1.59595868068141</v>
      </c>
      <c r="K189" s="61">
        <f t="shared" si="82"/>
        <v>1.46393522087045</v>
      </c>
      <c r="L189" s="61">
        <f t="shared" si="82"/>
        <v>1.27963500332133</v>
      </c>
      <c r="M189" s="61">
        <f t="shared" si="82"/>
        <v>1.14101542049403</v>
      </c>
      <c r="N189" s="61">
        <f t="shared" si="82"/>
        <v>1.00014122156655</v>
      </c>
      <c r="O189" s="61">
        <f t="shared" si="82"/>
        <v>0.970922303753864</v>
      </c>
      <c r="P189" s="61">
        <f t="shared" si="82"/>
        <v>0.994141692708121</v>
      </c>
      <c r="Q189" s="61"/>
      <c r="R189" s="67">
        <f>AVERAGE(E189:Q189)</f>
        <v>1.22018022210801</v>
      </c>
      <c r="S189" s="61"/>
      <c r="T189" s="61"/>
      <c r="U189" s="61"/>
      <c r="V189" s="61"/>
    </row>
    <row r="190" spans="18:18">
      <c r="R190" s="67"/>
    </row>
    <row r="191" ht="15.75" spans="3:18">
      <c r="C191" s="20" t="s">
        <v>5</v>
      </c>
      <c r="D191" s="19"/>
      <c r="R191" s="67"/>
    </row>
    <row r="192" s="37" customFormat="1" spans="3:22">
      <c r="C192" s="23" t="s">
        <v>160</v>
      </c>
      <c r="D192" s="64"/>
      <c r="E192" s="61"/>
      <c r="F192" s="61">
        <f>F93/F142</f>
        <v>6.27105263157895</v>
      </c>
      <c r="G192" s="61">
        <f t="shared" ref="G192:P192" si="83">G93/G142</f>
        <v>7.3776705720193</v>
      </c>
      <c r="H192" s="61">
        <f t="shared" si="83"/>
        <v>7.94313638382941</v>
      </c>
      <c r="I192" s="61">
        <f t="shared" si="83"/>
        <v>6.95781751490142</v>
      </c>
      <c r="J192" s="61">
        <f t="shared" si="83"/>
        <v>5.79263711495116</v>
      </c>
      <c r="K192" s="61">
        <f t="shared" si="83"/>
        <v>7.88802714493456</v>
      </c>
      <c r="L192" s="61">
        <f t="shared" si="83"/>
        <v>8.45224274406332</v>
      </c>
      <c r="M192" s="61">
        <f t="shared" si="83"/>
        <v>6.91160849772382</v>
      </c>
      <c r="N192" s="61">
        <f t="shared" si="83"/>
        <v>5.09460181721005</v>
      </c>
      <c r="O192" s="61">
        <f t="shared" si="83"/>
        <v>7.1216</v>
      </c>
      <c r="P192" s="61">
        <f t="shared" si="83"/>
        <v>12.2568218298555</v>
      </c>
      <c r="Q192" s="61"/>
      <c r="R192" s="67">
        <f>AVERAGE(E192:Q192)</f>
        <v>7.46065602282432</v>
      </c>
      <c r="V192" s="61"/>
    </row>
    <row r="193" s="37" customFormat="1" spans="3:22">
      <c r="C193" s="23" t="s">
        <v>161</v>
      </c>
      <c r="D193" s="64"/>
      <c r="E193" s="61"/>
      <c r="F193" s="61">
        <f>F91/F141</f>
        <v>4.44294924273434</v>
      </c>
      <c r="G193" s="61">
        <f t="shared" ref="G193:P193" si="84">G91/G141</f>
        <v>5.22559749832477</v>
      </c>
      <c r="H193" s="61">
        <f t="shared" si="84"/>
        <v>4.98736116430486</v>
      </c>
      <c r="I193" s="61">
        <f t="shared" si="84"/>
        <v>4.30524720253221</v>
      </c>
      <c r="J193" s="61">
        <f t="shared" si="84"/>
        <v>4.16751633246479</v>
      </c>
      <c r="K193" s="61">
        <f t="shared" si="84"/>
        <v>4.26239669421488</v>
      </c>
      <c r="L193" s="61">
        <f t="shared" si="84"/>
        <v>4.46768298397426</v>
      </c>
      <c r="M193" s="61">
        <f t="shared" si="84"/>
        <v>4.41836868806351</v>
      </c>
      <c r="N193" s="61">
        <f t="shared" si="84"/>
        <v>4.47956440206954</v>
      </c>
      <c r="O193" s="61">
        <f t="shared" si="84"/>
        <v>4.35250985869208</v>
      </c>
      <c r="P193" s="61">
        <f t="shared" si="84"/>
        <v>4.30612746820322</v>
      </c>
      <c r="Q193" s="61"/>
      <c r="R193" s="67">
        <f>AVERAGE(E193:Q193)</f>
        <v>4.49230195777986</v>
      </c>
      <c r="V193" s="61"/>
    </row>
    <row r="194" s="37" customFormat="1" spans="3:22">
      <c r="C194" s="23" t="s">
        <v>162</v>
      </c>
      <c r="D194" s="64"/>
      <c r="E194" s="61"/>
      <c r="F194" s="61">
        <f>F95/F158</f>
        <v>3.64343379978471</v>
      </c>
      <c r="G194" s="61">
        <f t="shared" ref="G194:P194" si="85">G95/G158</f>
        <v>5.01259292975269</v>
      </c>
      <c r="H194" s="61">
        <f t="shared" si="85"/>
        <v>4.7521020585677</v>
      </c>
      <c r="I194" s="61">
        <f t="shared" si="85"/>
        <v>4.6361299052774</v>
      </c>
      <c r="J194" s="61">
        <f t="shared" si="85"/>
        <v>4.45085296506905</v>
      </c>
      <c r="K194" s="61">
        <f t="shared" si="85"/>
        <v>4.57365167341718</v>
      </c>
      <c r="L194" s="61">
        <f t="shared" si="85"/>
        <v>3.67741420590583</v>
      </c>
      <c r="M194" s="61">
        <f t="shared" si="85"/>
        <v>3.44470091670514</v>
      </c>
      <c r="N194" s="61">
        <f t="shared" si="85"/>
        <v>3.29736842105263</v>
      </c>
      <c r="O194" s="61">
        <f t="shared" si="85"/>
        <v>3.63984526112186</v>
      </c>
      <c r="P194" s="61">
        <f t="shared" si="85"/>
        <v>3.36943080560102</v>
      </c>
      <c r="Q194" s="61"/>
      <c r="R194" s="67">
        <f>AVERAGE(E194:Q194)</f>
        <v>4.04522935838684</v>
      </c>
      <c r="V194" s="61"/>
    </row>
    <row r="199" ht="15.75" spans="2:2">
      <c r="B199" s="13" t="s">
        <v>163</v>
      </c>
    </row>
    <row r="200" spans="2:2">
      <c r="B200" t="s">
        <v>164</v>
      </c>
    </row>
    <row r="201" spans="3:16">
      <c r="C201" t="s">
        <v>102</v>
      </c>
      <c r="F201" s="9">
        <v>22074</v>
      </c>
      <c r="G201" s="9">
        <v>12193</v>
      </c>
      <c r="H201" s="9">
        <v>20539</v>
      </c>
      <c r="I201" s="9">
        <v>25489</v>
      </c>
      <c r="J201" s="9">
        <v>16571</v>
      </c>
      <c r="K201" s="9">
        <v>39240</v>
      </c>
      <c r="L201" s="9">
        <v>44281</v>
      </c>
      <c r="M201" s="9">
        <v>61271</v>
      </c>
      <c r="N201" s="9">
        <v>72738</v>
      </c>
      <c r="O201" s="9">
        <v>72361</v>
      </c>
      <c r="P201" s="9">
        <v>88136</v>
      </c>
    </row>
    <row r="202" spans="3:16">
      <c r="C202" t="s">
        <v>165</v>
      </c>
      <c r="F202" s="9">
        <v>0</v>
      </c>
      <c r="G202" s="9">
        <v>7498</v>
      </c>
      <c r="H202" s="9">
        <v>630</v>
      </c>
      <c r="I202" s="9">
        <v>0</v>
      </c>
      <c r="J202" s="9">
        <v>0</v>
      </c>
      <c r="K202" s="9">
        <v>0</v>
      </c>
      <c r="L202" s="9">
        <v>0</v>
      </c>
      <c r="M202" s="9">
        <v>0</v>
      </c>
      <c r="N202" s="9">
        <v>0</v>
      </c>
      <c r="O202" s="9">
        <v>0</v>
      </c>
      <c r="P202" s="9">
        <v>0</v>
      </c>
    </row>
    <row r="203" spans="3:16">
      <c r="C203" t="s">
        <v>166</v>
      </c>
      <c r="F203" s="9">
        <v>5212</v>
      </c>
      <c r="G203" s="9">
        <v>5957</v>
      </c>
      <c r="H203" s="9">
        <v>6622</v>
      </c>
      <c r="I203" s="9">
        <v>8778</v>
      </c>
      <c r="J203" s="9">
        <v>10261</v>
      </c>
      <c r="K203" s="9">
        <v>11682</v>
      </c>
      <c r="L203" s="9">
        <v>12796</v>
      </c>
      <c r="M203" s="9">
        <v>11686</v>
      </c>
      <c r="N203" s="9">
        <v>14460</v>
      </c>
      <c r="O203" s="9">
        <v>13861</v>
      </c>
      <c r="P203" s="9">
        <v>22287</v>
      </c>
    </row>
    <row r="204" spans="3:16">
      <c r="C204" t="s">
        <v>167</v>
      </c>
      <c r="F204" s="9">
        <v>2446</v>
      </c>
      <c r="G204" s="9">
        <v>2574</v>
      </c>
      <c r="H204" s="9">
        <v>2668</v>
      </c>
      <c r="I204" s="9">
        <v>3266</v>
      </c>
      <c r="J204" s="9">
        <v>3940</v>
      </c>
      <c r="K204" s="9">
        <v>4652</v>
      </c>
      <c r="L204" s="9">
        <v>5289</v>
      </c>
      <c r="M204" s="9">
        <v>6118</v>
      </c>
      <c r="N204" s="9">
        <v>7502</v>
      </c>
      <c r="O204" s="9">
        <v>9611</v>
      </c>
      <c r="P204" s="9">
        <v>10734</v>
      </c>
    </row>
    <row r="205" spans="3:16">
      <c r="C205" t="s">
        <v>168</v>
      </c>
      <c r="F205" s="9">
        <v>-109</v>
      </c>
      <c r="G205" s="9">
        <v>-443</v>
      </c>
      <c r="H205" s="9">
        <v>-223</v>
      </c>
      <c r="I205" s="9">
        <v>-2073</v>
      </c>
      <c r="J205" s="9">
        <v>-2212</v>
      </c>
      <c r="K205" s="9">
        <v>-792</v>
      </c>
      <c r="L205" s="9">
        <v>-219</v>
      </c>
      <c r="M205" s="9">
        <v>-1249</v>
      </c>
      <c r="N205" s="9">
        <v>-409</v>
      </c>
      <c r="O205" s="9">
        <v>196</v>
      </c>
      <c r="P205" s="9">
        <v>305</v>
      </c>
    </row>
    <row r="206" spans="3:16">
      <c r="C206" t="s">
        <v>146</v>
      </c>
      <c r="F206" s="9">
        <v>-331</v>
      </c>
      <c r="G206" s="9">
        <v>224</v>
      </c>
      <c r="H206" s="9">
        <v>2479</v>
      </c>
      <c r="I206" s="9">
        <v>-829</v>
      </c>
      <c r="J206" s="9">
        <v>-5143</v>
      </c>
      <c r="K206" s="9">
        <v>-6463</v>
      </c>
      <c r="L206" s="9">
        <v>11</v>
      </c>
      <c r="M206" s="9">
        <v>-150</v>
      </c>
      <c r="N206" s="9">
        <v>-5702</v>
      </c>
      <c r="O206" s="9">
        <v>-6059</v>
      </c>
      <c r="P206" s="9">
        <v>-4738</v>
      </c>
    </row>
    <row r="207" spans="3:16">
      <c r="C207" t="s">
        <v>169</v>
      </c>
      <c r="F207" s="9">
        <f>44325-41739-1120-161-29-628+473+1075+1014</f>
        <v>3210</v>
      </c>
      <c r="G207" s="9">
        <f>45072-44920+1456-272+62+346-1054-624+1599</f>
        <v>1665</v>
      </c>
      <c r="H207" s="9">
        <f>562+600-1212-1110+88+2565-298-179-406</f>
        <v>610</v>
      </c>
      <c r="I207" s="9">
        <f>-1216+50+1028-917+81+3820+1792+356-118</f>
        <v>4876</v>
      </c>
      <c r="J207" s="9">
        <f>-3862-465-952-285+1148+5922+18183+798-20</f>
        <v>20467</v>
      </c>
      <c r="K207" s="9">
        <f>-2812+597-1718-1834+232+4462+2929+1419+591</f>
        <v>3866</v>
      </c>
      <c r="L207" s="9">
        <f>-2577+168-2330-1037+3018+2212-3631+1346+1348</f>
        <v>-1483</v>
      </c>
      <c r="M207" s="9">
        <f>-6481-737-932-3459+2798+4633-2309+4149+1402</f>
        <v>-936</v>
      </c>
      <c r="N207" s="9">
        <f>-6834-1123-709-2805+2943+5109+696+2344+825</f>
        <v>446</v>
      </c>
      <c r="O207" s="9">
        <f>-4087+1242-1991-2833-2721+5535-358+2272+553</f>
        <v>-2388</v>
      </c>
      <c r="P207" s="9">
        <f>-7191+1284-1648-6817+3545+5348+1687+4867+749</f>
        <v>1824</v>
      </c>
    </row>
    <row r="208" spans="2:16">
      <c r="B208" t="s">
        <v>170</v>
      </c>
      <c r="F208" s="14">
        <f t="shared" ref="F208:P208" si="86">SUM(F201:F207)</f>
        <v>32502</v>
      </c>
      <c r="G208" s="14">
        <f t="shared" si="86"/>
        <v>29668</v>
      </c>
      <c r="H208" s="14">
        <f t="shared" si="86"/>
        <v>33325</v>
      </c>
      <c r="I208" s="14">
        <f t="shared" si="86"/>
        <v>39507</v>
      </c>
      <c r="J208" s="14">
        <f t="shared" si="86"/>
        <v>43884</v>
      </c>
      <c r="K208" s="14">
        <f t="shared" si="86"/>
        <v>52185</v>
      </c>
      <c r="L208" s="14">
        <f t="shared" si="86"/>
        <v>60675</v>
      </c>
      <c r="M208" s="14">
        <f t="shared" si="86"/>
        <v>76740</v>
      </c>
      <c r="N208" s="14">
        <f t="shared" si="86"/>
        <v>89035</v>
      </c>
      <c r="O208" s="14">
        <f t="shared" si="86"/>
        <v>87582</v>
      </c>
      <c r="P208" s="14">
        <f t="shared" si="86"/>
        <v>118548</v>
      </c>
    </row>
    <row r="210" spans="2:2">
      <c r="B210" t="s">
        <v>171</v>
      </c>
    </row>
    <row r="211" spans="3:16">
      <c r="C211" t="s">
        <v>172</v>
      </c>
      <c r="F211" s="9">
        <v>0</v>
      </c>
      <c r="G211" s="9">
        <v>0</v>
      </c>
      <c r="H211" s="9">
        <v>0</v>
      </c>
      <c r="I211" s="9">
        <v>0</v>
      </c>
      <c r="J211" s="9">
        <v>0</v>
      </c>
      <c r="K211" s="9">
        <v>0</v>
      </c>
      <c r="L211" s="9">
        <v>-3417</v>
      </c>
      <c r="M211" s="9">
        <v>-1754</v>
      </c>
      <c r="N211" s="9">
        <v>0</v>
      </c>
      <c r="O211" s="9">
        <v>0</v>
      </c>
      <c r="P211" s="9">
        <v>0</v>
      </c>
    </row>
    <row r="212" spans="3:16">
      <c r="C212" t="s">
        <v>173</v>
      </c>
      <c r="F212" s="9">
        <f>500+10350</f>
        <v>10850</v>
      </c>
      <c r="G212" s="9">
        <f>4481+10680</f>
        <v>15161</v>
      </c>
      <c r="H212" s="9">
        <f>7195+13884</f>
        <v>21079</v>
      </c>
      <c r="I212" s="9">
        <v>44344</v>
      </c>
      <c r="J212" s="9">
        <v>7183</v>
      </c>
      <c r="K212" s="9">
        <v>0</v>
      </c>
      <c r="L212" s="9">
        <v>0</v>
      </c>
      <c r="M212" s="9">
        <v>0</v>
      </c>
      <c r="N212" s="9">
        <v>0</v>
      </c>
      <c r="O212" s="9">
        <v>0</v>
      </c>
      <c r="P212" s="9">
        <f>5250+24395</f>
        <v>29645</v>
      </c>
    </row>
    <row r="213" spans="3:16">
      <c r="C213" t="s">
        <v>174</v>
      </c>
      <c r="F213" s="9">
        <v>-3888</v>
      </c>
      <c r="G213" s="9">
        <v>-1500</v>
      </c>
      <c r="H213" s="9">
        <v>-2796</v>
      </c>
      <c r="I213" s="9">
        <f>-4963-7922</f>
        <v>-12885</v>
      </c>
      <c r="J213" s="9">
        <f>-7324-10060</f>
        <v>-17384</v>
      </c>
      <c r="K213" s="9">
        <v>-4000</v>
      </c>
      <c r="L213" s="9">
        <v>-5518</v>
      </c>
      <c r="M213" s="9">
        <v>-3750</v>
      </c>
      <c r="N213" s="9">
        <v>-9023</v>
      </c>
      <c r="O213" s="9">
        <v>-2750</v>
      </c>
      <c r="P213" s="9">
        <v>-29070</v>
      </c>
    </row>
    <row r="214" spans="3:16">
      <c r="C214" t="s">
        <v>175</v>
      </c>
      <c r="F214" s="9">
        <v>607</v>
      </c>
      <c r="G214" s="9">
        <v>634</v>
      </c>
      <c r="H214" s="9">
        <v>668</v>
      </c>
      <c r="I214" s="9">
        <v>772</v>
      </c>
      <c r="J214" s="9">
        <v>1002</v>
      </c>
      <c r="K214" s="9">
        <v>1142</v>
      </c>
      <c r="L214" s="9">
        <v>1343</v>
      </c>
      <c r="M214" s="9">
        <v>1693</v>
      </c>
      <c r="N214" s="9">
        <v>1841</v>
      </c>
      <c r="O214" s="9">
        <v>1866</v>
      </c>
      <c r="P214" s="9">
        <v>2002</v>
      </c>
    </row>
    <row r="215" spans="3:16">
      <c r="C215" t="s">
        <v>176</v>
      </c>
      <c r="F215" s="9">
        <v>-7316</v>
      </c>
      <c r="G215" s="9">
        <v>-14443</v>
      </c>
      <c r="H215" s="9">
        <v>-15969</v>
      </c>
      <c r="I215" s="9">
        <v>-11788</v>
      </c>
      <c r="J215" s="9">
        <v>-10721</v>
      </c>
      <c r="K215" s="9">
        <v>-19543</v>
      </c>
      <c r="L215" s="9">
        <v>-22968</v>
      </c>
      <c r="M215" s="9">
        <v>-27385</v>
      </c>
      <c r="N215" s="9">
        <v>-32696</v>
      </c>
      <c r="O215" s="9">
        <v>-22245</v>
      </c>
      <c r="P215" s="9">
        <v>-17254</v>
      </c>
    </row>
    <row r="216" spans="3:16">
      <c r="C216" t="s">
        <v>177</v>
      </c>
      <c r="F216" s="9">
        <v>-8879</v>
      </c>
      <c r="G216" s="9">
        <v>-9882</v>
      </c>
      <c r="H216" s="9">
        <v>-11006</v>
      </c>
      <c r="I216" s="9">
        <v>-11845</v>
      </c>
      <c r="J216" s="9">
        <v>-12699</v>
      </c>
      <c r="K216" s="9">
        <v>-13811</v>
      </c>
      <c r="L216" s="9">
        <v>-15137</v>
      </c>
      <c r="M216" s="9">
        <v>-16521</v>
      </c>
      <c r="N216" s="9">
        <v>-18135</v>
      </c>
      <c r="O216" s="9">
        <v>-19800</v>
      </c>
      <c r="P216" s="9">
        <v>-21771</v>
      </c>
    </row>
    <row r="217" spans="3:16">
      <c r="C217" t="s">
        <v>51</v>
      </c>
      <c r="F217" s="9">
        <v>-39</v>
      </c>
      <c r="G217" s="9">
        <v>362</v>
      </c>
      <c r="H217" s="9">
        <v>-369</v>
      </c>
      <c r="I217" s="9">
        <v>-190</v>
      </c>
      <c r="J217" s="9">
        <v>-971</v>
      </c>
      <c r="K217" s="9">
        <v>-675</v>
      </c>
      <c r="L217" s="9">
        <v>-334</v>
      </c>
      <c r="M217" s="9">
        <v>-769</v>
      </c>
      <c r="N217" s="9">
        <v>-863</v>
      </c>
      <c r="O217" s="9">
        <v>-1006</v>
      </c>
      <c r="P217" s="9">
        <v>-1309</v>
      </c>
    </row>
    <row r="218" spans="2:16">
      <c r="B218" t="s">
        <v>178</v>
      </c>
      <c r="F218" s="14">
        <f>SUM(F211:F217)</f>
        <v>-8665</v>
      </c>
      <c r="G218" s="14">
        <f t="shared" ref="G218:P218" si="87">SUM(G211:G217)</f>
        <v>-9668</v>
      </c>
      <c r="H218" s="14">
        <f t="shared" si="87"/>
        <v>-8393</v>
      </c>
      <c r="I218" s="14">
        <f t="shared" si="87"/>
        <v>8408</v>
      </c>
      <c r="J218" s="14">
        <f t="shared" si="87"/>
        <v>-33590</v>
      </c>
      <c r="K218" s="14">
        <f t="shared" si="87"/>
        <v>-36887</v>
      </c>
      <c r="L218" s="14">
        <f t="shared" si="87"/>
        <v>-46031</v>
      </c>
      <c r="M218" s="14">
        <f t="shared" si="87"/>
        <v>-48486</v>
      </c>
      <c r="N218" s="14">
        <f t="shared" si="87"/>
        <v>-58876</v>
      </c>
      <c r="O218" s="14">
        <f t="shared" si="87"/>
        <v>-43935</v>
      </c>
      <c r="P218" s="14">
        <f t="shared" si="87"/>
        <v>-37757</v>
      </c>
    </row>
    <row r="220" spans="2:2">
      <c r="B220" t="s">
        <v>179</v>
      </c>
    </row>
    <row r="221" spans="3:16">
      <c r="C221" t="s">
        <v>180</v>
      </c>
      <c r="F221" s="9">
        <v>-5485</v>
      </c>
      <c r="G221" s="9">
        <v>-5944</v>
      </c>
      <c r="H221" s="9">
        <v>-8343</v>
      </c>
      <c r="I221" s="9">
        <v>-8129</v>
      </c>
      <c r="J221" s="9">
        <v>-11632</v>
      </c>
      <c r="K221" s="9">
        <v>-13925</v>
      </c>
      <c r="L221" s="9">
        <v>-15441</v>
      </c>
      <c r="M221" s="9">
        <v>-20622</v>
      </c>
      <c r="N221" s="9">
        <v>-23886</v>
      </c>
      <c r="O221" s="9">
        <v>-28107</v>
      </c>
      <c r="P221" s="9">
        <v>-44477</v>
      </c>
    </row>
    <row r="222" spans="3:16">
      <c r="C222" t="s">
        <v>181</v>
      </c>
      <c r="F222" s="9">
        <v>-5937</v>
      </c>
      <c r="G222" s="9">
        <v>-3723</v>
      </c>
      <c r="H222" s="9">
        <v>-1393</v>
      </c>
      <c r="I222" s="9">
        <v>-25944</v>
      </c>
      <c r="J222" s="9">
        <v>-888</v>
      </c>
      <c r="K222" s="9">
        <v>-2388</v>
      </c>
      <c r="L222" s="9">
        <v>-2521</v>
      </c>
      <c r="M222" s="9">
        <v>-8909</v>
      </c>
      <c r="N222" s="9">
        <v>-22038</v>
      </c>
      <c r="O222" s="9">
        <v>-1670</v>
      </c>
      <c r="P222" s="9">
        <v>-69132</v>
      </c>
    </row>
    <row r="223" spans="3:16">
      <c r="C223" t="s">
        <v>182</v>
      </c>
      <c r="F223" s="9">
        <v>-72690</v>
      </c>
      <c r="G223" s="9">
        <v>-98729</v>
      </c>
      <c r="H223" s="9">
        <v>-129758</v>
      </c>
      <c r="I223" s="9">
        <v>-176905</v>
      </c>
      <c r="J223" s="9">
        <v>-137380</v>
      </c>
      <c r="K223" s="9">
        <v>-57697</v>
      </c>
      <c r="L223" s="9">
        <v>-77190</v>
      </c>
      <c r="M223" s="9">
        <v>-62924</v>
      </c>
      <c r="N223" s="9">
        <v>-26456</v>
      </c>
      <c r="O223" s="9">
        <v>-37651</v>
      </c>
      <c r="P223" s="9">
        <v>-17732</v>
      </c>
    </row>
    <row r="224" spans="3:16">
      <c r="C224" t="s">
        <v>183</v>
      </c>
      <c r="F224" s="9">
        <v>5272</v>
      </c>
      <c r="G224" s="9">
        <v>15013</v>
      </c>
      <c r="H224" s="9">
        <v>22054</v>
      </c>
      <c r="I224" s="9">
        <v>28044</v>
      </c>
      <c r="J224" s="9">
        <v>26360</v>
      </c>
      <c r="K224" s="9">
        <v>20043</v>
      </c>
      <c r="L224" s="9">
        <v>66449</v>
      </c>
      <c r="M224" s="9">
        <v>51792</v>
      </c>
      <c r="N224" s="9">
        <v>16451</v>
      </c>
      <c r="O224" s="9">
        <v>33510</v>
      </c>
      <c r="P224" s="9">
        <v>24775</v>
      </c>
    </row>
    <row r="225" spans="3:16">
      <c r="C225" t="s">
        <v>184</v>
      </c>
      <c r="F225" s="9">
        <v>60094</v>
      </c>
      <c r="G225" s="9">
        <v>70848</v>
      </c>
      <c r="H225" s="9">
        <v>93287</v>
      </c>
      <c r="I225" s="9">
        <v>136350</v>
      </c>
      <c r="J225" s="9">
        <v>117577</v>
      </c>
      <c r="K225" s="9">
        <v>38194</v>
      </c>
      <c r="L225" s="9">
        <v>17721</v>
      </c>
      <c r="M225" s="9">
        <v>14008</v>
      </c>
      <c r="N225" s="9">
        <v>28443</v>
      </c>
      <c r="O225" s="9">
        <v>14354</v>
      </c>
      <c r="P225" s="9">
        <v>10894</v>
      </c>
    </row>
    <row r="226" spans="3:16">
      <c r="C226" t="s">
        <v>51</v>
      </c>
      <c r="F226" s="9">
        <v>-87</v>
      </c>
      <c r="G226" s="9">
        <v>-466</v>
      </c>
      <c r="H226" s="9">
        <v>203</v>
      </c>
      <c r="I226" s="9">
        <v>-197</v>
      </c>
      <c r="J226" s="9">
        <v>-98</v>
      </c>
      <c r="K226" s="9">
        <v>0</v>
      </c>
      <c r="L226" s="9">
        <v>-1241</v>
      </c>
      <c r="M226" s="9">
        <v>-922</v>
      </c>
      <c r="N226" s="9">
        <v>-2825</v>
      </c>
      <c r="O226" s="9">
        <v>-3116</v>
      </c>
      <c r="P226" s="9">
        <v>-1298</v>
      </c>
    </row>
    <row r="227" spans="2:16">
      <c r="B227" t="s">
        <v>185</v>
      </c>
      <c r="F227" s="14">
        <f t="shared" ref="F227:P227" si="88">SUM(F221:F226)</f>
        <v>-18833</v>
      </c>
      <c r="G227" s="14">
        <f t="shared" si="88"/>
        <v>-23001</v>
      </c>
      <c r="H227" s="14">
        <f t="shared" si="88"/>
        <v>-23950</v>
      </c>
      <c r="I227" s="14">
        <f t="shared" si="88"/>
        <v>-46781</v>
      </c>
      <c r="J227" s="14">
        <f t="shared" si="88"/>
        <v>-6061</v>
      </c>
      <c r="K227" s="14">
        <f t="shared" si="88"/>
        <v>-15773</v>
      </c>
      <c r="L227" s="14">
        <f t="shared" si="88"/>
        <v>-12223</v>
      </c>
      <c r="M227" s="14">
        <f t="shared" si="88"/>
        <v>-27577</v>
      </c>
      <c r="N227" s="14">
        <f t="shared" si="88"/>
        <v>-30311</v>
      </c>
      <c r="O227" s="14">
        <f t="shared" si="88"/>
        <v>-22680</v>
      </c>
      <c r="P227" s="14">
        <f t="shared" si="88"/>
        <v>-96970</v>
      </c>
    </row>
    <row r="229" spans="2:16">
      <c r="B229" t="s">
        <v>186</v>
      </c>
      <c r="F229" s="9">
        <v>-139</v>
      </c>
      <c r="G229" s="9">
        <v>-73</v>
      </c>
      <c r="H229" s="9">
        <v>-67</v>
      </c>
      <c r="I229" s="9">
        <v>19</v>
      </c>
      <c r="J229" s="9">
        <v>50</v>
      </c>
      <c r="K229" s="9">
        <v>-115</v>
      </c>
      <c r="L229" s="9">
        <v>-201</v>
      </c>
      <c r="M229" s="9">
        <v>-29</v>
      </c>
      <c r="N229" s="9">
        <v>-141</v>
      </c>
      <c r="O229" s="9">
        <v>-194</v>
      </c>
      <c r="P229" s="9">
        <v>-210</v>
      </c>
    </row>
    <row r="231" spans="2:16">
      <c r="B231" t="s">
        <v>187</v>
      </c>
      <c r="F231" s="14">
        <f t="shared" ref="F231:P231" si="89">F208+F227+F218+F229</f>
        <v>4865</v>
      </c>
      <c r="G231" s="14">
        <f t="shared" si="89"/>
        <v>-3074</v>
      </c>
      <c r="H231" s="14">
        <f t="shared" si="89"/>
        <v>915</v>
      </c>
      <c r="I231" s="14">
        <f t="shared" si="89"/>
        <v>1153</v>
      </c>
      <c r="J231" s="14">
        <f t="shared" si="89"/>
        <v>4283</v>
      </c>
      <c r="K231" s="14">
        <f t="shared" si="89"/>
        <v>-590</v>
      </c>
      <c r="L231" s="14">
        <f t="shared" si="89"/>
        <v>2220</v>
      </c>
      <c r="M231" s="14">
        <f t="shared" si="89"/>
        <v>648</v>
      </c>
      <c r="N231" s="14">
        <f t="shared" si="89"/>
        <v>-293</v>
      </c>
      <c r="O231" s="14">
        <f t="shared" si="89"/>
        <v>20773</v>
      </c>
      <c r="P231" s="14">
        <f t="shared" si="89"/>
        <v>-16389</v>
      </c>
    </row>
    <row r="232" spans="2:16">
      <c r="B232" t="s">
        <v>188</v>
      </c>
      <c r="F232" s="9">
        <v>3804</v>
      </c>
      <c r="G232" s="9">
        <v>8669</v>
      </c>
      <c r="H232" s="9">
        <v>5595</v>
      </c>
      <c r="I232" s="9">
        <v>6510</v>
      </c>
      <c r="J232" s="9">
        <v>7663</v>
      </c>
      <c r="K232" s="9">
        <v>11946</v>
      </c>
      <c r="L232" s="9">
        <v>11356</v>
      </c>
      <c r="M232" s="9">
        <v>13576</v>
      </c>
      <c r="N232" s="9">
        <v>14224</v>
      </c>
      <c r="O232" s="9">
        <v>13931</v>
      </c>
      <c r="P232" s="9">
        <v>34704</v>
      </c>
    </row>
    <row r="233" spans="2:16">
      <c r="B233" t="s">
        <v>189</v>
      </c>
      <c r="F233" s="14">
        <f t="shared" ref="F233:P233" si="90">SUM(F231:F232)</f>
        <v>8669</v>
      </c>
      <c r="G233" s="14">
        <f t="shared" si="90"/>
        <v>5595</v>
      </c>
      <c r="H233" s="14">
        <f t="shared" si="90"/>
        <v>6510</v>
      </c>
      <c r="I233" s="14">
        <f t="shared" si="90"/>
        <v>7663</v>
      </c>
      <c r="J233" s="14">
        <f t="shared" si="90"/>
        <v>11946</v>
      </c>
      <c r="K233" s="14">
        <f t="shared" si="90"/>
        <v>11356</v>
      </c>
      <c r="L233" s="14">
        <f t="shared" si="90"/>
        <v>13576</v>
      </c>
      <c r="M233" s="14">
        <f t="shared" si="90"/>
        <v>14224</v>
      </c>
      <c r="N233" s="14">
        <f t="shared" si="90"/>
        <v>13931</v>
      </c>
      <c r="O233" s="14">
        <f t="shared" si="90"/>
        <v>34704</v>
      </c>
      <c r="P233" s="14">
        <f t="shared" si="90"/>
        <v>18315</v>
      </c>
    </row>
    <row r="235" ht="15.75" spans="3:4">
      <c r="C235" s="20" t="s">
        <v>163</v>
      </c>
      <c r="D235" s="19"/>
    </row>
    <row r="236" s="57" customFormat="1" spans="3:22">
      <c r="C236" s="63" t="s">
        <v>190</v>
      </c>
      <c r="D236" s="63"/>
      <c r="E236" s="78"/>
      <c r="F236" s="22">
        <f t="shared" ref="F236:P236" si="91">F208+F221</f>
        <v>27017</v>
      </c>
      <c r="G236" s="22">
        <f t="shared" si="91"/>
        <v>23724</v>
      </c>
      <c r="H236" s="22">
        <f t="shared" si="91"/>
        <v>24982</v>
      </c>
      <c r="I236" s="22">
        <f t="shared" si="91"/>
        <v>31378</v>
      </c>
      <c r="J236" s="22">
        <f t="shared" si="91"/>
        <v>32252</v>
      </c>
      <c r="K236" s="22">
        <f t="shared" si="91"/>
        <v>38260</v>
      </c>
      <c r="L236" s="22">
        <f t="shared" si="91"/>
        <v>45234</v>
      </c>
      <c r="M236" s="22">
        <f t="shared" si="91"/>
        <v>56118</v>
      </c>
      <c r="N236" s="22">
        <f t="shared" si="91"/>
        <v>65149</v>
      </c>
      <c r="O236" s="22">
        <f t="shared" si="91"/>
        <v>59475</v>
      </c>
      <c r="P236" s="22">
        <f t="shared" si="91"/>
        <v>74071</v>
      </c>
      <c r="Q236" s="78"/>
      <c r="R236" s="87">
        <f>AVERAGE(E236:Q236)</f>
        <v>43423.6363636364</v>
      </c>
      <c r="S236" s="24"/>
      <c r="T236" s="24"/>
      <c r="U236" s="24"/>
      <c r="V236" s="22"/>
    </row>
    <row r="237" spans="3:22">
      <c r="C237" s="63" t="s">
        <v>191</v>
      </c>
      <c r="D237" s="19"/>
      <c r="F237" s="61">
        <f t="shared" ref="F237:P237" si="92">IFERROR(F236/F120,0)</f>
        <v>3.2791600922442</v>
      </c>
      <c r="G237" s="61">
        <f t="shared" si="92"/>
        <v>2.95552510277812</v>
      </c>
      <c r="H237" s="61">
        <f t="shared" si="92"/>
        <v>3.19953893442623</v>
      </c>
      <c r="I237" s="61">
        <f t="shared" si="92"/>
        <v>4.070835495589</v>
      </c>
      <c r="J237" s="61">
        <f t="shared" si="92"/>
        <v>4.20112022925622</v>
      </c>
      <c r="K237" s="61">
        <f t="shared" si="92"/>
        <v>5.00588774041607</v>
      </c>
      <c r="L237" s="61">
        <f t="shared" si="92"/>
        <v>5.97464007396645</v>
      </c>
      <c r="M237" s="61">
        <f t="shared" si="92"/>
        <v>7.46349248570289</v>
      </c>
      <c r="N237" s="61">
        <f t="shared" si="92"/>
        <v>8.72842979635584</v>
      </c>
      <c r="O237" s="61">
        <f t="shared" si="92"/>
        <v>8.0025565123789</v>
      </c>
      <c r="P237" s="61">
        <f t="shared" si="92"/>
        <v>9.96381490449287</v>
      </c>
      <c r="R237" s="67">
        <f>AVERAGE(E237:Q237)</f>
        <v>5.71318194250971</v>
      </c>
      <c r="V237" s="61"/>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00"/>
  <sheetViews>
    <sheetView workbookViewId="0">
      <selection activeCell="R32" sqref="R32"/>
    </sheetView>
    <sheetView topLeftCell="A8" workbookViewId="1">
      <selection activeCell="S31" sqref="S31"/>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192</v>
      </c>
      <c r="G3" s="38"/>
      <c r="L3" t="s">
        <v>193</v>
      </c>
    </row>
    <row r="4" spans="2:12">
      <c r="B4" s="96" t="s">
        <v>194</v>
      </c>
      <c r="L4" s="96" t="s">
        <v>195</v>
      </c>
    </row>
    <row r="5" spans="2:19">
      <c r="B5" t="s">
        <v>196</v>
      </c>
      <c r="L5" t="s">
        <v>197</v>
      </c>
      <c r="O5" s="46">
        <f>[1]Sheet1!$E$6</f>
        <v>0.0246945</v>
      </c>
      <c r="S5" t="s">
        <v>198</v>
      </c>
    </row>
    <row r="6" spans="2:15">
      <c r="B6" s="39"/>
      <c r="O6" s="45"/>
    </row>
    <row r="7" spans="6:24">
      <c r="F7" s="40" t="s">
        <v>199</v>
      </c>
      <c r="G7" s="40" t="s">
        <v>200</v>
      </c>
      <c r="H7" s="40" t="s">
        <v>201</v>
      </c>
      <c r="J7" s="40" t="s">
        <v>201</v>
      </c>
      <c r="S7" s="48" t="s">
        <v>202</v>
      </c>
      <c r="X7" s="48" t="s">
        <v>203</v>
      </c>
    </row>
    <row r="8" ht="75" spans="2:26">
      <c r="B8" t="s">
        <v>204</v>
      </c>
      <c r="C8" t="s">
        <v>205</v>
      </c>
      <c r="D8" t="s">
        <v>206</v>
      </c>
      <c r="F8" t="s">
        <v>207</v>
      </c>
      <c r="G8" s="41" t="s">
        <v>208</v>
      </c>
      <c r="H8" s="41" t="s">
        <v>209</v>
      </c>
      <c r="J8" s="41" t="s">
        <v>210</v>
      </c>
      <c r="M8" s="47"/>
      <c r="R8" s="41"/>
      <c r="S8" s="41" t="s">
        <v>211</v>
      </c>
      <c r="U8" s="41" t="s">
        <v>212</v>
      </c>
      <c r="V8" s="47" t="s">
        <v>213</v>
      </c>
      <c r="X8" s="41" t="s">
        <v>214</v>
      </c>
      <c r="Y8" s="41" t="s">
        <v>212</v>
      </c>
      <c r="Z8" s="47" t="s">
        <v>213</v>
      </c>
    </row>
    <row r="9" spans="1:26">
      <c r="A9">
        <v>1</v>
      </c>
      <c r="B9" s="42">
        <v>45444</v>
      </c>
      <c r="C9" s="43">
        <v>446.95</v>
      </c>
      <c r="D9" s="44">
        <v>0.0767</v>
      </c>
      <c r="F9" s="45">
        <f t="shared" ref="F9:F68" si="0">D9</f>
        <v>0.0767</v>
      </c>
      <c r="G9" s="45">
        <f>O$5/12</f>
        <v>0.002057875</v>
      </c>
      <c r="H9" s="45">
        <f t="shared" ref="H9:H68" si="1">F9-G9</f>
        <v>0.074642125</v>
      </c>
      <c r="J9" s="45" t="str">
        <f t="shared" ref="J9:J68" si="2">IF(H9&lt;0,H9,"")</f>
        <v/>
      </c>
      <c r="L9" s="48" t="s">
        <v>20</v>
      </c>
      <c r="O9" s="4" t="s">
        <v>215</v>
      </c>
      <c r="P9" s="4" t="s">
        <v>216</v>
      </c>
      <c r="Q9" s="4" t="s">
        <v>217</v>
      </c>
      <c r="R9" s="45"/>
      <c r="S9" s="45">
        <f>AVERAGE(H9:H68)</f>
        <v>0.020137125</v>
      </c>
      <c r="T9">
        <v>1</v>
      </c>
      <c r="U9" s="45">
        <f t="shared" ref="U9:U68" si="3">(H9-S$9)^2</f>
        <v>0.002970795025</v>
      </c>
      <c r="V9" s="45">
        <f>(U70/T68)^(1/2)</f>
        <v>0.0623979204381043</v>
      </c>
      <c r="X9" s="45">
        <f>AVERAGE(J9:J68)</f>
        <v>-0.045007875</v>
      </c>
      <c r="Y9" s="45" t="str">
        <f t="shared" ref="Y9:Y68" si="4">IF(J9="","",(J9-X$9)^2)</f>
        <v/>
      </c>
      <c r="Z9" s="45">
        <f>(Y70/(COUNT(Y9:Y69)-1))^(1/2)</f>
        <v>0.0320234549458154</v>
      </c>
    </row>
    <row r="10" spans="1:25">
      <c r="A10">
        <v>2</v>
      </c>
      <c r="B10" s="42">
        <v>45413</v>
      </c>
      <c r="C10" s="43">
        <v>415.13</v>
      </c>
      <c r="D10" s="44">
        <v>0.0663</v>
      </c>
      <c r="F10" s="45">
        <f t="shared" si="0"/>
        <v>0.0663</v>
      </c>
      <c r="G10" s="45">
        <f>O$5/12</f>
        <v>0.002057875</v>
      </c>
      <c r="H10" s="45">
        <f t="shared" si="1"/>
        <v>0.064242125</v>
      </c>
      <c r="J10" s="45" t="str">
        <f t="shared" si="2"/>
        <v/>
      </c>
      <c r="T10">
        <v>2</v>
      </c>
      <c r="U10" s="45">
        <f t="shared" si="3"/>
        <v>0.001945251025</v>
      </c>
      <c r="Y10" s="45" t="str">
        <f t="shared" si="4"/>
        <v/>
      </c>
    </row>
    <row r="11" spans="1:25">
      <c r="A11">
        <v>3</v>
      </c>
      <c r="B11" s="42">
        <v>45383</v>
      </c>
      <c r="C11" s="43">
        <v>389.33</v>
      </c>
      <c r="D11" s="44">
        <v>-0.0746</v>
      </c>
      <c r="F11" s="45">
        <f t="shared" si="0"/>
        <v>-0.0746</v>
      </c>
      <c r="G11" s="45">
        <f>O$5/12</f>
        <v>0.002057875</v>
      </c>
      <c r="H11" s="45">
        <f t="shared" si="1"/>
        <v>-0.076657875</v>
      </c>
      <c r="J11" s="45">
        <f t="shared" si="2"/>
        <v>-0.076657875</v>
      </c>
      <c r="L11" s="49" t="s">
        <v>213</v>
      </c>
      <c r="O11" s="46">
        <f>STDEV.P(H9:H20)</f>
        <v>0.0545213541243755</v>
      </c>
      <c r="P11" s="46">
        <f>STDEV.P(H9:H44)</f>
        <v>0.0690192543362778</v>
      </c>
      <c r="Q11" s="46">
        <f>STDEV.P(H9:H68)</f>
        <v>0.0623979204381043</v>
      </c>
      <c r="T11">
        <v>3</v>
      </c>
      <c r="U11" s="45">
        <f t="shared" si="3"/>
        <v>0.009369272025</v>
      </c>
      <c r="Y11" s="45">
        <f t="shared" si="4"/>
        <v>0.0010017225</v>
      </c>
    </row>
    <row r="12" spans="1:25">
      <c r="A12">
        <v>4</v>
      </c>
      <c r="B12" s="42">
        <v>45352</v>
      </c>
      <c r="C12" s="43">
        <v>420.72</v>
      </c>
      <c r="D12" s="44">
        <v>0.0171</v>
      </c>
      <c r="F12" s="45">
        <f t="shared" si="0"/>
        <v>0.0171</v>
      </c>
      <c r="G12" s="45">
        <f>O$5/12</f>
        <v>0.002057875</v>
      </c>
      <c r="H12" s="45">
        <f t="shared" si="1"/>
        <v>0.015042125</v>
      </c>
      <c r="J12" s="45" t="str">
        <f t="shared" si="2"/>
        <v/>
      </c>
      <c r="L12" s="50" t="s">
        <v>218</v>
      </c>
      <c r="O12" s="45">
        <f>(1+O19)^(1/12)-1</f>
        <v>0.0240832354467087</v>
      </c>
      <c r="P12" s="45">
        <f>(1+P19)^(1/12)-1</f>
        <v>0.0125861412765398</v>
      </c>
      <c r="Q12" s="45">
        <f>(1+Q19)^(1/12)-1</f>
        <v>0.0199940650112898</v>
      </c>
      <c r="T12">
        <v>4</v>
      </c>
      <c r="U12" s="45">
        <f t="shared" si="3"/>
        <v>2.5959025e-5</v>
      </c>
      <c r="Y12" s="45" t="str">
        <f t="shared" si="4"/>
        <v/>
      </c>
    </row>
    <row r="13" spans="1:25">
      <c r="A13">
        <v>5</v>
      </c>
      <c r="B13" s="42">
        <v>45323</v>
      </c>
      <c r="C13" s="43">
        <v>413.64</v>
      </c>
      <c r="D13" s="44">
        <v>0.0404</v>
      </c>
      <c r="F13" s="45">
        <f t="shared" si="0"/>
        <v>0.0404</v>
      </c>
      <c r="G13" s="45">
        <f>O$5/12</f>
        <v>0.002057875</v>
      </c>
      <c r="H13" s="45">
        <f t="shared" si="1"/>
        <v>0.038342125</v>
      </c>
      <c r="J13" s="45" t="str">
        <f t="shared" si="2"/>
        <v/>
      </c>
      <c r="L13" s="50" t="s">
        <v>219</v>
      </c>
      <c r="O13" s="51">
        <f>O20/12</f>
        <v>0.002057875</v>
      </c>
      <c r="P13" s="51">
        <f>P20/12</f>
        <v>0.002057875</v>
      </c>
      <c r="Q13" s="51">
        <f>Q20/12</f>
        <v>0.002057875</v>
      </c>
      <c r="T13">
        <v>5</v>
      </c>
      <c r="U13" s="45">
        <f t="shared" si="3"/>
        <v>0.000331422025</v>
      </c>
      <c r="Y13" s="45" t="str">
        <f t="shared" si="4"/>
        <v/>
      </c>
    </row>
    <row r="14" spans="1:25">
      <c r="A14">
        <v>6</v>
      </c>
      <c r="B14" s="42">
        <v>45292</v>
      </c>
      <c r="C14" s="43">
        <v>397.58</v>
      </c>
      <c r="D14" s="44">
        <v>0.0573</v>
      </c>
      <c r="F14" s="45">
        <f t="shared" si="0"/>
        <v>0.0573</v>
      </c>
      <c r="G14" s="45">
        <f>O$5/12</f>
        <v>0.002057875</v>
      </c>
      <c r="H14" s="45">
        <f t="shared" si="1"/>
        <v>0.055242125</v>
      </c>
      <c r="J14" s="45" t="str">
        <f t="shared" si="2"/>
        <v/>
      </c>
      <c r="L14" s="49" t="s">
        <v>220</v>
      </c>
      <c r="O14" s="45">
        <f>O12-O13</f>
        <v>0.0220253604467087</v>
      </c>
      <c r="P14" s="45">
        <f>P12-P13</f>
        <v>0.0105282662765398</v>
      </c>
      <c r="Q14" s="45">
        <f>Q12-Q13</f>
        <v>0.0179361900112898</v>
      </c>
      <c r="T14">
        <v>6</v>
      </c>
      <c r="U14" s="45">
        <f t="shared" si="3"/>
        <v>0.001232361025</v>
      </c>
      <c r="Y14" s="45" t="str">
        <f t="shared" si="4"/>
        <v/>
      </c>
    </row>
    <row r="15" spans="1:25">
      <c r="A15">
        <v>7</v>
      </c>
      <c r="B15" s="42">
        <v>45261</v>
      </c>
      <c r="C15" s="43">
        <v>376.04</v>
      </c>
      <c r="D15" s="44">
        <v>-0.0076</v>
      </c>
      <c r="F15" s="45">
        <f t="shared" si="0"/>
        <v>-0.0076</v>
      </c>
      <c r="G15" s="45">
        <f>O$5/12</f>
        <v>0.002057875</v>
      </c>
      <c r="H15" s="45">
        <f t="shared" si="1"/>
        <v>-0.009657875</v>
      </c>
      <c r="J15" s="45">
        <f t="shared" si="2"/>
        <v>-0.009657875</v>
      </c>
      <c r="T15">
        <v>7</v>
      </c>
      <c r="U15" s="45">
        <f t="shared" si="3"/>
        <v>0.000887742025</v>
      </c>
      <c r="Y15" s="45">
        <f t="shared" si="4"/>
        <v>0.0012496225</v>
      </c>
    </row>
    <row r="16" spans="1:25">
      <c r="A16">
        <v>8</v>
      </c>
      <c r="B16" s="42">
        <v>45231</v>
      </c>
      <c r="C16" s="43">
        <v>378.91</v>
      </c>
      <c r="D16" s="44">
        <v>0.1207</v>
      </c>
      <c r="F16" s="45">
        <f t="shared" si="0"/>
        <v>0.1207</v>
      </c>
      <c r="G16" s="45">
        <f>O$5/12</f>
        <v>0.002057875</v>
      </c>
      <c r="H16" s="45">
        <f t="shared" si="1"/>
        <v>0.118642125</v>
      </c>
      <c r="J16" s="45" t="str">
        <f t="shared" si="2"/>
        <v/>
      </c>
      <c r="L16" s="49" t="s">
        <v>221</v>
      </c>
      <c r="O16" s="52">
        <f>O14/O11</f>
        <v>0.4039767683771</v>
      </c>
      <c r="P16" s="52">
        <f>P14/P11</f>
        <v>0.152541002909763</v>
      </c>
      <c r="Q16" s="52">
        <f>Q14/Q11</f>
        <v>0.287448522087873</v>
      </c>
      <c r="T16">
        <v>8</v>
      </c>
      <c r="U16" s="45">
        <f t="shared" si="3"/>
        <v>0.009703235025</v>
      </c>
      <c r="Y16" s="45" t="str">
        <f t="shared" si="4"/>
        <v/>
      </c>
    </row>
    <row r="17" spans="1:25">
      <c r="A17">
        <v>9</v>
      </c>
      <c r="B17" s="42">
        <v>45200</v>
      </c>
      <c r="C17" s="43">
        <v>338.11</v>
      </c>
      <c r="D17" s="44">
        <v>0.0708</v>
      </c>
      <c r="F17" s="45">
        <f t="shared" si="0"/>
        <v>0.0708</v>
      </c>
      <c r="G17" s="45">
        <f>O$5/12</f>
        <v>0.002057875</v>
      </c>
      <c r="H17" s="45">
        <f t="shared" si="1"/>
        <v>0.068742125</v>
      </c>
      <c r="J17" s="45" t="str">
        <f t="shared" si="2"/>
        <v/>
      </c>
      <c r="T17">
        <v>9</v>
      </c>
      <c r="U17" s="45">
        <f t="shared" si="3"/>
        <v>0.002362446025</v>
      </c>
      <c r="Y17" s="45" t="str">
        <f t="shared" si="4"/>
        <v/>
      </c>
    </row>
    <row r="18" spans="1:25">
      <c r="A18">
        <v>10</v>
      </c>
      <c r="B18" s="42">
        <v>45170</v>
      </c>
      <c r="C18" s="43">
        <v>315.75</v>
      </c>
      <c r="D18" s="44">
        <v>-0.0366</v>
      </c>
      <c r="F18" s="45">
        <f t="shared" si="0"/>
        <v>-0.0366</v>
      </c>
      <c r="G18" s="45">
        <f>O$5/12</f>
        <v>0.002057875</v>
      </c>
      <c r="H18" s="45">
        <f t="shared" si="1"/>
        <v>-0.038657875</v>
      </c>
      <c r="J18" s="45">
        <f t="shared" si="2"/>
        <v>-0.038657875</v>
      </c>
      <c r="L18" s="49" t="s">
        <v>222</v>
      </c>
      <c r="O18" s="45">
        <f>O11*12^(1/2)</f>
        <v>0.188867510881747</v>
      </c>
      <c r="P18" s="45">
        <f>P11*12^(1/2)</f>
        <v>0.239089710421903</v>
      </c>
      <c r="Q18" s="45">
        <f>Q11*12^(1/2)</f>
        <v>0.216152736970874</v>
      </c>
      <c r="T18">
        <v>10</v>
      </c>
      <c r="U18" s="45">
        <f t="shared" si="3"/>
        <v>0.003456852025</v>
      </c>
      <c r="Y18" s="45">
        <f t="shared" si="4"/>
        <v>4.03224999999999e-5</v>
      </c>
    </row>
    <row r="19" spans="1:25">
      <c r="A19">
        <v>11</v>
      </c>
      <c r="B19" s="42">
        <v>45139</v>
      </c>
      <c r="C19" s="43">
        <v>327.76</v>
      </c>
      <c r="D19" s="44">
        <v>-0.0243</v>
      </c>
      <c r="F19" s="45">
        <f t="shared" si="0"/>
        <v>-0.0243</v>
      </c>
      <c r="G19" s="45">
        <f>O$5/12</f>
        <v>0.002057875</v>
      </c>
      <c r="H19" s="45">
        <f t="shared" si="1"/>
        <v>-0.026357875</v>
      </c>
      <c r="J19" s="45">
        <f t="shared" si="2"/>
        <v>-0.026357875</v>
      </c>
      <c r="L19" s="50" t="s">
        <v>223</v>
      </c>
      <c r="O19" s="45">
        <f>($C$9/$C$20)^(1/($A$20/12))-1</f>
        <v>0.330525125029769</v>
      </c>
      <c r="P19" s="45">
        <f>($C$9/$C$44)^(1/($A$44/12))-1</f>
        <v>0.161940125743905</v>
      </c>
      <c r="Q19" s="45">
        <f>($C$9/$C$68)^(1/($A$68/12))-1</f>
        <v>0.268153244446601</v>
      </c>
      <c r="T19">
        <v>11</v>
      </c>
      <c r="U19" s="45">
        <f t="shared" si="3"/>
        <v>0.002161785025</v>
      </c>
      <c r="Y19" s="45">
        <f t="shared" si="4"/>
        <v>0.0003478225</v>
      </c>
    </row>
    <row r="20" spans="1:25">
      <c r="A20">
        <v>12</v>
      </c>
      <c r="B20" s="42">
        <v>45108</v>
      </c>
      <c r="C20" s="43">
        <v>335.92</v>
      </c>
      <c r="D20" s="44">
        <v>-0.0136</v>
      </c>
      <c r="F20" s="45">
        <f t="shared" si="0"/>
        <v>-0.0136</v>
      </c>
      <c r="G20" s="45">
        <f>O$5/12</f>
        <v>0.002057875</v>
      </c>
      <c r="H20" s="45">
        <f t="shared" si="1"/>
        <v>-0.015657875</v>
      </c>
      <c r="J20" s="45">
        <f t="shared" si="2"/>
        <v>-0.015657875</v>
      </c>
      <c r="L20" s="50" t="s">
        <v>224</v>
      </c>
      <c r="O20" s="51">
        <f>$O$5</f>
        <v>0.0246945</v>
      </c>
      <c r="P20" s="51">
        <f>$O$5</f>
        <v>0.0246945</v>
      </c>
      <c r="Q20" s="51">
        <f>$O$5</f>
        <v>0.0246945</v>
      </c>
      <c r="T20">
        <v>12</v>
      </c>
      <c r="U20" s="45">
        <f t="shared" si="3"/>
        <v>0.001281282025</v>
      </c>
      <c r="Y20" s="45">
        <f t="shared" si="4"/>
        <v>0.0008614225</v>
      </c>
    </row>
    <row r="21" spans="1:25">
      <c r="A21">
        <v>13</v>
      </c>
      <c r="B21" s="42">
        <v>45078</v>
      </c>
      <c r="C21" s="43">
        <v>340.54</v>
      </c>
      <c r="D21" s="44">
        <v>0.037</v>
      </c>
      <c r="F21" s="45">
        <f t="shared" si="0"/>
        <v>0.037</v>
      </c>
      <c r="G21" s="45">
        <f>O$5/12</f>
        <v>0.002057875</v>
      </c>
      <c r="H21" s="45">
        <f t="shared" si="1"/>
        <v>0.034942125</v>
      </c>
      <c r="J21" s="45" t="str">
        <f t="shared" si="2"/>
        <v/>
      </c>
      <c r="L21" s="49" t="s">
        <v>220</v>
      </c>
      <c r="O21" s="45">
        <f>O19-O20</f>
        <v>0.305830625029769</v>
      </c>
      <c r="P21" s="45">
        <f>P19-P20</f>
        <v>0.137245625743905</v>
      </c>
      <c r="Q21" s="45">
        <f>Q19-Q20</f>
        <v>0.243458744446601</v>
      </c>
      <c r="T21">
        <v>13</v>
      </c>
      <c r="U21" s="45">
        <f t="shared" si="3"/>
        <v>0.000219188025</v>
      </c>
      <c r="Y21" s="45" t="str">
        <f t="shared" si="4"/>
        <v/>
      </c>
    </row>
    <row r="22" spans="1:25">
      <c r="A22">
        <v>14</v>
      </c>
      <c r="B22" s="42">
        <v>45047</v>
      </c>
      <c r="C22" s="43">
        <v>328.39</v>
      </c>
      <c r="D22" s="44">
        <v>0.0688</v>
      </c>
      <c r="F22" s="45">
        <f t="shared" si="0"/>
        <v>0.0688</v>
      </c>
      <c r="G22" s="45">
        <f>O$5/12</f>
        <v>0.002057875</v>
      </c>
      <c r="H22" s="45">
        <f t="shared" si="1"/>
        <v>0.066742125</v>
      </c>
      <c r="J22" s="45" t="str">
        <f t="shared" si="2"/>
        <v/>
      </c>
      <c r="T22">
        <v>14</v>
      </c>
      <c r="U22" s="45">
        <f t="shared" si="3"/>
        <v>0.002172026025</v>
      </c>
      <c r="Y22" s="45" t="str">
        <f t="shared" si="4"/>
        <v/>
      </c>
    </row>
    <row r="23" spans="1:25">
      <c r="A23">
        <v>15</v>
      </c>
      <c r="B23" s="42">
        <v>45017</v>
      </c>
      <c r="C23" s="43">
        <v>307.26</v>
      </c>
      <c r="D23" s="44">
        <v>0.0658</v>
      </c>
      <c r="F23" s="45">
        <f t="shared" si="0"/>
        <v>0.0658</v>
      </c>
      <c r="G23" s="45">
        <f>O$5/12</f>
        <v>0.002057875</v>
      </c>
      <c r="H23" s="45">
        <f t="shared" si="1"/>
        <v>0.063742125</v>
      </c>
      <c r="J23" s="45" t="str">
        <f t="shared" si="2"/>
        <v/>
      </c>
      <c r="L23" s="49" t="s">
        <v>225</v>
      </c>
      <c r="O23" s="52">
        <f>O21/O18</f>
        <v>1.61928657608695</v>
      </c>
      <c r="P23" s="52">
        <f>P21/P18</f>
        <v>0.574034012177764</v>
      </c>
      <c r="Q23" s="52">
        <f>Q21/Q18</f>
        <v>1.12632737321946</v>
      </c>
      <c r="T23">
        <v>15</v>
      </c>
      <c r="U23" s="45">
        <f t="shared" si="3"/>
        <v>0.001901396025</v>
      </c>
      <c r="Y23" s="45" t="str">
        <f t="shared" si="4"/>
        <v/>
      </c>
    </row>
    <row r="24" ht="15.75" spans="1:25">
      <c r="A24">
        <v>16</v>
      </c>
      <c r="B24" s="42">
        <v>44986</v>
      </c>
      <c r="C24" s="43">
        <v>288.3</v>
      </c>
      <c r="D24" s="44">
        <v>0.1559</v>
      </c>
      <c r="F24" s="45">
        <f t="shared" si="0"/>
        <v>0.1559</v>
      </c>
      <c r="G24" s="45">
        <f>O$5/12</f>
        <v>0.002057875</v>
      </c>
      <c r="H24" s="45">
        <f t="shared" si="1"/>
        <v>0.153842125</v>
      </c>
      <c r="J24" s="45" t="str">
        <f t="shared" si="2"/>
        <v/>
      </c>
      <c r="T24">
        <v>16</v>
      </c>
      <c r="U24" s="45">
        <f t="shared" si="3"/>
        <v>0.017877027025</v>
      </c>
      <c r="Y24" s="45" t="str">
        <f t="shared" si="4"/>
        <v/>
      </c>
    </row>
    <row r="25" ht="15.75" spans="1:25">
      <c r="A25">
        <v>17</v>
      </c>
      <c r="B25" s="42">
        <v>44958</v>
      </c>
      <c r="C25" s="43">
        <v>249.42</v>
      </c>
      <c r="D25" s="44">
        <v>0.0065</v>
      </c>
      <c r="F25" s="45">
        <f t="shared" si="0"/>
        <v>0.0065</v>
      </c>
      <c r="G25" s="45">
        <f>O$5/12</f>
        <v>0.002057875</v>
      </c>
      <c r="H25" s="45">
        <f t="shared" si="1"/>
        <v>0.004442125</v>
      </c>
      <c r="J25" s="45" t="str">
        <f t="shared" si="2"/>
        <v/>
      </c>
      <c r="L25" s="53"/>
      <c r="M25" s="53"/>
      <c r="N25" s="53"/>
      <c r="O25" s="53"/>
      <c r="P25" s="53"/>
      <c r="Q25" s="53"/>
      <c r="T25">
        <v>17</v>
      </c>
      <c r="U25" s="45">
        <f t="shared" si="3"/>
        <v>0.000246333025</v>
      </c>
      <c r="Y25" s="45" t="str">
        <f t="shared" si="4"/>
        <v/>
      </c>
    </row>
    <row r="26" spans="1:25">
      <c r="A26">
        <v>18</v>
      </c>
      <c r="B26" s="42">
        <v>44927</v>
      </c>
      <c r="C26" s="43">
        <v>247.81</v>
      </c>
      <c r="D26" s="44">
        <v>0.0333</v>
      </c>
      <c r="F26" s="45">
        <f t="shared" si="0"/>
        <v>0.0333</v>
      </c>
      <c r="G26" s="45">
        <f>O$5/12</f>
        <v>0.002057875</v>
      </c>
      <c r="H26" s="45">
        <f t="shared" si="1"/>
        <v>0.031242125</v>
      </c>
      <c r="J26" s="45" t="str">
        <f t="shared" si="2"/>
        <v/>
      </c>
      <c r="L26" s="48" t="s">
        <v>21</v>
      </c>
      <c r="O26" s="4" t="s">
        <v>215</v>
      </c>
      <c r="P26" s="4" t="s">
        <v>216</v>
      </c>
      <c r="Q26" s="4" t="s">
        <v>217</v>
      </c>
      <c r="T26">
        <v>18</v>
      </c>
      <c r="U26" s="45">
        <f t="shared" si="3"/>
        <v>0.000123321025</v>
      </c>
      <c r="Y26" s="45" t="str">
        <f t="shared" si="4"/>
        <v/>
      </c>
    </row>
    <row r="27" spans="1:25">
      <c r="A27">
        <v>19</v>
      </c>
      <c r="B27" s="42">
        <v>44896</v>
      </c>
      <c r="C27" s="43">
        <v>239.82</v>
      </c>
      <c r="D27" s="44">
        <v>-0.06</v>
      </c>
      <c r="F27" s="45">
        <f t="shared" si="0"/>
        <v>-0.06</v>
      </c>
      <c r="G27" s="45">
        <f>O$5/12</f>
        <v>0.002057875</v>
      </c>
      <c r="H27" s="45">
        <f t="shared" si="1"/>
        <v>-0.062057875</v>
      </c>
      <c r="J27" s="45">
        <f t="shared" si="2"/>
        <v>-0.062057875</v>
      </c>
      <c r="T27">
        <v>19</v>
      </c>
      <c r="U27" s="45">
        <f t="shared" si="3"/>
        <v>0.006756018025</v>
      </c>
      <c r="Y27" s="45">
        <f t="shared" si="4"/>
        <v>0.0002907025</v>
      </c>
    </row>
    <row r="28" ht="18.75" spans="1:25">
      <c r="A28">
        <v>20</v>
      </c>
      <c r="B28" s="42">
        <v>44866</v>
      </c>
      <c r="C28" s="43">
        <v>255.14</v>
      </c>
      <c r="D28" s="44">
        <v>0.0991</v>
      </c>
      <c r="F28" s="45">
        <f t="shared" si="0"/>
        <v>0.0991</v>
      </c>
      <c r="G28" s="45">
        <f>O$5/12</f>
        <v>0.002057875</v>
      </c>
      <c r="H28" s="45">
        <f t="shared" si="1"/>
        <v>0.097042125</v>
      </c>
      <c r="J28" s="45" t="str">
        <f t="shared" si="2"/>
        <v/>
      </c>
      <c r="L28" s="49" t="s">
        <v>226</v>
      </c>
      <c r="O28" s="46">
        <f>_xlfn.STDEV.S(J9:J20)</f>
        <v>0.0265845443820277</v>
      </c>
      <c r="P28" s="46">
        <f>_xlfn.STDEV.S(J9:J44)</f>
        <v>0.0338689533348759</v>
      </c>
      <c r="Q28" s="46">
        <f>_xlfn.STDEV.S(J9:J68)</f>
        <v>0.0320234549458154</v>
      </c>
      <c r="T28">
        <v>20</v>
      </c>
      <c r="U28" s="45">
        <f t="shared" si="3"/>
        <v>0.005914379025</v>
      </c>
      <c r="Y28" s="45" t="str">
        <f t="shared" si="4"/>
        <v/>
      </c>
    </row>
    <row r="29" spans="1:25">
      <c r="A29">
        <v>21</v>
      </c>
      <c r="B29" s="42">
        <v>44835</v>
      </c>
      <c r="C29" s="43">
        <v>232.13</v>
      </c>
      <c r="D29" s="44">
        <v>-0.0033</v>
      </c>
      <c r="F29" s="45">
        <f t="shared" si="0"/>
        <v>-0.0033</v>
      </c>
      <c r="G29" s="45">
        <f>O$5/12</f>
        <v>0.002057875</v>
      </c>
      <c r="H29" s="45">
        <f t="shared" si="1"/>
        <v>-0.005357875</v>
      </c>
      <c r="J29" s="45">
        <f t="shared" si="2"/>
        <v>-0.005357875</v>
      </c>
      <c r="L29" s="50" t="s">
        <v>218</v>
      </c>
      <c r="O29" s="45">
        <f t="shared" ref="O29:Q29" si="5">(1+O36)^(1/12)-1</f>
        <v>0.0240832354467087</v>
      </c>
      <c r="P29" s="45">
        <f t="shared" si="5"/>
        <v>0.0125861412765398</v>
      </c>
      <c r="Q29" s="45">
        <f t="shared" si="5"/>
        <v>0.0199940650112898</v>
      </c>
      <c r="T29">
        <v>21</v>
      </c>
      <c r="U29" s="45">
        <f t="shared" si="3"/>
        <v>0.000649995025</v>
      </c>
      <c r="Y29" s="45">
        <f t="shared" si="4"/>
        <v>0.0015721225</v>
      </c>
    </row>
    <row r="30" spans="1:25">
      <c r="A30">
        <v>22</v>
      </c>
      <c r="B30" s="42">
        <v>44805</v>
      </c>
      <c r="C30" s="43">
        <v>232.9</v>
      </c>
      <c r="D30" s="44">
        <v>-0.1093</v>
      </c>
      <c r="F30" s="45">
        <f t="shared" si="0"/>
        <v>-0.1093</v>
      </c>
      <c r="G30" s="45">
        <f>O$5/12</f>
        <v>0.002057875</v>
      </c>
      <c r="H30" s="45">
        <f t="shared" si="1"/>
        <v>-0.111357875</v>
      </c>
      <c r="J30" s="45">
        <f t="shared" si="2"/>
        <v>-0.111357875</v>
      </c>
      <c r="L30" s="50" t="s">
        <v>219</v>
      </c>
      <c r="O30" s="51">
        <f t="shared" ref="O30:Q30" si="6">O37/12</f>
        <v>0.002057875</v>
      </c>
      <c r="P30" s="51">
        <f t="shared" si="6"/>
        <v>0.002057875</v>
      </c>
      <c r="Q30" s="51">
        <f t="shared" si="6"/>
        <v>0.002057875</v>
      </c>
      <c r="T30">
        <v>22</v>
      </c>
      <c r="U30" s="45">
        <f t="shared" si="3"/>
        <v>0.017290935025</v>
      </c>
      <c r="Y30" s="45">
        <f t="shared" si="4"/>
        <v>0.0044023225</v>
      </c>
    </row>
    <row r="31" spans="1:25">
      <c r="A31">
        <v>23</v>
      </c>
      <c r="B31" s="42">
        <v>44774</v>
      </c>
      <c r="C31" s="43">
        <v>261.47</v>
      </c>
      <c r="D31" s="44">
        <v>-0.0686</v>
      </c>
      <c r="F31" s="45">
        <f t="shared" si="0"/>
        <v>-0.0686</v>
      </c>
      <c r="G31" s="45">
        <f>O$5/12</f>
        <v>0.002057875</v>
      </c>
      <c r="H31" s="45">
        <f t="shared" si="1"/>
        <v>-0.070657875</v>
      </c>
      <c r="J31" s="45">
        <f t="shared" si="2"/>
        <v>-0.070657875</v>
      </c>
      <c r="L31" s="49" t="s">
        <v>220</v>
      </c>
      <c r="O31" s="45">
        <f t="shared" ref="O31:Q31" si="7">O29-O30</f>
        <v>0.0220253604467087</v>
      </c>
      <c r="P31" s="45">
        <f t="shared" si="7"/>
        <v>0.0105282662765398</v>
      </c>
      <c r="Q31" s="45">
        <f t="shared" si="7"/>
        <v>0.0179361900112898</v>
      </c>
      <c r="T31">
        <v>23</v>
      </c>
      <c r="U31" s="45">
        <f t="shared" si="3"/>
        <v>0.008243732025</v>
      </c>
      <c r="Y31" s="45">
        <f t="shared" si="4"/>
        <v>0.0006579225</v>
      </c>
    </row>
    <row r="32" spans="1:25">
      <c r="A32">
        <v>24</v>
      </c>
      <c r="B32" s="42">
        <v>44743</v>
      </c>
      <c r="C32" s="43">
        <v>280.74</v>
      </c>
      <c r="D32" s="44">
        <v>0.0931</v>
      </c>
      <c r="F32" s="45">
        <f t="shared" si="0"/>
        <v>0.0931</v>
      </c>
      <c r="G32" s="45">
        <f>O$5/12</f>
        <v>0.002057875</v>
      </c>
      <c r="H32" s="45">
        <f t="shared" si="1"/>
        <v>0.091042125</v>
      </c>
      <c r="J32" s="45" t="str">
        <f t="shared" si="2"/>
        <v/>
      </c>
      <c r="T32">
        <v>24</v>
      </c>
      <c r="U32" s="45">
        <f t="shared" si="3"/>
        <v>0.005027519025</v>
      </c>
      <c r="Y32" s="45" t="str">
        <f t="shared" si="4"/>
        <v/>
      </c>
    </row>
    <row r="33" spans="1:25">
      <c r="A33">
        <v>25</v>
      </c>
      <c r="B33" s="42">
        <v>44713</v>
      </c>
      <c r="C33" s="43">
        <v>256.83</v>
      </c>
      <c r="D33" s="44">
        <v>-0.0553</v>
      </c>
      <c r="F33" s="45">
        <f t="shared" si="0"/>
        <v>-0.0553</v>
      </c>
      <c r="G33" s="45">
        <f>O$5/12</f>
        <v>0.002057875</v>
      </c>
      <c r="H33" s="45">
        <f t="shared" si="1"/>
        <v>-0.057357875</v>
      </c>
      <c r="J33" s="45">
        <f t="shared" si="2"/>
        <v>-0.057357875</v>
      </c>
      <c r="L33" s="49" t="s">
        <v>227</v>
      </c>
      <c r="O33" s="52">
        <f t="shared" ref="O33:Q33" si="8">O31/O28</f>
        <v>0.828502461061503</v>
      </c>
      <c r="P33" s="52">
        <f t="shared" si="8"/>
        <v>0.310853015516678</v>
      </c>
      <c r="Q33" s="52">
        <f t="shared" si="8"/>
        <v>0.56009540637131</v>
      </c>
      <c r="T33">
        <v>25</v>
      </c>
      <c r="U33" s="45">
        <f t="shared" si="3"/>
        <v>0.006005475025</v>
      </c>
      <c r="Y33" s="45">
        <f t="shared" si="4"/>
        <v>0.0001525225</v>
      </c>
    </row>
    <row r="34" spans="1:25">
      <c r="A34">
        <v>26</v>
      </c>
      <c r="B34" s="42">
        <v>44682</v>
      </c>
      <c r="C34" s="43">
        <v>271.87</v>
      </c>
      <c r="D34" s="44">
        <v>-0.0204</v>
      </c>
      <c r="F34" s="45">
        <f t="shared" si="0"/>
        <v>-0.0204</v>
      </c>
      <c r="G34" s="45">
        <f>O$5/12</f>
        <v>0.002057875</v>
      </c>
      <c r="H34" s="45">
        <f t="shared" si="1"/>
        <v>-0.022457875</v>
      </c>
      <c r="J34" s="45">
        <f t="shared" si="2"/>
        <v>-0.022457875</v>
      </c>
      <c r="T34">
        <v>26</v>
      </c>
      <c r="U34" s="45">
        <f t="shared" si="3"/>
        <v>0.001814334025</v>
      </c>
      <c r="Y34" s="45">
        <f t="shared" si="4"/>
        <v>0.0005085025</v>
      </c>
    </row>
    <row r="35" spans="1:25">
      <c r="A35">
        <v>27</v>
      </c>
      <c r="B35" s="42">
        <v>44652</v>
      </c>
      <c r="C35" s="43">
        <v>277.52</v>
      </c>
      <c r="D35" s="44">
        <v>-0.0999</v>
      </c>
      <c r="F35" s="45">
        <f t="shared" si="0"/>
        <v>-0.0999</v>
      </c>
      <c r="G35" s="45">
        <f>O$5/12</f>
        <v>0.002057875</v>
      </c>
      <c r="H35" s="45">
        <f t="shared" si="1"/>
        <v>-0.101957875</v>
      </c>
      <c r="J35" s="45">
        <f t="shared" si="2"/>
        <v>-0.101957875</v>
      </c>
      <c r="L35" s="49" t="s">
        <v>228</v>
      </c>
      <c r="O35" s="45">
        <f t="shared" ref="O35:Q35" si="9">O28*12^(1/2)</f>
        <v>0.0920915631314835</v>
      </c>
      <c r="P35" s="45">
        <f t="shared" si="9"/>
        <v>0.117325495950369</v>
      </c>
      <c r="Q35" s="45">
        <f t="shared" si="9"/>
        <v>0.11093250200009</v>
      </c>
      <c r="T35">
        <v>27</v>
      </c>
      <c r="U35" s="45">
        <f t="shared" si="3"/>
        <v>0.014907189025</v>
      </c>
      <c r="Y35" s="45">
        <f t="shared" si="4"/>
        <v>0.0032433025</v>
      </c>
    </row>
    <row r="36" spans="1:25">
      <c r="A36">
        <v>28</v>
      </c>
      <c r="B36" s="42">
        <v>44621</v>
      </c>
      <c r="C36" s="43">
        <v>308.31</v>
      </c>
      <c r="D36" s="44">
        <v>0.0319</v>
      </c>
      <c r="F36" s="45">
        <f t="shared" si="0"/>
        <v>0.0319</v>
      </c>
      <c r="G36" s="45">
        <f>O$5/12</f>
        <v>0.002057875</v>
      </c>
      <c r="H36" s="45">
        <f t="shared" si="1"/>
        <v>0.029842125</v>
      </c>
      <c r="J36" s="45" t="str">
        <f t="shared" si="2"/>
        <v/>
      </c>
      <c r="L36" s="50" t="s">
        <v>223</v>
      </c>
      <c r="O36" s="45">
        <f>($C$9/$C$20)^(1/($A$20/12))-1</f>
        <v>0.330525125029769</v>
      </c>
      <c r="P36" s="45">
        <f>($C$9/$C$44)^(1/($A$44/12))-1</f>
        <v>0.161940125743905</v>
      </c>
      <c r="Q36" s="45">
        <f>($C$9/$C$68)^(1/($A$68/12))-1</f>
        <v>0.268153244446601</v>
      </c>
      <c r="T36">
        <v>28</v>
      </c>
      <c r="U36" s="45">
        <f t="shared" si="3"/>
        <v>9.4187025e-5</v>
      </c>
      <c r="Y36" s="45" t="str">
        <f t="shared" si="4"/>
        <v/>
      </c>
    </row>
    <row r="37" spans="1:25">
      <c r="A37">
        <v>29</v>
      </c>
      <c r="B37" s="42">
        <v>44593</v>
      </c>
      <c r="C37" s="43">
        <v>298.79</v>
      </c>
      <c r="D37" s="44">
        <v>-0.0392</v>
      </c>
      <c r="F37" s="45">
        <f t="shared" si="0"/>
        <v>-0.0392</v>
      </c>
      <c r="G37" s="45">
        <f>O$5/12</f>
        <v>0.002057875</v>
      </c>
      <c r="H37" s="45">
        <f t="shared" si="1"/>
        <v>-0.041257875</v>
      </c>
      <c r="J37" s="45">
        <f t="shared" si="2"/>
        <v>-0.041257875</v>
      </c>
      <c r="L37" s="50" t="s">
        <v>224</v>
      </c>
      <c r="O37" s="51">
        <f t="shared" ref="O37:Q37" si="10">$O$5</f>
        <v>0.0246945</v>
      </c>
      <c r="P37" s="51">
        <f t="shared" si="10"/>
        <v>0.0246945</v>
      </c>
      <c r="Q37" s="51">
        <f t="shared" si="10"/>
        <v>0.0246945</v>
      </c>
      <c r="T37">
        <v>29</v>
      </c>
      <c r="U37" s="45">
        <f t="shared" si="3"/>
        <v>0.003769346025</v>
      </c>
      <c r="Y37" s="45">
        <f t="shared" si="4"/>
        <v>1.40625e-5</v>
      </c>
    </row>
    <row r="38" spans="1:25">
      <c r="A38">
        <v>30</v>
      </c>
      <c r="B38" s="42">
        <v>44562</v>
      </c>
      <c r="C38" s="43">
        <v>310.98</v>
      </c>
      <c r="D38" s="44">
        <v>-0.0753</v>
      </c>
      <c r="F38" s="45">
        <f t="shared" si="0"/>
        <v>-0.0753</v>
      </c>
      <c r="G38" s="45">
        <f>O$5/12</f>
        <v>0.002057875</v>
      </c>
      <c r="H38" s="45">
        <f t="shared" si="1"/>
        <v>-0.077357875</v>
      </c>
      <c r="J38" s="45">
        <f t="shared" si="2"/>
        <v>-0.077357875</v>
      </c>
      <c r="L38" s="49" t="s">
        <v>220</v>
      </c>
      <c r="O38" s="45">
        <f t="shared" ref="O38:Q38" si="11">O36-O37</f>
        <v>0.305830625029769</v>
      </c>
      <c r="P38" s="45">
        <f t="shared" si="11"/>
        <v>0.137245625743905</v>
      </c>
      <c r="Q38" s="45">
        <f t="shared" si="11"/>
        <v>0.243458744446601</v>
      </c>
      <c r="T38">
        <v>30</v>
      </c>
      <c r="U38" s="45">
        <f t="shared" si="3"/>
        <v>0.009505275025</v>
      </c>
      <c r="Y38" s="45">
        <f t="shared" si="4"/>
        <v>0.0010465225</v>
      </c>
    </row>
    <row r="39" spans="1:25">
      <c r="A39">
        <v>31</v>
      </c>
      <c r="B39" s="42">
        <v>44531</v>
      </c>
      <c r="C39" s="43">
        <v>336.32</v>
      </c>
      <c r="D39" s="44">
        <v>0.0173</v>
      </c>
      <c r="F39" s="45">
        <f t="shared" si="0"/>
        <v>0.0173</v>
      </c>
      <c r="G39" s="45">
        <f>O$5/12</f>
        <v>0.002057875</v>
      </c>
      <c r="H39" s="45">
        <f t="shared" si="1"/>
        <v>0.015242125</v>
      </c>
      <c r="J39" s="45" t="str">
        <f t="shared" si="2"/>
        <v/>
      </c>
      <c r="T39">
        <v>31</v>
      </c>
      <c r="U39" s="45">
        <f t="shared" si="3"/>
        <v>2.3961025e-5</v>
      </c>
      <c r="Y39" s="45" t="str">
        <f t="shared" si="4"/>
        <v/>
      </c>
    </row>
    <row r="40" ht="18.75" spans="1:25">
      <c r="A40">
        <v>32</v>
      </c>
      <c r="B40" s="42">
        <v>44501</v>
      </c>
      <c r="C40" s="43">
        <v>330.59</v>
      </c>
      <c r="D40" s="44">
        <v>-0.0031</v>
      </c>
      <c r="F40" s="45">
        <f t="shared" si="0"/>
        <v>-0.0031</v>
      </c>
      <c r="G40" s="45">
        <f>O$5/12</f>
        <v>0.002057875</v>
      </c>
      <c r="H40" s="45">
        <f t="shared" si="1"/>
        <v>-0.005157875</v>
      </c>
      <c r="J40" s="45">
        <f t="shared" si="2"/>
        <v>-0.005157875</v>
      </c>
      <c r="L40" s="49" t="s">
        <v>229</v>
      </c>
      <c r="O40" s="52">
        <f t="shared" ref="O40:Q40" si="12">O38/O35</f>
        <v>3.32094075320581</v>
      </c>
      <c r="P40" s="52">
        <f t="shared" si="12"/>
        <v>1.16978517441736</v>
      </c>
      <c r="Q40" s="52">
        <f t="shared" si="12"/>
        <v>2.19465657095161</v>
      </c>
      <c r="T40">
        <v>32</v>
      </c>
      <c r="U40" s="45">
        <f t="shared" si="3"/>
        <v>0.000639837025</v>
      </c>
      <c r="Y40" s="45">
        <f t="shared" si="4"/>
        <v>0.0015880225</v>
      </c>
    </row>
    <row r="41" spans="1:25">
      <c r="A41">
        <v>33</v>
      </c>
      <c r="B41" s="42">
        <v>44470</v>
      </c>
      <c r="C41" s="43">
        <v>331.62</v>
      </c>
      <c r="D41" s="44">
        <v>0.1763</v>
      </c>
      <c r="E41" s="41"/>
      <c r="F41" s="45">
        <f t="shared" si="0"/>
        <v>0.1763</v>
      </c>
      <c r="G41" s="45">
        <f>O$5/12</f>
        <v>0.002057875</v>
      </c>
      <c r="H41" s="45">
        <f t="shared" si="1"/>
        <v>0.174242125</v>
      </c>
      <c r="J41" s="45" t="str">
        <f t="shared" si="2"/>
        <v/>
      </c>
      <c r="T41">
        <v>33</v>
      </c>
      <c r="U41" s="45">
        <f t="shared" si="3"/>
        <v>0.023748351025</v>
      </c>
      <c r="Y41" s="45" t="str">
        <f t="shared" si="4"/>
        <v/>
      </c>
    </row>
    <row r="42" spans="1:25">
      <c r="A42">
        <v>34</v>
      </c>
      <c r="B42" s="42">
        <v>44440</v>
      </c>
      <c r="C42" s="43">
        <v>281.92</v>
      </c>
      <c r="D42" s="44">
        <v>-0.0661</v>
      </c>
      <c r="E42" s="41"/>
      <c r="F42" s="45">
        <f t="shared" si="0"/>
        <v>-0.0661</v>
      </c>
      <c r="G42" s="45">
        <f>O$5/12</f>
        <v>0.002057875</v>
      </c>
      <c r="H42" s="45">
        <f t="shared" si="1"/>
        <v>-0.068157875</v>
      </c>
      <c r="J42" s="45">
        <f t="shared" si="2"/>
        <v>-0.068157875</v>
      </c>
      <c r="T42">
        <v>34</v>
      </c>
      <c r="U42" s="45">
        <f t="shared" si="3"/>
        <v>0.007796007025</v>
      </c>
      <c r="Y42" s="45">
        <f t="shared" si="4"/>
        <v>0.0005359225</v>
      </c>
    </row>
    <row r="43" spans="1:25">
      <c r="A43">
        <v>35</v>
      </c>
      <c r="B43" s="42">
        <v>44409</v>
      </c>
      <c r="C43" s="43">
        <v>301.88</v>
      </c>
      <c r="D43" s="44">
        <v>0.0596</v>
      </c>
      <c r="E43" s="41"/>
      <c r="F43" s="45">
        <f t="shared" si="0"/>
        <v>0.0596</v>
      </c>
      <c r="G43" s="45">
        <f>O$5/12</f>
        <v>0.002057875</v>
      </c>
      <c r="H43" s="45">
        <f t="shared" si="1"/>
        <v>0.057542125</v>
      </c>
      <c r="J43" s="45" t="str">
        <f t="shared" si="2"/>
        <v/>
      </c>
      <c r="T43">
        <v>35</v>
      </c>
      <c r="U43" s="45">
        <f t="shared" si="3"/>
        <v>0.001399134025</v>
      </c>
      <c r="Y43" s="45" t="str">
        <f t="shared" si="4"/>
        <v/>
      </c>
    </row>
    <row r="44" spans="1:25">
      <c r="A44">
        <v>36</v>
      </c>
      <c r="B44" s="42">
        <v>44378</v>
      </c>
      <c r="C44" s="43">
        <v>284.91</v>
      </c>
      <c r="D44" s="44">
        <v>0.0517</v>
      </c>
      <c r="E44" s="41"/>
      <c r="F44" s="45">
        <f t="shared" si="0"/>
        <v>0.0517</v>
      </c>
      <c r="G44" s="45">
        <f>O$5/12</f>
        <v>0.002057875</v>
      </c>
      <c r="H44" s="45">
        <f t="shared" si="1"/>
        <v>0.049642125</v>
      </c>
      <c r="J44" s="45" t="str">
        <f t="shared" si="2"/>
        <v/>
      </c>
      <c r="T44">
        <v>36</v>
      </c>
      <c r="U44" s="45">
        <f t="shared" si="3"/>
        <v>0.000870545025</v>
      </c>
      <c r="Y44" s="45" t="str">
        <f t="shared" si="4"/>
        <v/>
      </c>
    </row>
    <row r="45" spans="1:25">
      <c r="A45">
        <v>37</v>
      </c>
      <c r="B45" s="42">
        <v>44348</v>
      </c>
      <c r="C45" s="43">
        <v>270.9</v>
      </c>
      <c r="D45" s="44">
        <v>0.085</v>
      </c>
      <c r="E45" s="41"/>
      <c r="F45" s="45">
        <f t="shared" si="0"/>
        <v>0.085</v>
      </c>
      <c r="G45" s="45">
        <f>O$5/12</f>
        <v>0.002057875</v>
      </c>
      <c r="H45" s="45">
        <f t="shared" si="1"/>
        <v>0.082942125</v>
      </c>
      <c r="J45" s="45" t="str">
        <f t="shared" si="2"/>
        <v/>
      </c>
      <c r="T45">
        <v>37</v>
      </c>
      <c r="U45" s="45">
        <f t="shared" si="3"/>
        <v>0.003944468025</v>
      </c>
      <c r="Y45" s="45" t="str">
        <f t="shared" si="4"/>
        <v/>
      </c>
    </row>
    <row r="46" spans="1:25">
      <c r="A46">
        <v>38</v>
      </c>
      <c r="B46" s="42">
        <v>44317</v>
      </c>
      <c r="C46" s="43">
        <v>249.68</v>
      </c>
      <c r="D46" s="44">
        <v>-0.0099</v>
      </c>
      <c r="E46" s="41"/>
      <c r="F46" s="45">
        <f t="shared" si="0"/>
        <v>-0.0099</v>
      </c>
      <c r="G46" s="45">
        <f>O$5/12</f>
        <v>0.002057875</v>
      </c>
      <c r="H46" s="45">
        <f t="shared" si="1"/>
        <v>-0.011957875</v>
      </c>
      <c r="J46" s="45">
        <f t="shared" si="2"/>
        <v>-0.011957875</v>
      </c>
      <c r="T46">
        <v>38</v>
      </c>
      <c r="U46" s="45">
        <f t="shared" si="3"/>
        <v>0.001030089025</v>
      </c>
      <c r="Y46" s="45">
        <f t="shared" si="4"/>
        <v>0.0010923025</v>
      </c>
    </row>
    <row r="47" spans="1:25">
      <c r="A47">
        <v>39</v>
      </c>
      <c r="B47" s="42">
        <v>44287</v>
      </c>
      <c r="C47" s="43">
        <v>252.18</v>
      </c>
      <c r="D47" s="44">
        <v>0.0696</v>
      </c>
      <c r="E47" s="41"/>
      <c r="F47" s="45">
        <f t="shared" si="0"/>
        <v>0.0696</v>
      </c>
      <c r="G47" s="45">
        <f>O$5/12</f>
        <v>0.002057875</v>
      </c>
      <c r="H47" s="45">
        <f t="shared" si="1"/>
        <v>0.067542125</v>
      </c>
      <c r="J47" s="45" t="str">
        <f t="shared" si="2"/>
        <v/>
      </c>
      <c r="T47">
        <v>39</v>
      </c>
      <c r="U47" s="45">
        <f t="shared" si="3"/>
        <v>0.002247234025</v>
      </c>
      <c r="Y47" s="45" t="str">
        <f t="shared" si="4"/>
        <v/>
      </c>
    </row>
    <row r="48" spans="1:25">
      <c r="A48">
        <v>40</v>
      </c>
      <c r="B48" s="42">
        <v>44256</v>
      </c>
      <c r="C48" s="43">
        <v>235.77</v>
      </c>
      <c r="D48" s="44">
        <v>0.0146</v>
      </c>
      <c r="E48" s="41"/>
      <c r="F48" s="45">
        <f t="shared" si="0"/>
        <v>0.0146</v>
      </c>
      <c r="G48" s="45">
        <f>O$5/12</f>
        <v>0.002057875</v>
      </c>
      <c r="H48" s="45">
        <f t="shared" si="1"/>
        <v>0.012542125</v>
      </c>
      <c r="J48" s="45" t="str">
        <f t="shared" si="2"/>
        <v/>
      </c>
      <c r="T48">
        <v>40</v>
      </c>
      <c r="U48" s="45">
        <f t="shared" si="3"/>
        <v>5.76840249999999e-5</v>
      </c>
      <c r="Y48" s="45" t="str">
        <f t="shared" si="4"/>
        <v/>
      </c>
    </row>
    <row r="49" spans="1:25">
      <c r="A49">
        <v>41</v>
      </c>
      <c r="B49" s="42">
        <v>44228</v>
      </c>
      <c r="C49" s="43">
        <v>232.38</v>
      </c>
      <c r="D49" s="44">
        <v>0.0018</v>
      </c>
      <c r="E49" s="41"/>
      <c r="F49" s="45">
        <f t="shared" si="0"/>
        <v>0.0018</v>
      </c>
      <c r="G49" s="45">
        <f>O$5/12</f>
        <v>0.002057875</v>
      </c>
      <c r="H49" s="45">
        <f t="shared" si="1"/>
        <v>-0.000257875</v>
      </c>
      <c r="J49" s="45">
        <f t="shared" si="2"/>
        <v>-0.000257875</v>
      </c>
      <c r="T49">
        <v>41</v>
      </c>
      <c r="U49" s="45">
        <f t="shared" si="3"/>
        <v>0.000415956025</v>
      </c>
      <c r="Y49" s="45">
        <f t="shared" si="4"/>
        <v>0.0020025625</v>
      </c>
    </row>
    <row r="50" spans="1:25">
      <c r="A50">
        <v>42</v>
      </c>
      <c r="B50" s="42">
        <v>44197</v>
      </c>
      <c r="C50" s="43">
        <v>231.96</v>
      </c>
      <c r="D50" s="44">
        <v>0.0429</v>
      </c>
      <c r="E50" s="41"/>
      <c r="F50" s="45">
        <f t="shared" si="0"/>
        <v>0.0429</v>
      </c>
      <c r="G50" s="45">
        <f>O$5/12</f>
        <v>0.002057875</v>
      </c>
      <c r="H50" s="45">
        <f t="shared" si="1"/>
        <v>0.040842125</v>
      </c>
      <c r="J50" s="45" t="str">
        <f t="shared" si="2"/>
        <v/>
      </c>
      <c r="T50">
        <v>42</v>
      </c>
      <c r="U50" s="45">
        <f t="shared" si="3"/>
        <v>0.000428697025</v>
      </c>
      <c r="Y50" s="45" t="str">
        <f t="shared" si="4"/>
        <v/>
      </c>
    </row>
    <row r="51" spans="1:25">
      <c r="A51">
        <v>43</v>
      </c>
      <c r="B51" s="42">
        <v>44166</v>
      </c>
      <c r="C51" s="43">
        <v>222.42</v>
      </c>
      <c r="D51" s="44">
        <v>0.039</v>
      </c>
      <c r="E51" s="41"/>
      <c r="F51" s="45">
        <f t="shared" si="0"/>
        <v>0.039</v>
      </c>
      <c r="G51" s="45">
        <f>O$5/12</f>
        <v>0.002057875</v>
      </c>
      <c r="H51" s="45">
        <f t="shared" si="1"/>
        <v>0.036942125</v>
      </c>
      <c r="J51" s="45" t="str">
        <f t="shared" si="2"/>
        <v/>
      </c>
      <c r="T51">
        <v>43</v>
      </c>
      <c r="U51" s="45">
        <f t="shared" si="3"/>
        <v>0.000282408025</v>
      </c>
      <c r="Y51" s="45" t="str">
        <f t="shared" si="4"/>
        <v/>
      </c>
    </row>
    <row r="52" spans="1:25">
      <c r="A52">
        <v>44</v>
      </c>
      <c r="B52" s="42">
        <v>44136</v>
      </c>
      <c r="C52" s="43">
        <v>214.07</v>
      </c>
      <c r="D52" s="44">
        <v>0.0573</v>
      </c>
      <c r="E52" s="41"/>
      <c r="F52" s="45">
        <f t="shared" si="0"/>
        <v>0.0573</v>
      </c>
      <c r="G52" s="45">
        <f>O$5/12</f>
        <v>0.002057875</v>
      </c>
      <c r="H52" s="45">
        <f t="shared" si="1"/>
        <v>0.055242125</v>
      </c>
      <c r="J52" s="45" t="str">
        <f t="shared" si="2"/>
        <v/>
      </c>
      <c r="T52">
        <v>44</v>
      </c>
      <c r="U52" s="45">
        <f t="shared" si="3"/>
        <v>0.001232361025</v>
      </c>
      <c r="Y52" s="45" t="str">
        <f t="shared" si="4"/>
        <v/>
      </c>
    </row>
    <row r="53" spans="1:25">
      <c r="A53">
        <v>45</v>
      </c>
      <c r="B53" s="42">
        <v>44105</v>
      </c>
      <c r="C53" s="43">
        <v>202.47</v>
      </c>
      <c r="D53" s="44">
        <v>-0.0374</v>
      </c>
      <c r="E53" s="41"/>
      <c r="F53" s="45">
        <f t="shared" si="0"/>
        <v>-0.0374</v>
      </c>
      <c r="G53" s="45">
        <f>O$5/12</f>
        <v>0.002057875</v>
      </c>
      <c r="H53" s="45">
        <f t="shared" si="1"/>
        <v>-0.039457875</v>
      </c>
      <c r="J53" s="45">
        <f t="shared" si="2"/>
        <v>-0.039457875</v>
      </c>
      <c r="T53">
        <v>45</v>
      </c>
      <c r="U53" s="45">
        <f t="shared" si="3"/>
        <v>0.003551564025</v>
      </c>
      <c r="Y53" s="45">
        <f t="shared" si="4"/>
        <v>3.08024999999999e-5</v>
      </c>
    </row>
    <row r="54" spans="1:25">
      <c r="A54">
        <v>46</v>
      </c>
      <c r="B54" s="42">
        <v>44075</v>
      </c>
      <c r="C54" s="43">
        <v>210.33</v>
      </c>
      <c r="D54" s="44">
        <v>-0.0674</v>
      </c>
      <c r="E54" s="41"/>
      <c r="F54" s="45">
        <f t="shared" si="0"/>
        <v>-0.0674</v>
      </c>
      <c r="G54" s="45">
        <f>O$5/12</f>
        <v>0.002057875</v>
      </c>
      <c r="H54" s="45">
        <f t="shared" si="1"/>
        <v>-0.069457875</v>
      </c>
      <c r="J54" s="45">
        <f t="shared" si="2"/>
        <v>-0.069457875</v>
      </c>
      <c r="T54">
        <v>46</v>
      </c>
      <c r="U54" s="45">
        <f t="shared" si="3"/>
        <v>0.008027264025</v>
      </c>
      <c r="Y54" s="45">
        <f t="shared" si="4"/>
        <v>0.0005978025</v>
      </c>
    </row>
    <row r="55" spans="1:25">
      <c r="A55">
        <v>47</v>
      </c>
      <c r="B55" s="42">
        <v>44044</v>
      </c>
      <c r="C55" s="43">
        <v>225.53</v>
      </c>
      <c r="D55" s="44">
        <v>0.1001</v>
      </c>
      <c r="E55" s="41"/>
      <c r="F55" s="45">
        <f t="shared" si="0"/>
        <v>0.1001</v>
      </c>
      <c r="G55" s="45">
        <f>O$5/12</f>
        <v>0.002057875</v>
      </c>
      <c r="H55" s="45">
        <f t="shared" si="1"/>
        <v>0.098042125</v>
      </c>
      <c r="J55" s="45" t="str">
        <f t="shared" si="2"/>
        <v/>
      </c>
      <c r="T55">
        <v>47</v>
      </c>
      <c r="U55" s="45">
        <f t="shared" si="3"/>
        <v>0.006069189025</v>
      </c>
      <c r="Y55" s="45" t="str">
        <f t="shared" si="4"/>
        <v/>
      </c>
    </row>
    <row r="56" spans="1:25">
      <c r="A56">
        <v>48</v>
      </c>
      <c r="B56" s="42">
        <v>44013</v>
      </c>
      <c r="C56" s="43">
        <v>205.01</v>
      </c>
      <c r="D56" s="44">
        <v>0.0074</v>
      </c>
      <c r="E56" s="41"/>
      <c r="F56" s="45">
        <f t="shared" si="0"/>
        <v>0.0074</v>
      </c>
      <c r="G56" s="45">
        <f>O$5/12</f>
        <v>0.002057875</v>
      </c>
      <c r="H56" s="45">
        <f t="shared" si="1"/>
        <v>0.005342125</v>
      </c>
      <c r="J56" s="45" t="str">
        <f t="shared" si="2"/>
        <v/>
      </c>
      <c r="T56">
        <v>48</v>
      </c>
      <c r="U56" s="45">
        <f t="shared" si="3"/>
        <v>0.000218892025</v>
      </c>
      <c r="Y56" s="45" t="str">
        <f t="shared" si="4"/>
        <v/>
      </c>
    </row>
    <row r="57" spans="1:25">
      <c r="A57">
        <v>49</v>
      </c>
      <c r="B57" s="42">
        <v>43983</v>
      </c>
      <c r="C57" s="43">
        <v>203.51</v>
      </c>
      <c r="D57" s="44">
        <v>0.1106</v>
      </c>
      <c r="E57" s="41"/>
      <c r="F57" s="45">
        <f t="shared" si="0"/>
        <v>0.1106</v>
      </c>
      <c r="G57" s="45">
        <f>O$5/12</f>
        <v>0.002057875</v>
      </c>
      <c r="H57" s="45">
        <f t="shared" si="1"/>
        <v>0.108542125</v>
      </c>
      <c r="J57" s="45" t="str">
        <f t="shared" si="2"/>
        <v/>
      </c>
      <c r="T57">
        <v>49</v>
      </c>
      <c r="U57" s="45">
        <f t="shared" si="3"/>
        <v>0.007815444025</v>
      </c>
      <c r="Y57" s="45" t="str">
        <f t="shared" si="4"/>
        <v/>
      </c>
    </row>
    <row r="58" spans="1:25">
      <c r="A58">
        <v>50</v>
      </c>
      <c r="B58" s="42">
        <v>43952</v>
      </c>
      <c r="C58" s="43">
        <v>183.25</v>
      </c>
      <c r="D58" s="44">
        <v>0.0225</v>
      </c>
      <c r="E58" s="41"/>
      <c r="F58" s="45">
        <f t="shared" si="0"/>
        <v>0.0225</v>
      </c>
      <c r="G58" s="45">
        <f>O$5/12</f>
        <v>0.002057875</v>
      </c>
      <c r="H58" s="45">
        <f t="shared" si="1"/>
        <v>0.020442125</v>
      </c>
      <c r="J58" s="45" t="str">
        <f t="shared" si="2"/>
        <v/>
      </c>
      <c r="T58">
        <v>50</v>
      </c>
      <c r="U58" s="45">
        <f t="shared" si="3"/>
        <v>9.30250000000019e-8</v>
      </c>
      <c r="Y58" s="45" t="str">
        <f t="shared" si="4"/>
        <v/>
      </c>
    </row>
    <row r="59" spans="1:25">
      <c r="A59">
        <v>51</v>
      </c>
      <c r="B59" s="42">
        <v>43922</v>
      </c>
      <c r="C59" s="43">
        <v>179.21</v>
      </c>
      <c r="D59" s="44">
        <v>0.1363</v>
      </c>
      <c r="E59" s="41"/>
      <c r="F59" s="45">
        <f t="shared" si="0"/>
        <v>0.1363</v>
      </c>
      <c r="G59" s="45">
        <f>O$5/12</f>
        <v>0.002057875</v>
      </c>
      <c r="H59" s="45">
        <f t="shared" si="1"/>
        <v>0.134242125</v>
      </c>
      <c r="J59" s="45" t="str">
        <f t="shared" si="2"/>
        <v/>
      </c>
      <c r="T59">
        <v>51</v>
      </c>
      <c r="U59" s="45">
        <f t="shared" si="3"/>
        <v>0.013019951025</v>
      </c>
      <c r="Y59" s="45" t="str">
        <f t="shared" si="4"/>
        <v/>
      </c>
    </row>
    <row r="60" spans="1:25">
      <c r="A60">
        <v>52</v>
      </c>
      <c r="B60" s="42">
        <v>43891</v>
      </c>
      <c r="C60" s="43">
        <v>157.71</v>
      </c>
      <c r="D60" s="44">
        <v>-0.0265</v>
      </c>
      <c r="E60" s="41"/>
      <c r="F60" s="45">
        <f t="shared" si="0"/>
        <v>-0.0265</v>
      </c>
      <c r="G60" s="45">
        <f>O$5/12</f>
        <v>0.002057875</v>
      </c>
      <c r="H60" s="45">
        <f t="shared" si="1"/>
        <v>-0.028557875</v>
      </c>
      <c r="J60" s="45">
        <f t="shared" si="2"/>
        <v>-0.028557875</v>
      </c>
      <c r="T60">
        <v>52</v>
      </c>
      <c r="U60" s="45">
        <f t="shared" si="3"/>
        <v>0.002371203025</v>
      </c>
      <c r="Y60" s="45">
        <f t="shared" si="4"/>
        <v>0.0002706025</v>
      </c>
    </row>
    <row r="61" spans="1:25">
      <c r="A61">
        <v>53</v>
      </c>
      <c r="B61" s="42">
        <v>43862</v>
      </c>
      <c r="C61" s="43">
        <v>162.01</v>
      </c>
      <c r="D61" s="44">
        <v>-0.0483</v>
      </c>
      <c r="E61" s="41"/>
      <c r="F61" s="45">
        <f t="shared" si="0"/>
        <v>-0.0483</v>
      </c>
      <c r="G61" s="45">
        <f>O$5/12</f>
        <v>0.002057875</v>
      </c>
      <c r="H61" s="45">
        <f t="shared" si="1"/>
        <v>-0.050357875</v>
      </c>
      <c r="J61" s="45">
        <f t="shared" si="2"/>
        <v>-0.050357875</v>
      </c>
      <c r="T61">
        <v>53</v>
      </c>
      <c r="U61" s="45">
        <f t="shared" si="3"/>
        <v>0.004969545025</v>
      </c>
      <c r="Y61" s="45">
        <f t="shared" si="4"/>
        <v>2.86225000000001e-5</v>
      </c>
    </row>
    <row r="62" spans="1:25">
      <c r="A62">
        <v>54</v>
      </c>
      <c r="B62" s="42">
        <v>43831</v>
      </c>
      <c r="C62" s="43">
        <v>170.23</v>
      </c>
      <c r="D62" s="44">
        <v>0.0795</v>
      </c>
      <c r="E62" s="41"/>
      <c r="F62" s="45">
        <f t="shared" si="0"/>
        <v>0.0795</v>
      </c>
      <c r="G62" s="45">
        <f>O$5/12</f>
        <v>0.002057875</v>
      </c>
      <c r="H62" s="45">
        <f t="shared" si="1"/>
        <v>0.077442125</v>
      </c>
      <c r="J62" s="45" t="str">
        <f t="shared" si="2"/>
        <v/>
      </c>
      <c r="T62">
        <v>54</v>
      </c>
      <c r="U62" s="45">
        <f t="shared" si="3"/>
        <v>0.003283863025</v>
      </c>
      <c r="Y62" s="45" t="str">
        <f t="shared" si="4"/>
        <v/>
      </c>
    </row>
    <row r="63" spans="1:25">
      <c r="A63">
        <v>55</v>
      </c>
      <c r="B63" s="42">
        <v>43800</v>
      </c>
      <c r="C63" s="43">
        <v>157.7</v>
      </c>
      <c r="D63" s="44">
        <v>0.0417</v>
      </c>
      <c r="E63" s="41"/>
      <c r="F63" s="45">
        <f t="shared" si="0"/>
        <v>0.0417</v>
      </c>
      <c r="G63" s="45">
        <f>O$5/12</f>
        <v>0.002057875</v>
      </c>
      <c r="H63" s="45">
        <f t="shared" si="1"/>
        <v>0.039642125</v>
      </c>
      <c r="J63" s="45" t="str">
        <f t="shared" si="2"/>
        <v/>
      </c>
      <c r="T63">
        <v>55</v>
      </c>
      <c r="U63" s="45">
        <f t="shared" si="3"/>
        <v>0.000380445025</v>
      </c>
      <c r="Y63" s="45" t="str">
        <f t="shared" si="4"/>
        <v/>
      </c>
    </row>
    <row r="64" spans="1:25">
      <c r="A64">
        <v>56</v>
      </c>
      <c r="B64" s="42">
        <v>43770</v>
      </c>
      <c r="C64" s="43">
        <v>151.38</v>
      </c>
      <c r="D64" s="44">
        <v>0.0559</v>
      </c>
      <c r="E64" s="41"/>
      <c r="F64" s="45">
        <f t="shared" si="0"/>
        <v>0.0559</v>
      </c>
      <c r="G64" s="45">
        <f>O$5/12</f>
        <v>0.002057875</v>
      </c>
      <c r="H64" s="45">
        <f t="shared" si="1"/>
        <v>0.053842125</v>
      </c>
      <c r="J64" s="45" t="str">
        <f t="shared" si="2"/>
        <v/>
      </c>
      <c r="T64">
        <v>56</v>
      </c>
      <c r="U64" s="45">
        <f t="shared" si="3"/>
        <v>0.001136027025</v>
      </c>
      <c r="Y64" s="45" t="str">
        <f t="shared" si="4"/>
        <v/>
      </c>
    </row>
    <row r="65" spans="1:25">
      <c r="A65">
        <v>57</v>
      </c>
      <c r="B65" s="42">
        <v>43739</v>
      </c>
      <c r="C65" s="43">
        <v>143.37</v>
      </c>
      <c r="D65" s="44">
        <v>0.0312</v>
      </c>
      <c r="E65" s="41"/>
      <c r="F65" s="45">
        <f t="shared" si="0"/>
        <v>0.0312</v>
      </c>
      <c r="G65" s="45">
        <f>O$5/12</f>
        <v>0.002057875</v>
      </c>
      <c r="H65" s="45">
        <f t="shared" si="1"/>
        <v>0.029142125</v>
      </c>
      <c r="J65" s="45" t="str">
        <f t="shared" si="2"/>
        <v/>
      </c>
      <c r="T65">
        <v>57</v>
      </c>
      <c r="U65" s="45">
        <f t="shared" si="3"/>
        <v>8.1090025e-5</v>
      </c>
      <c r="Y65" s="45" t="str">
        <f t="shared" si="4"/>
        <v/>
      </c>
    </row>
    <row r="66" spans="1:25">
      <c r="A66">
        <v>58</v>
      </c>
      <c r="B66" s="42">
        <v>43709</v>
      </c>
      <c r="C66" s="43">
        <v>139.03</v>
      </c>
      <c r="D66" s="44">
        <v>0.0085</v>
      </c>
      <c r="E66" s="41"/>
      <c r="F66" s="45">
        <f t="shared" si="0"/>
        <v>0.0085</v>
      </c>
      <c r="G66" s="45">
        <f>O$5/12</f>
        <v>0.002057875</v>
      </c>
      <c r="H66" s="45">
        <f t="shared" si="1"/>
        <v>0.006442125</v>
      </c>
      <c r="J66" s="45" t="str">
        <f t="shared" si="2"/>
        <v/>
      </c>
      <c r="T66">
        <v>58</v>
      </c>
      <c r="U66" s="45">
        <f t="shared" si="3"/>
        <v>0.000187553025</v>
      </c>
      <c r="Y66" s="45" t="str">
        <f t="shared" si="4"/>
        <v/>
      </c>
    </row>
    <row r="67" spans="1:25">
      <c r="A67">
        <v>59</v>
      </c>
      <c r="B67" s="42">
        <v>43678</v>
      </c>
      <c r="C67" s="43">
        <v>137.86</v>
      </c>
      <c r="D67" s="44">
        <v>0.0117</v>
      </c>
      <c r="E67" s="41"/>
      <c r="F67" s="45">
        <f t="shared" si="0"/>
        <v>0.0117</v>
      </c>
      <c r="G67" s="45">
        <f>O$5/12</f>
        <v>0.002057875</v>
      </c>
      <c r="H67" s="45">
        <f t="shared" si="1"/>
        <v>0.009642125</v>
      </c>
      <c r="J67" s="45" t="str">
        <f t="shared" si="2"/>
        <v/>
      </c>
      <c r="T67">
        <v>59</v>
      </c>
      <c r="U67" s="45">
        <f t="shared" si="3"/>
        <v>0.000110145025</v>
      </c>
      <c r="Y67" s="45" t="str">
        <f t="shared" si="4"/>
        <v/>
      </c>
    </row>
    <row r="68" spans="1:25">
      <c r="A68">
        <v>60</v>
      </c>
      <c r="B68" s="42">
        <v>43647</v>
      </c>
      <c r="C68" s="43">
        <v>136.27</v>
      </c>
      <c r="D68" s="44">
        <v>0.0172</v>
      </c>
      <c r="E68" s="41"/>
      <c r="F68" s="45">
        <f t="shared" si="0"/>
        <v>0.0172</v>
      </c>
      <c r="G68" s="45">
        <f>O$5/12</f>
        <v>0.002057875</v>
      </c>
      <c r="H68" s="45">
        <f t="shared" si="1"/>
        <v>0.015142125</v>
      </c>
      <c r="J68" s="45" t="str">
        <f t="shared" si="2"/>
        <v/>
      </c>
      <c r="T68">
        <v>60</v>
      </c>
      <c r="U68" s="45">
        <f t="shared" si="3"/>
        <v>2.4950025e-5</v>
      </c>
      <c r="Y68" s="45" t="str">
        <f t="shared" si="4"/>
        <v/>
      </c>
    </row>
    <row r="69" spans="5:7">
      <c r="E69" s="41"/>
      <c r="F69" s="41"/>
      <c r="G69" s="45"/>
    </row>
    <row r="70" spans="5:25">
      <c r="E70" s="41"/>
      <c r="F70" s="41"/>
      <c r="G70" s="45"/>
      <c r="U70" s="54">
        <f>SUM(U9:U69)</f>
        <v>0.2336100285</v>
      </c>
      <c r="Y70" s="54">
        <f>SUM(Y9:Y69)</f>
        <v>0.021535535</v>
      </c>
    </row>
    <row r="71" spans="5:10">
      <c r="E71" s="41"/>
      <c r="F71" s="41"/>
      <c r="G71" s="45"/>
      <c r="J71" s="45"/>
    </row>
    <row r="72" spans="5:7">
      <c r="E72" s="41"/>
      <c r="F72" s="41"/>
      <c r="G72" s="45"/>
    </row>
    <row r="73" spans="5:7">
      <c r="E73" s="41"/>
      <c r="F73" s="41"/>
      <c r="G73" s="45"/>
    </row>
    <row r="74" spans="5:7">
      <c r="E74" s="41"/>
      <c r="F74" s="41"/>
      <c r="G74" s="45"/>
    </row>
    <row r="75" spans="5:7">
      <c r="E75" s="41"/>
      <c r="F75" s="41"/>
      <c r="G75" s="45"/>
    </row>
    <row r="76" spans="5:7">
      <c r="E76" s="41"/>
      <c r="F76" s="41"/>
      <c r="G76" s="45"/>
    </row>
    <row r="77" spans="5:7">
      <c r="E77" s="41"/>
      <c r="F77" s="41"/>
      <c r="G77" s="45"/>
    </row>
    <row r="78" spans="5:7">
      <c r="E78" s="41"/>
      <c r="F78" s="41"/>
      <c r="G78" s="45"/>
    </row>
    <row r="79" spans="5:7">
      <c r="E79" s="41"/>
      <c r="F79" s="41"/>
      <c r="G79" s="45"/>
    </row>
    <row r="80" spans="5:7">
      <c r="E80" s="41"/>
      <c r="F80" s="41"/>
      <c r="G80" s="45"/>
    </row>
    <row r="81" spans="5:7">
      <c r="E81" s="41"/>
      <c r="F81" s="41"/>
      <c r="G81" s="45"/>
    </row>
    <row r="82" spans="5:7">
      <c r="E82" s="41"/>
      <c r="F82" s="41"/>
      <c r="G82" s="45"/>
    </row>
    <row r="83" spans="5:7">
      <c r="E83" s="41"/>
      <c r="F83" s="41"/>
      <c r="G83" s="45"/>
    </row>
    <row r="84" spans="5:7">
      <c r="E84" s="41"/>
      <c r="F84" s="41"/>
      <c r="G84" s="45"/>
    </row>
    <row r="85" spans="5:7">
      <c r="E85" s="41"/>
      <c r="F85" s="41"/>
      <c r="G85" s="41"/>
    </row>
    <row r="86" spans="5:7">
      <c r="E86" s="41"/>
      <c r="F86" s="41"/>
      <c r="G86" s="41"/>
    </row>
    <row r="87" spans="5:7">
      <c r="E87" s="41"/>
      <c r="F87" s="41"/>
      <c r="G87" s="41"/>
    </row>
    <row r="88" spans="5:7">
      <c r="E88" s="41"/>
      <c r="F88" s="41"/>
      <c r="G88" s="41"/>
    </row>
    <row r="89" spans="5:7">
      <c r="E89" s="41"/>
      <c r="F89" s="41"/>
      <c r="G89" s="41"/>
    </row>
    <row r="90" spans="5:7">
      <c r="E90" s="41"/>
      <c r="F90" s="41"/>
      <c r="G90" s="41"/>
    </row>
    <row r="91" spans="5:7">
      <c r="E91" s="41"/>
      <c r="F91" s="41"/>
      <c r="G91" s="41"/>
    </row>
    <row r="92" spans="5:7">
      <c r="E92" s="41"/>
      <c r="F92" s="41"/>
      <c r="G92" s="41"/>
    </row>
    <row r="93" spans="5:7">
      <c r="E93" s="41"/>
      <c r="F93" s="41"/>
      <c r="G93" s="41"/>
    </row>
    <row r="94" spans="5:7">
      <c r="E94" s="41"/>
      <c r="F94" s="41"/>
      <c r="G94" s="41"/>
    </row>
    <row r="95" spans="5:7">
      <c r="E95" s="41"/>
      <c r="F95" s="41"/>
      <c r="G95" s="41"/>
    </row>
    <row r="96" spans="5:7">
      <c r="E96" s="41"/>
      <c r="F96" s="41"/>
      <c r="G96" s="41"/>
    </row>
    <row r="97" spans="5:7">
      <c r="E97" s="41"/>
      <c r="F97" s="41"/>
      <c r="G97" s="41"/>
    </row>
    <row r="98" spans="5:7">
      <c r="E98" s="41"/>
      <c r="F98" s="41"/>
      <c r="G98" s="41"/>
    </row>
    <row r="99" spans="5:7">
      <c r="E99" s="41"/>
      <c r="F99" s="41"/>
      <c r="G99" s="41"/>
    </row>
    <row r="100" spans="5:7">
      <c r="E100" s="41"/>
      <c r="F100" s="41"/>
      <c r="G100" s="4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43"/>
  <sheetViews>
    <sheetView workbookViewId="0">
      <pane xSplit="4" ySplit="3" topLeftCell="G7" activePane="bottomRight" state="frozen"/>
      <selection/>
      <selection pane="topRight"/>
      <selection pane="bottomLeft"/>
      <selection pane="bottomRight" activeCell="R26" sqref="R26"/>
    </sheetView>
    <sheetView workbookViewId="1">
      <pane xSplit="4" ySplit="3" topLeftCell="E7" activePane="bottomRight" state="frozen"/>
      <selection/>
      <selection pane="topRight"/>
      <selection pane="bottomLeft"/>
      <selection pane="bottomRight" activeCell="R11" sqref="R11"/>
    </sheetView>
  </sheetViews>
  <sheetFormatPr defaultColWidth="9.14285714285714" defaultRowHeight="15"/>
  <cols>
    <col min="2" max="3" width="6.28571428571429" customWidth="1"/>
    <col min="4" max="4" width="39.7142857142857" customWidth="1"/>
    <col min="5" max="5" width="9.14285714285714" style="8"/>
    <col min="6" max="12" width="11.7142857142857" style="9"/>
    <col min="13" max="15" width="11" style="9"/>
    <col min="16" max="16" width="11" style="10"/>
    <col min="17" max="17" width="9.14285714285714" style="8"/>
  </cols>
  <sheetData>
    <row r="1" spans="6:16">
      <c r="F1" s="11" t="s">
        <v>31</v>
      </c>
      <c r="G1" s="11"/>
      <c r="H1" s="11"/>
      <c r="I1" s="11"/>
      <c r="J1" s="11"/>
      <c r="K1" s="11"/>
      <c r="M1" s="8"/>
      <c r="N1" s="8"/>
      <c r="O1" s="8"/>
      <c r="P1" s="26"/>
    </row>
    <row r="2" s="4" customFormat="1" spans="5:17">
      <c r="E2" s="12"/>
      <c r="F2" s="12" t="s">
        <v>32</v>
      </c>
      <c r="G2" s="12"/>
      <c r="H2" s="12"/>
      <c r="I2" s="12"/>
      <c r="J2" s="12"/>
      <c r="K2" s="12"/>
      <c r="M2" s="12"/>
      <c r="N2" s="12"/>
      <c r="O2" s="12"/>
      <c r="P2" s="27"/>
      <c r="Q2" s="12"/>
    </row>
    <row r="3" s="4" customFormat="1" spans="5:28">
      <c r="E3" s="12"/>
      <c r="F3" s="12">
        <v>2014</v>
      </c>
      <c r="G3" s="12">
        <v>2015</v>
      </c>
      <c r="H3" s="12">
        <v>2016</v>
      </c>
      <c r="I3" s="12">
        <v>2017</v>
      </c>
      <c r="J3" s="12">
        <v>2018</v>
      </c>
      <c r="K3" s="12">
        <v>2019</v>
      </c>
      <c r="L3" s="12">
        <v>2020</v>
      </c>
      <c r="M3" s="12">
        <v>2021</v>
      </c>
      <c r="N3" s="12">
        <v>2022</v>
      </c>
      <c r="O3" s="12">
        <v>2023</v>
      </c>
      <c r="P3" s="27">
        <v>2024</v>
      </c>
      <c r="Q3" s="12">
        <v>2025</v>
      </c>
      <c r="R3" s="12">
        <v>2026</v>
      </c>
      <c r="S3" s="12">
        <v>2027</v>
      </c>
      <c r="T3" s="12">
        <v>2028</v>
      </c>
      <c r="U3" s="12">
        <v>2029</v>
      </c>
      <c r="V3" s="12">
        <v>2030</v>
      </c>
      <c r="W3" s="12">
        <v>2031</v>
      </c>
      <c r="X3" s="12">
        <v>2032</v>
      </c>
      <c r="Y3" s="12">
        <v>2033</v>
      </c>
      <c r="Z3" s="12">
        <v>2034</v>
      </c>
      <c r="AB3" s="4" t="s">
        <v>7</v>
      </c>
    </row>
    <row r="7" ht="15.75" spans="2:24">
      <c r="B7" s="13" t="s">
        <v>85</v>
      </c>
      <c r="V7" s="33" t="s">
        <v>230</v>
      </c>
      <c r="W7" s="34">
        <f>FS!R77</f>
        <v>11.111386075805</v>
      </c>
      <c r="X7" t="s">
        <v>231</v>
      </c>
    </row>
    <row r="8" spans="2:2">
      <c r="B8" t="s">
        <v>86</v>
      </c>
    </row>
    <row r="9" spans="3:16">
      <c r="C9" t="s">
        <v>87</v>
      </c>
      <c r="F9" s="9">
        <v>72948</v>
      </c>
      <c r="G9" s="9">
        <v>75956</v>
      </c>
      <c r="H9" s="9">
        <v>67336</v>
      </c>
      <c r="I9" s="9">
        <v>63811</v>
      </c>
      <c r="J9" s="9">
        <v>64497</v>
      </c>
      <c r="K9" s="9">
        <v>66069</v>
      </c>
      <c r="L9" s="9">
        <v>68041</v>
      </c>
      <c r="M9" s="9">
        <v>71074</v>
      </c>
      <c r="N9" s="9">
        <v>72732</v>
      </c>
      <c r="O9" s="9">
        <v>64699</v>
      </c>
      <c r="P9" s="10">
        <v>64773</v>
      </c>
    </row>
    <row r="10" spans="3:16">
      <c r="C10" t="s">
        <v>88</v>
      </c>
      <c r="F10" s="9">
        <v>13885</v>
      </c>
      <c r="G10" s="9">
        <v>17624</v>
      </c>
      <c r="H10" s="9">
        <v>23818</v>
      </c>
      <c r="I10" s="9">
        <v>32760</v>
      </c>
      <c r="J10" s="9">
        <v>45863</v>
      </c>
      <c r="K10" s="9">
        <v>59774</v>
      </c>
      <c r="L10" s="9">
        <v>74974</v>
      </c>
      <c r="M10" s="9">
        <v>97014</v>
      </c>
      <c r="N10" s="9">
        <v>125538</v>
      </c>
      <c r="O10" s="9">
        <v>147216</v>
      </c>
      <c r="P10" s="10">
        <v>180349</v>
      </c>
    </row>
    <row r="11" spans="6:26">
      <c r="F11" s="14">
        <f t="shared" ref="F11:P11" si="0">SUM(F9:F10)</f>
        <v>86833</v>
      </c>
      <c r="G11" s="14">
        <f t="shared" si="0"/>
        <v>93580</v>
      </c>
      <c r="H11" s="14">
        <f t="shared" si="0"/>
        <v>91154</v>
      </c>
      <c r="I11" s="14">
        <f t="shared" si="0"/>
        <v>96571</v>
      </c>
      <c r="J11" s="14">
        <f t="shared" si="0"/>
        <v>110360</v>
      </c>
      <c r="K11" s="14">
        <f t="shared" si="0"/>
        <v>125843</v>
      </c>
      <c r="L11" s="14">
        <f t="shared" si="0"/>
        <v>143015</v>
      </c>
      <c r="M11" s="14">
        <f t="shared" si="0"/>
        <v>168088</v>
      </c>
      <c r="N11" s="14">
        <f t="shared" si="0"/>
        <v>198270</v>
      </c>
      <c r="O11" s="14">
        <f t="shared" si="0"/>
        <v>211915</v>
      </c>
      <c r="P11" s="28">
        <f t="shared" si="0"/>
        <v>245122</v>
      </c>
      <c r="Q11" s="14">
        <f>(1+$W7/100)*P11</f>
        <v>272358.451776735</v>
      </c>
      <c r="R11" s="14">
        <f t="shared" ref="R11:Z11" si="1">(1+$W7/100)*Q11</f>
        <v>302621.250863733</v>
      </c>
      <c r="S11" s="14">
        <f t="shared" si="1"/>
        <v>336246.666394633</v>
      </c>
      <c r="T11" s="14">
        <f t="shared" si="1"/>
        <v>373608.331664765</v>
      </c>
      <c r="U11" s="14">
        <f t="shared" si="1"/>
        <v>415121.395807411</v>
      </c>
      <c r="V11" s="14">
        <f t="shared" si="1"/>
        <v>461247.136778843</v>
      </c>
      <c r="W11" s="14">
        <f t="shared" si="1"/>
        <v>512498.086909937</v>
      </c>
      <c r="X11" s="14">
        <f t="shared" si="1"/>
        <v>569443.727977615</v>
      </c>
      <c r="Y11" s="14">
        <f t="shared" si="1"/>
        <v>632716.819077665</v>
      </c>
      <c r="Z11" s="14">
        <f t="shared" si="1"/>
        <v>703020.427611937</v>
      </c>
    </row>
    <row r="12" spans="2:4">
      <c r="B12" t="s">
        <v>89</v>
      </c>
      <c r="D12"/>
    </row>
    <row r="13" spans="3:16">
      <c r="C13" t="s">
        <v>87</v>
      </c>
      <c r="F13" s="9">
        <v>16681</v>
      </c>
      <c r="G13" s="9">
        <v>21410</v>
      </c>
      <c r="H13" s="9">
        <v>17880</v>
      </c>
      <c r="I13" s="9">
        <v>15175</v>
      </c>
      <c r="J13" s="9">
        <v>15420</v>
      </c>
      <c r="K13" s="9">
        <v>16273</v>
      </c>
      <c r="L13" s="9">
        <v>16017</v>
      </c>
      <c r="M13" s="9">
        <v>18219</v>
      </c>
      <c r="N13" s="9">
        <v>19064</v>
      </c>
      <c r="O13" s="9">
        <v>17804</v>
      </c>
      <c r="P13" s="10">
        <v>15272</v>
      </c>
    </row>
    <row r="14" spans="3:16">
      <c r="C14" t="s">
        <v>88</v>
      </c>
      <c r="F14" s="9">
        <v>10397</v>
      </c>
      <c r="G14" s="9">
        <v>11628</v>
      </c>
      <c r="H14" s="9">
        <v>14900</v>
      </c>
      <c r="I14" s="9">
        <v>19086</v>
      </c>
      <c r="J14" s="9">
        <v>22933</v>
      </c>
      <c r="K14" s="9">
        <v>26637</v>
      </c>
      <c r="L14" s="9">
        <v>30061</v>
      </c>
      <c r="M14" s="9">
        <v>34013</v>
      </c>
      <c r="N14" s="9">
        <v>43586</v>
      </c>
      <c r="O14" s="9">
        <v>48059</v>
      </c>
      <c r="P14" s="10">
        <v>58842</v>
      </c>
    </row>
    <row r="15" spans="6:26">
      <c r="F15" s="14">
        <f t="shared" ref="F15:P15" si="2">SUM(F13:F14)</f>
        <v>27078</v>
      </c>
      <c r="G15" s="14">
        <f t="shared" si="2"/>
        <v>33038</v>
      </c>
      <c r="H15" s="14">
        <f t="shared" si="2"/>
        <v>32780</v>
      </c>
      <c r="I15" s="14">
        <f t="shared" si="2"/>
        <v>34261</v>
      </c>
      <c r="J15" s="14">
        <f t="shared" si="2"/>
        <v>38353</v>
      </c>
      <c r="K15" s="14">
        <f t="shared" si="2"/>
        <v>42910</v>
      </c>
      <c r="L15" s="14">
        <f t="shared" si="2"/>
        <v>46078</v>
      </c>
      <c r="M15" s="14">
        <f t="shared" si="2"/>
        <v>52232</v>
      </c>
      <c r="N15" s="14">
        <f t="shared" si="2"/>
        <v>62650</v>
      </c>
      <c r="O15" s="14">
        <f t="shared" si="2"/>
        <v>65863</v>
      </c>
      <c r="P15" s="28">
        <f t="shared" si="2"/>
        <v>74114</v>
      </c>
      <c r="Q15" s="14">
        <f>Q11-Q17</f>
        <v>89874.5398927346</v>
      </c>
      <c r="R15" s="14">
        <f t="shared" ref="R15:Z15" si="3">R11-R17</f>
        <v>99860.8470040697</v>
      </c>
      <c r="S15" s="14">
        <f t="shared" si="3"/>
        <v>110956.771253261</v>
      </c>
      <c r="T15" s="14">
        <f t="shared" si="3"/>
        <v>123285.606484459</v>
      </c>
      <c r="U15" s="14">
        <f t="shared" si="3"/>
        <v>136984.346196844</v>
      </c>
      <c r="V15" s="14">
        <f t="shared" si="3"/>
        <v>152205.205766193</v>
      </c>
      <c r="W15" s="14">
        <f t="shared" si="3"/>
        <v>169117.313806348</v>
      </c>
      <c r="X15" s="14">
        <f t="shared" si="3"/>
        <v>187908.591464403</v>
      </c>
      <c r="Y15" s="14">
        <f t="shared" si="3"/>
        <v>208787.84053162</v>
      </c>
      <c r="Z15" s="14">
        <f t="shared" si="3"/>
        <v>231987.063572424</v>
      </c>
    </row>
    <row r="17" spans="2:26">
      <c r="B17" t="s">
        <v>90</v>
      </c>
      <c r="F17" s="14">
        <f t="shared" ref="F17:P17" si="4">F11-F15</f>
        <v>59755</v>
      </c>
      <c r="G17" s="14">
        <f t="shared" si="4"/>
        <v>60542</v>
      </c>
      <c r="H17" s="14">
        <f t="shared" si="4"/>
        <v>58374</v>
      </c>
      <c r="I17" s="14">
        <f t="shared" si="4"/>
        <v>62310</v>
      </c>
      <c r="J17" s="14">
        <f t="shared" si="4"/>
        <v>72007</v>
      </c>
      <c r="K17" s="14">
        <f t="shared" si="4"/>
        <v>82933</v>
      </c>
      <c r="L17" s="14">
        <f t="shared" si="4"/>
        <v>96937</v>
      </c>
      <c r="M17" s="14">
        <f t="shared" si="4"/>
        <v>115856</v>
      </c>
      <c r="N17" s="14">
        <f t="shared" si="4"/>
        <v>135620</v>
      </c>
      <c r="O17" s="14">
        <f t="shared" si="4"/>
        <v>146052</v>
      </c>
      <c r="P17" s="28">
        <f t="shared" si="4"/>
        <v>171008</v>
      </c>
      <c r="Q17" s="14">
        <f>Q11*($Q18/100)</f>
        <v>182483.911884</v>
      </c>
      <c r="R17" s="14">
        <f t="shared" ref="R17:Z17" si="5">R11*($Q18/100)</f>
        <v>202760.403859663</v>
      </c>
      <c r="S17" s="14">
        <f t="shared" si="5"/>
        <v>225289.895141372</v>
      </c>
      <c r="T17" s="14">
        <f t="shared" si="5"/>
        <v>250322.725180306</v>
      </c>
      <c r="U17" s="14">
        <f t="shared" si="5"/>
        <v>278137.049610567</v>
      </c>
      <c r="V17" s="14">
        <f t="shared" si="5"/>
        <v>309041.93101265</v>
      </c>
      <c r="W17" s="14">
        <f t="shared" si="5"/>
        <v>343380.773103589</v>
      </c>
      <c r="X17" s="14">
        <f t="shared" si="5"/>
        <v>381535.136513213</v>
      </c>
      <c r="Y17" s="14">
        <f t="shared" si="5"/>
        <v>423928.978546045</v>
      </c>
      <c r="Z17" s="14">
        <f t="shared" si="5"/>
        <v>471033.364039513</v>
      </c>
    </row>
    <row r="18" s="5" customFormat="1" ht="15.75" spans="3:17">
      <c r="C18" s="15" t="s">
        <v>91</v>
      </c>
      <c r="D18" s="16"/>
      <c r="E18" s="17"/>
      <c r="F18" s="18">
        <f t="shared" ref="F18:P18" si="6">IFERROR(F17/F11*100,0)</f>
        <v>68.8160031324496</v>
      </c>
      <c r="G18" s="18">
        <f t="shared" si="6"/>
        <v>64.6954477452447</v>
      </c>
      <c r="H18" s="18">
        <f t="shared" si="6"/>
        <v>64.0388792592755</v>
      </c>
      <c r="I18" s="18">
        <f t="shared" si="6"/>
        <v>64.5224756914602</v>
      </c>
      <c r="J18" s="18">
        <f t="shared" si="6"/>
        <v>65.2473722363175</v>
      </c>
      <c r="K18" s="18">
        <f t="shared" si="6"/>
        <v>65.9019572006389</v>
      </c>
      <c r="L18" s="18">
        <f t="shared" si="6"/>
        <v>67.781001992798</v>
      </c>
      <c r="M18" s="18">
        <f t="shared" si="6"/>
        <v>68.9258007710247</v>
      </c>
      <c r="N18" s="18">
        <f t="shared" si="6"/>
        <v>68.4016744842891</v>
      </c>
      <c r="O18" s="18">
        <f t="shared" si="6"/>
        <v>68.920085883491</v>
      </c>
      <c r="P18" s="29">
        <f t="shared" si="6"/>
        <v>69.7644438279714</v>
      </c>
      <c r="Q18" s="35">
        <f>AVERAGE(E18:P18)</f>
        <v>67.0013765659055</v>
      </c>
    </row>
    <row r="20" spans="2:16">
      <c r="B20" t="s">
        <v>92</v>
      </c>
      <c r="F20" s="9">
        <v>11381</v>
      </c>
      <c r="G20" s="9">
        <v>12046</v>
      </c>
      <c r="H20" s="9">
        <v>11988</v>
      </c>
      <c r="I20" s="9">
        <v>13037</v>
      </c>
      <c r="J20" s="9">
        <v>14726</v>
      </c>
      <c r="K20" s="9">
        <v>16876</v>
      </c>
      <c r="L20" s="9">
        <v>19269</v>
      </c>
      <c r="M20" s="9">
        <v>20716</v>
      </c>
      <c r="N20" s="9">
        <v>24512</v>
      </c>
      <c r="O20" s="9">
        <v>27195</v>
      </c>
      <c r="P20" s="10">
        <v>29510</v>
      </c>
    </row>
    <row r="21" spans="2:16">
      <c r="B21" t="s">
        <v>93</v>
      </c>
      <c r="F21" s="9">
        <v>15811</v>
      </c>
      <c r="G21" s="9">
        <v>15713</v>
      </c>
      <c r="H21" s="9">
        <v>14635</v>
      </c>
      <c r="I21" s="9">
        <v>15461</v>
      </c>
      <c r="J21" s="9">
        <v>17469</v>
      </c>
      <c r="K21" s="9">
        <v>18213</v>
      </c>
      <c r="L21" s="9">
        <v>19598</v>
      </c>
      <c r="M21" s="9">
        <v>20117</v>
      </c>
      <c r="N21" s="9">
        <v>21825</v>
      </c>
      <c r="O21" s="9">
        <v>22759</v>
      </c>
      <c r="P21" s="10">
        <v>24456</v>
      </c>
    </row>
    <row r="22" spans="2:16">
      <c r="B22" t="s">
        <v>94</v>
      </c>
      <c r="F22" s="9">
        <v>4677</v>
      </c>
      <c r="G22" s="9">
        <v>4611</v>
      </c>
      <c r="H22" s="9">
        <v>4563</v>
      </c>
      <c r="I22" s="9">
        <f>4481</f>
        <v>4481</v>
      </c>
      <c r="J22" s="9">
        <v>4754</v>
      </c>
      <c r="K22" s="9">
        <v>4885</v>
      </c>
      <c r="L22" s="9">
        <v>5111</v>
      </c>
      <c r="M22" s="9">
        <v>5107</v>
      </c>
      <c r="N22" s="9">
        <v>5900</v>
      </c>
      <c r="O22" s="9">
        <v>7575</v>
      </c>
      <c r="P22" s="10">
        <v>7609</v>
      </c>
    </row>
    <row r="23" spans="2:16">
      <c r="B23" t="s">
        <v>95</v>
      </c>
      <c r="F23" s="9">
        <v>127</v>
      </c>
      <c r="G23" s="9">
        <v>10011</v>
      </c>
      <c r="H23" s="9">
        <v>1110</v>
      </c>
      <c r="I23" s="9">
        <v>306</v>
      </c>
      <c r="J23" s="9">
        <v>0</v>
      </c>
      <c r="K23" s="9">
        <v>0</v>
      </c>
      <c r="L23" s="9">
        <v>0</v>
      </c>
      <c r="M23" s="9">
        <v>0</v>
      </c>
      <c r="N23" s="9">
        <v>0</v>
      </c>
      <c r="O23" s="9">
        <v>0</v>
      </c>
      <c r="P23" s="10">
        <v>0</v>
      </c>
    </row>
    <row r="24" spans="2:26">
      <c r="B24" t="s">
        <v>96</v>
      </c>
      <c r="F24" s="14">
        <f t="shared" ref="F24:P24" si="7">SUM(F20:F23)</f>
        <v>31996</v>
      </c>
      <c r="G24" s="14">
        <f t="shared" si="7"/>
        <v>42381</v>
      </c>
      <c r="H24" s="14">
        <f t="shared" si="7"/>
        <v>32296</v>
      </c>
      <c r="I24" s="14">
        <f t="shared" si="7"/>
        <v>33285</v>
      </c>
      <c r="J24" s="14">
        <f t="shared" si="7"/>
        <v>36949</v>
      </c>
      <c r="K24" s="14">
        <f t="shared" si="7"/>
        <v>39974</v>
      </c>
      <c r="L24" s="14">
        <f t="shared" si="7"/>
        <v>43978</v>
      </c>
      <c r="M24" s="14">
        <f t="shared" si="7"/>
        <v>45940</v>
      </c>
      <c r="N24" s="14">
        <f t="shared" si="7"/>
        <v>52237</v>
      </c>
      <c r="O24" s="14">
        <f t="shared" si="7"/>
        <v>57529</v>
      </c>
      <c r="P24" s="28">
        <f t="shared" si="7"/>
        <v>61575</v>
      </c>
      <c r="Q24" s="14">
        <f>Q17-Q26</f>
        <v>87643.4588653617</v>
      </c>
      <c r="R24" s="14">
        <f t="shared" ref="R24:Z24" si="8">R17-R26</f>
        <v>97381.8619500814</v>
      </c>
      <c r="S24" s="14">
        <f t="shared" si="8"/>
        <v>108202.336599162</v>
      </c>
      <c r="T24" s="14">
        <f t="shared" si="8"/>
        <v>120225.115961737</v>
      </c>
      <c r="U24" s="14">
        <f t="shared" si="8"/>
        <v>133583.79275633</v>
      </c>
      <c r="V24" s="14">
        <f t="shared" si="8"/>
        <v>148426.80370419</v>
      </c>
      <c r="W24" s="14">
        <f t="shared" si="8"/>
        <v>164919.078903739</v>
      </c>
      <c r="X24" s="14">
        <f t="shared" si="8"/>
        <v>183243.874473395</v>
      </c>
      <c r="Y24" s="14">
        <f t="shared" si="8"/>
        <v>203604.808826398</v>
      </c>
      <c r="Z24" s="14">
        <f t="shared" si="8"/>
        <v>226228.125204004</v>
      </c>
    </row>
    <row r="26" spans="2:26">
      <c r="B26" t="s">
        <v>97</v>
      </c>
      <c r="F26" s="14">
        <f t="shared" ref="F26:P26" si="9">F17-F24</f>
        <v>27759</v>
      </c>
      <c r="G26" s="14">
        <f t="shared" si="9"/>
        <v>18161</v>
      </c>
      <c r="H26" s="14">
        <f t="shared" si="9"/>
        <v>26078</v>
      </c>
      <c r="I26" s="14">
        <f t="shared" si="9"/>
        <v>29025</v>
      </c>
      <c r="J26" s="14">
        <f t="shared" si="9"/>
        <v>35058</v>
      </c>
      <c r="K26" s="14">
        <f t="shared" si="9"/>
        <v>42959</v>
      </c>
      <c r="L26" s="14">
        <f t="shared" si="9"/>
        <v>52959</v>
      </c>
      <c r="M26" s="14">
        <f t="shared" si="9"/>
        <v>69916</v>
      </c>
      <c r="N26" s="14">
        <f t="shared" si="9"/>
        <v>83383</v>
      </c>
      <c r="O26" s="14">
        <f t="shared" si="9"/>
        <v>88523</v>
      </c>
      <c r="P26" s="28">
        <f t="shared" si="9"/>
        <v>109433</v>
      </c>
      <c r="Q26" s="14">
        <f>Q11*($Q27/100)</f>
        <v>94840.4530186386</v>
      </c>
      <c r="R26" s="14">
        <f t="shared" ref="R26:Z26" si="10">R11*($Q27/100)</f>
        <v>105378.541909582</v>
      </c>
      <c r="S26" s="14">
        <f t="shared" si="10"/>
        <v>117087.55854221</v>
      </c>
      <c r="T26" s="14">
        <f t="shared" si="10"/>
        <v>130097.609218569</v>
      </c>
      <c r="U26" s="14">
        <f t="shared" si="10"/>
        <v>144553.256854236</v>
      </c>
      <c r="V26" s="14">
        <f t="shared" si="10"/>
        <v>160615.12730846</v>
      </c>
      <c r="W26" s="14">
        <f t="shared" si="10"/>
        <v>178461.694199849</v>
      </c>
      <c r="X26" s="14">
        <f t="shared" si="10"/>
        <v>198291.262039817</v>
      </c>
      <c r="Y26" s="14">
        <f t="shared" si="10"/>
        <v>220324.169719647</v>
      </c>
      <c r="Z26" s="14">
        <f t="shared" si="10"/>
        <v>244805.238835509</v>
      </c>
    </row>
    <row r="27" s="5" customFormat="1" ht="15.75" spans="3:17">
      <c r="C27" s="15" t="s">
        <v>98</v>
      </c>
      <c r="D27" s="16"/>
      <c r="E27" s="17"/>
      <c r="F27" s="18">
        <f t="shared" ref="F27:P27" si="11">IFERROR(F26/F11*100,0)</f>
        <v>31.9682609146292</v>
      </c>
      <c r="G27" s="18">
        <f t="shared" si="11"/>
        <v>19.4069245565292</v>
      </c>
      <c r="H27" s="18">
        <f t="shared" si="11"/>
        <v>28.6087280865349</v>
      </c>
      <c r="I27" s="18">
        <f t="shared" si="11"/>
        <v>30.0556067556513</v>
      </c>
      <c r="J27" s="18">
        <f t="shared" si="11"/>
        <v>31.766944545125</v>
      </c>
      <c r="K27" s="18">
        <f t="shared" si="11"/>
        <v>34.1369802054941</v>
      </c>
      <c r="L27" s="18">
        <f t="shared" si="11"/>
        <v>37.0303814285215</v>
      </c>
      <c r="M27" s="18">
        <f t="shared" si="11"/>
        <v>41.5948788729713</v>
      </c>
      <c r="N27" s="18">
        <f t="shared" si="11"/>
        <v>42.0552781560498</v>
      </c>
      <c r="O27" s="18">
        <f t="shared" si="11"/>
        <v>41.7728806361041</v>
      </c>
      <c r="P27" s="29">
        <f t="shared" si="11"/>
        <v>44.6442995732737</v>
      </c>
      <c r="Q27" s="35">
        <f>AVERAGE(E27:P27)</f>
        <v>34.8219239755349</v>
      </c>
    </row>
    <row r="29" spans="2:26">
      <c r="B29" t="s">
        <v>99</v>
      </c>
      <c r="F29" s="9">
        <v>61</v>
      </c>
      <c r="G29" s="9">
        <v>346</v>
      </c>
      <c r="H29" s="9">
        <v>-439</v>
      </c>
      <c r="I29" s="9">
        <v>876</v>
      </c>
      <c r="J29" s="9">
        <v>1416</v>
      </c>
      <c r="K29" s="9">
        <v>729</v>
      </c>
      <c r="L29" s="9">
        <v>77</v>
      </c>
      <c r="M29" s="9">
        <v>1186</v>
      </c>
      <c r="N29" s="9">
        <v>333</v>
      </c>
      <c r="O29" s="9">
        <v>788</v>
      </c>
      <c r="P29" s="10">
        <v>-1646</v>
      </c>
      <c r="Q29" s="9">
        <f>Q11*(FS!$R$109/100)</f>
        <v>646.238614377384</v>
      </c>
      <c r="R29" s="9">
        <f>R11*(FS!$R$109/100)</f>
        <v>718.044681791788</v>
      </c>
      <c r="S29" s="9">
        <f>S11*(FS!$R$109/100)</f>
        <v>797.82939858246</v>
      </c>
      <c r="T29" s="9">
        <f>T11*(FS!$R$109/100)</f>
        <v>886.47930328523</v>
      </c>
      <c r="U29" s="9">
        <f>U11*(FS!$R$109/100)</f>
        <v>984.979441155359</v>
      </c>
      <c r="V29" s="9">
        <f>V11*(FS!$R$109/100)</f>
        <v>1094.42430962944</v>
      </c>
      <c r="W29" s="9">
        <f>W11*(FS!$R$109/100)</f>
        <v>1216.03001997983</v>
      </c>
      <c r="X29" s="9">
        <f>X11*(FS!$R$109/100)</f>
        <v>1351.14781029748</v>
      </c>
      <c r="Y29" s="9">
        <f>Y11*(FS!$R$109/100)</f>
        <v>1501.27905995442</v>
      </c>
      <c r="Z29" s="9">
        <f>Z11*(FS!$R$109/100)</f>
        <v>1668.09197238117</v>
      </c>
    </row>
    <row r="31" spans="2:26">
      <c r="B31" t="s">
        <v>100</v>
      </c>
      <c r="F31" s="14">
        <f t="shared" ref="F31:P31" si="12">F26+F29</f>
        <v>27820</v>
      </c>
      <c r="G31" s="14">
        <f t="shared" si="12"/>
        <v>18507</v>
      </c>
      <c r="H31" s="14">
        <f t="shared" si="12"/>
        <v>25639</v>
      </c>
      <c r="I31" s="14">
        <f t="shared" si="12"/>
        <v>29901</v>
      </c>
      <c r="J31" s="14">
        <f t="shared" si="12"/>
        <v>36474</v>
      </c>
      <c r="K31" s="14">
        <f t="shared" si="12"/>
        <v>43688</v>
      </c>
      <c r="L31" s="14">
        <f t="shared" si="12"/>
        <v>53036</v>
      </c>
      <c r="M31" s="14">
        <f t="shared" si="12"/>
        <v>71102</v>
      </c>
      <c r="N31" s="14">
        <f t="shared" si="12"/>
        <v>83716</v>
      </c>
      <c r="O31" s="14">
        <f t="shared" si="12"/>
        <v>89311</v>
      </c>
      <c r="P31" s="28">
        <f t="shared" si="12"/>
        <v>107787</v>
      </c>
      <c r="Q31" s="14">
        <f t="shared" ref="Q31:Z31" si="13">Q26+Q29</f>
        <v>95486.691633016</v>
      </c>
      <c r="R31" s="14">
        <f t="shared" si="13"/>
        <v>106096.586591374</v>
      </c>
      <c r="S31" s="14">
        <f t="shared" si="13"/>
        <v>117885.387940792</v>
      </c>
      <c r="T31" s="14">
        <f t="shared" si="13"/>
        <v>130984.088521854</v>
      </c>
      <c r="U31" s="14">
        <f t="shared" si="13"/>
        <v>145538.236295392</v>
      </c>
      <c r="V31" s="14">
        <f t="shared" si="13"/>
        <v>161709.55161809</v>
      </c>
      <c r="W31" s="14">
        <f t="shared" si="13"/>
        <v>179677.724219829</v>
      </c>
      <c r="X31" s="14">
        <f t="shared" si="13"/>
        <v>199642.409850115</v>
      </c>
      <c r="Y31" s="14">
        <f t="shared" si="13"/>
        <v>221825.448779602</v>
      </c>
      <c r="Z31" s="14">
        <f t="shared" si="13"/>
        <v>246473.330807891</v>
      </c>
    </row>
    <row r="33" spans="2:26">
      <c r="B33" t="s">
        <v>101</v>
      </c>
      <c r="F33" s="9">
        <v>5746</v>
      </c>
      <c r="G33" s="9">
        <v>6314</v>
      </c>
      <c r="H33" s="9">
        <v>5100</v>
      </c>
      <c r="I33" s="9">
        <v>4412</v>
      </c>
      <c r="J33" s="9">
        <v>19903</v>
      </c>
      <c r="K33" s="9">
        <v>4448</v>
      </c>
      <c r="L33" s="9">
        <v>8755</v>
      </c>
      <c r="M33" s="9">
        <v>9831</v>
      </c>
      <c r="N33" s="9">
        <v>10978</v>
      </c>
      <c r="O33" s="9">
        <v>16950</v>
      </c>
      <c r="P33" s="10">
        <v>19651</v>
      </c>
      <c r="Q33" s="9">
        <f>Q31-Q35</f>
        <v>19281.5785086567</v>
      </c>
      <c r="R33" s="9">
        <f t="shared" ref="R33:Z33" si="14">R31-R35</f>
        <v>21424.0291382632</v>
      </c>
      <c r="S33" s="9">
        <f t="shared" si="14"/>
        <v>23804.5357288082</v>
      </c>
      <c r="T33" s="9">
        <f t="shared" si="14"/>
        <v>26449.5495971891</v>
      </c>
      <c r="U33" s="9">
        <f t="shared" si="14"/>
        <v>29388.461168245</v>
      </c>
      <c r="V33" s="9">
        <f t="shared" si="14"/>
        <v>32653.9265503863</v>
      </c>
      <c r="W33" s="9">
        <f t="shared" si="14"/>
        <v>36282.2303983093</v>
      </c>
      <c r="X33" s="9">
        <f t="shared" si="14"/>
        <v>40313.689094779</v>
      </c>
      <c r="Y33" s="9">
        <f t="shared" si="14"/>
        <v>44793.0987314993</v>
      </c>
      <c r="Z33" s="9">
        <f t="shared" si="14"/>
        <v>49770.232866873</v>
      </c>
    </row>
    <row r="35" spans="2:26">
      <c r="B35" t="s">
        <v>102</v>
      </c>
      <c r="F35" s="14">
        <f t="shared" ref="F35:P35" si="15">F31-F33</f>
        <v>22074</v>
      </c>
      <c r="G35" s="14">
        <f t="shared" si="15"/>
        <v>12193</v>
      </c>
      <c r="H35" s="14">
        <f t="shared" si="15"/>
        <v>20539</v>
      </c>
      <c r="I35" s="14">
        <f t="shared" si="15"/>
        <v>25489</v>
      </c>
      <c r="J35" s="14">
        <f t="shared" si="15"/>
        <v>16571</v>
      </c>
      <c r="K35" s="14">
        <f t="shared" si="15"/>
        <v>39240</v>
      </c>
      <c r="L35" s="14">
        <f t="shared" si="15"/>
        <v>44281</v>
      </c>
      <c r="M35" s="14">
        <f t="shared" si="15"/>
        <v>61271</v>
      </c>
      <c r="N35" s="14">
        <f t="shared" si="15"/>
        <v>72738</v>
      </c>
      <c r="O35" s="14">
        <f t="shared" si="15"/>
        <v>72361</v>
      </c>
      <c r="P35" s="28">
        <f t="shared" si="15"/>
        <v>88136</v>
      </c>
      <c r="Q35" s="14">
        <f>Q11*($Q36/100)</f>
        <v>76205.1131243593</v>
      </c>
      <c r="R35" s="14">
        <f t="shared" ref="R35:Z35" si="16">R11*($Q36/100)</f>
        <v>84672.5574531108</v>
      </c>
      <c r="S35" s="14">
        <f t="shared" si="16"/>
        <v>94080.8522119838</v>
      </c>
      <c r="T35" s="14">
        <f t="shared" si="16"/>
        <v>104534.538924665</v>
      </c>
      <c r="U35" s="14">
        <f t="shared" si="16"/>
        <v>116149.775127147</v>
      </c>
      <c r="V35" s="14">
        <f t="shared" si="16"/>
        <v>129055.625067704</v>
      </c>
      <c r="W35" s="14">
        <f t="shared" si="16"/>
        <v>143395.49382152</v>
      </c>
      <c r="X35" s="14">
        <f t="shared" si="16"/>
        <v>159328.720755336</v>
      </c>
      <c r="Y35" s="14">
        <f t="shared" si="16"/>
        <v>177032.350048103</v>
      </c>
      <c r="Z35" s="14">
        <f t="shared" si="16"/>
        <v>196703.097941018</v>
      </c>
    </row>
    <row r="36" ht="15.75" spans="3:26">
      <c r="C36" s="15" t="s">
        <v>103</v>
      </c>
      <c r="D36" s="19"/>
      <c r="F36" s="18">
        <f t="shared" ref="F36:P36" si="17">IFERROR(F35/F11*100,0)</f>
        <v>25.421210829984</v>
      </c>
      <c r="G36" s="18">
        <f t="shared" si="17"/>
        <v>13.0294934815131</v>
      </c>
      <c r="H36" s="18">
        <f t="shared" si="17"/>
        <v>22.5321982578932</v>
      </c>
      <c r="I36" s="18">
        <f t="shared" si="17"/>
        <v>26.3940520446097</v>
      </c>
      <c r="J36" s="18">
        <f t="shared" si="17"/>
        <v>15.0154041319319</v>
      </c>
      <c r="K36" s="18">
        <f t="shared" si="17"/>
        <v>31.1817105440907</v>
      </c>
      <c r="L36" s="18">
        <f t="shared" si="17"/>
        <v>30.96248645247</v>
      </c>
      <c r="M36" s="18">
        <f t="shared" si="17"/>
        <v>36.4517395649898</v>
      </c>
      <c r="N36" s="18">
        <f t="shared" si="17"/>
        <v>36.6863368134362</v>
      </c>
      <c r="O36" s="18">
        <f t="shared" si="17"/>
        <v>34.1462378783946</v>
      </c>
      <c r="P36" s="29">
        <f t="shared" si="17"/>
        <v>35.955972944085</v>
      </c>
      <c r="Q36" s="35">
        <f>AVERAGE(E36:P36)</f>
        <v>27.9797129948544</v>
      </c>
      <c r="R36" s="9"/>
      <c r="S36" s="9"/>
      <c r="T36" s="9"/>
      <c r="U36" s="9"/>
      <c r="V36" s="9"/>
      <c r="W36" s="9"/>
      <c r="X36" s="9"/>
      <c r="Y36" s="9"/>
      <c r="Z36" s="9"/>
    </row>
    <row r="37" spans="17:26">
      <c r="Q37" s="9"/>
      <c r="R37" s="9"/>
      <c r="S37" s="9"/>
      <c r="T37" s="9"/>
      <c r="U37" s="9"/>
      <c r="V37" s="9"/>
      <c r="W37" s="9"/>
      <c r="X37" s="9"/>
      <c r="Y37" s="9"/>
      <c r="Z37" s="9"/>
    </row>
    <row r="39" ht="15.75" spans="3:4">
      <c r="C39" s="20" t="s">
        <v>104</v>
      </c>
      <c r="D39" s="19"/>
    </row>
    <row r="40" s="6" customFormat="1" spans="3:26">
      <c r="C40" s="21" t="s">
        <v>105</v>
      </c>
      <c r="D40" s="21"/>
      <c r="E40" s="22"/>
      <c r="F40" s="22">
        <v>8239</v>
      </c>
      <c r="G40" s="22">
        <v>8027</v>
      </c>
      <c r="H40" s="22">
        <v>7808</v>
      </c>
      <c r="I40" s="22">
        <v>7708</v>
      </c>
      <c r="J40" s="22">
        <v>7677</v>
      </c>
      <c r="K40" s="22">
        <v>7643</v>
      </c>
      <c r="L40" s="22">
        <v>7571</v>
      </c>
      <c r="M40" s="22">
        <v>7519</v>
      </c>
      <c r="N40" s="22">
        <v>7464</v>
      </c>
      <c r="O40" s="22">
        <v>7432</v>
      </c>
      <c r="P40" s="30">
        <v>7434</v>
      </c>
      <c r="Q40" s="22">
        <v>7434</v>
      </c>
      <c r="R40" s="6">
        <v>7434</v>
      </c>
      <c r="S40" s="22">
        <v>7434</v>
      </c>
      <c r="T40" s="6">
        <v>7434</v>
      </c>
      <c r="U40" s="22">
        <v>7434</v>
      </c>
      <c r="V40" s="6">
        <v>7434</v>
      </c>
      <c r="W40" s="22">
        <v>7434</v>
      </c>
      <c r="X40" s="6">
        <v>7434</v>
      </c>
      <c r="Y40" s="22">
        <v>7434</v>
      </c>
      <c r="Z40" s="6">
        <v>7434</v>
      </c>
    </row>
    <row r="41" s="7" customFormat="1" spans="3:28">
      <c r="C41" s="23" t="s">
        <v>106</v>
      </c>
      <c r="D41" s="23"/>
      <c r="E41" s="24"/>
      <c r="F41" s="24">
        <v>43.16</v>
      </c>
      <c r="G41" s="24">
        <v>46.7</v>
      </c>
      <c r="H41" s="24">
        <v>56.68</v>
      </c>
      <c r="I41" s="24">
        <v>72.7</v>
      </c>
      <c r="J41" s="24">
        <v>106.08</v>
      </c>
      <c r="K41" s="24">
        <v>136.27</v>
      </c>
      <c r="L41" s="24">
        <v>205.01</v>
      </c>
      <c r="M41" s="24">
        <v>284.91</v>
      </c>
      <c r="N41" s="24">
        <v>280.74</v>
      </c>
      <c r="O41" s="24">
        <v>335.92</v>
      </c>
      <c r="P41" s="31">
        <v>418.35</v>
      </c>
      <c r="Q41" s="24">
        <f>Q42*$Q43</f>
        <v>311.890931189429</v>
      </c>
      <c r="R41" s="24">
        <f t="shared" ref="R41:Z41" si="18">R42*$Q43</f>
        <v>346.54633668931</v>
      </c>
      <c r="S41" s="24">
        <f t="shared" si="18"/>
        <v>385.052438090418</v>
      </c>
      <c r="T41" s="24">
        <f t="shared" si="18"/>
        <v>427.837101080945</v>
      </c>
      <c r="U41" s="24">
        <f t="shared" si="18"/>
        <v>475.375733157581</v>
      </c>
      <c r="V41" s="24">
        <f t="shared" si="18"/>
        <v>528.196566179408</v>
      </c>
      <c r="W41" s="24">
        <f t="shared" si="18"/>
        <v>586.886525886747</v>
      </c>
      <c r="X41" s="24">
        <f t="shared" si="18"/>
        <v>652.097753604903</v>
      </c>
      <c r="Y41" s="24">
        <f t="shared" si="18"/>
        <v>724.554852599596</v>
      </c>
      <c r="Z41" s="24">
        <f t="shared" si="18"/>
        <v>805.062939602917</v>
      </c>
      <c r="AB41" s="37">
        <f>((Z41/P41)^(1/($Z$3-$P$3))-1)*100</f>
        <v>6.76502501231862</v>
      </c>
    </row>
    <row r="42" s="7" customFormat="1" spans="3:26">
      <c r="C42" s="23" t="s">
        <v>12</v>
      </c>
      <c r="D42" s="23"/>
      <c r="E42" s="24"/>
      <c r="F42" s="24">
        <f t="shared" ref="F42:P42" si="19">IFERROR(F35/F40,0)</f>
        <v>2.67920864182546</v>
      </c>
      <c r="G42" s="24">
        <f t="shared" si="19"/>
        <v>1.51899838046593</v>
      </c>
      <c r="H42" s="24">
        <f t="shared" si="19"/>
        <v>2.63050717213115</v>
      </c>
      <c r="I42" s="24">
        <f t="shared" si="19"/>
        <v>3.30682407887909</v>
      </c>
      <c r="J42" s="24">
        <f t="shared" si="19"/>
        <v>2.1585254656767</v>
      </c>
      <c r="K42" s="24">
        <f t="shared" si="19"/>
        <v>5.13410964281042</v>
      </c>
      <c r="L42" s="24">
        <f t="shared" si="19"/>
        <v>5.84876502443535</v>
      </c>
      <c r="M42" s="24">
        <f t="shared" si="19"/>
        <v>8.14882298177949</v>
      </c>
      <c r="N42" s="24">
        <f t="shared" si="19"/>
        <v>9.7451768488746</v>
      </c>
      <c r="O42" s="24">
        <f t="shared" si="19"/>
        <v>9.73641011840689</v>
      </c>
      <c r="P42" s="31">
        <f t="shared" si="19"/>
        <v>11.8557976863062</v>
      </c>
      <c r="Q42" s="24">
        <f>Q35/Q40</f>
        <v>10.2508895782028</v>
      </c>
      <c r="R42" s="24">
        <f>R35/R40</f>
        <v>11.3899054954413</v>
      </c>
      <c r="S42" s="24">
        <f t="shared" ref="S42:Z42" si="20">S35/S40</f>
        <v>12.6554818687091</v>
      </c>
      <c r="T42" s="24">
        <f t="shared" si="20"/>
        <v>14.0616813188949</v>
      </c>
      <c r="U42" s="24">
        <f t="shared" si="20"/>
        <v>15.6241290189867</v>
      </c>
      <c r="V42" s="24">
        <f t="shared" si="20"/>
        <v>17.3601863152682</v>
      </c>
      <c r="W42" s="24">
        <f t="shared" si="20"/>
        <v>19.2891436402367</v>
      </c>
      <c r="X42" s="24">
        <f t="shared" si="20"/>
        <v>21.43243486082</v>
      </c>
      <c r="Y42" s="24">
        <f t="shared" si="20"/>
        <v>23.8138754436512</v>
      </c>
      <c r="Z42" s="24">
        <f t="shared" si="20"/>
        <v>26.4599270838066</v>
      </c>
    </row>
    <row r="43" s="6" customFormat="1" spans="3:17">
      <c r="C43" s="25" t="s">
        <v>107</v>
      </c>
      <c r="D43" s="25"/>
      <c r="E43" s="11"/>
      <c r="F43" s="11">
        <f t="shared" ref="F43:P43" si="21">F41/F42</f>
        <v>16.109234393404</v>
      </c>
      <c r="G43" s="11">
        <f t="shared" si="21"/>
        <v>30.7439432461248</v>
      </c>
      <c r="H43" s="11">
        <f t="shared" si="21"/>
        <v>21.5471756171187</v>
      </c>
      <c r="I43" s="11">
        <f t="shared" si="21"/>
        <v>21.9848405194398</v>
      </c>
      <c r="J43" s="11">
        <f t="shared" si="21"/>
        <v>49.1446599481021</v>
      </c>
      <c r="K43" s="11">
        <f t="shared" si="21"/>
        <v>26.5420899592253</v>
      </c>
      <c r="L43" s="11">
        <f t="shared" si="21"/>
        <v>35.0518441317947</v>
      </c>
      <c r="M43" s="11">
        <f t="shared" si="21"/>
        <v>34.9633315924336</v>
      </c>
      <c r="N43" s="11">
        <f t="shared" si="21"/>
        <v>28.8080970056917</v>
      </c>
      <c r="O43" s="11">
        <f t="shared" si="21"/>
        <v>34.5014225895165</v>
      </c>
      <c r="P43" s="32">
        <f t="shared" si="21"/>
        <v>35.2865333121539</v>
      </c>
      <c r="Q43" s="36">
        <f>AVERAGE(E43:P43)</f>
        <v>30.4257429377277</v>
      </c>
    </row>
  </sheetData>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98"/>
  <sheetViews>
    <sheetView topLeftCell="A31" workbookViewId="0">
      <selection activeCell="C43" sqref="C43:D43"/>
    </sheetView>
    <sheetView workbookViewId="1">
      <selection activeCell="L23" sqref="L23"/>
    </sheetView>
  </sheetViews>
  <sheetFormatPr defaultColWidth="9.14285714285714" defaultRowHeight="15.75"/>
  <cols>
    <col min="2" max="2" width="6" style="1" customWidth="1"/>
    <col min="3" max="3" width="7.85714285714286" customWidth="1"/>
  </cols>
  <sheetData>
    <row r="2" spans="15:15">
      <c r="O2" t="s">
        <v>232</v>
      </c>
    </row>
    <row r="3" spans="2:2">
      <c r="B3" s="1" t="s">
        <v>233</v>
      </c>
    </row>
    <row r="4" spans="3:3">
      <c r="C4" t="s">
        <v>53</v>
      </c>
    </row>
    <row r="5" spans="4:15">
      <c r="D5" t="s">
        <v>234</v>
      </c>
      <c r="O5" s="97" t="s">
        <v>235</v>
      </c>
    </row>
    <row r="7" spans="4:4">
      <c r="D7" t="s">
        <v>46</v>
      </c>
    </row>
    <row r="9" spans="4:15">
      <c r="D9" t="s">
        <v>236</v>
      </c>
      <c r="O9" s="97" t="s">
        <v>237</v>
      </c>
    </row>
    <row r="10" spans="15:15">
      <c r="O10" s="97" t="s">
        <v>238</v>
      </c>
    </row>
    <row r="12" spans="3:3">
      <c r="C12" t="s">
        <v>54</v>
      </c>
    </row>
    <row r="13" spans="4:15">
      <c r="D13" t="s">
        <v>239</v>
      </c>
      <c r="O13" s="98" t="s">
        <v>240</v>
      </c>
    </row>
    <row r="14" spans="15:15">
      <c r="O14" s="98" t="s">
        <v>241</v>
      </c>
    </row>
    <row r="15" spans="15:15">
      <c r="O15" s="3"/>
    </row>
    <row r="16" spans="4:15">
      <c r="D16" t="s">
        <v>242</v>
      </c>
      <c r="O16" s="98" t="s">
        <v>243</v>
      </c>
    </row>
    <row r="17" spans="15:15">
      <c r="O17" s="3"/>
    </row>
    <row r="18" spans="4:15">
      <c r="D18" t="s">
        <v>244</v>
      </c>
      <c r="O18" s="3"/>
    </row>
    <row r="19" spans="15:15">
      <c r="O19" s="3"/>
    </row>
    <row r="20" spans="4:15">
      <c r="D20" t="s">
        <v>245</v>
      </c>
      <c r="O20" s="98" t="s">
        <v>246</v>
      </c>
    </row>
    <row r="21" spans="15:15">
      <c r="O21" s="98" t="s">
        <v>247</v>
      </c>
    </row>
    <row r="22" spans="15:15">
      <c r="O22" s="3"/>
    </row>
    <row r="23" spans="3:3">
      <c r="C23" t="s">
        <v>248</v>
      </c>
    </row>
    <row r="24" spans="4:15">
      <c r="D24" t="s">
        <v>44</v>
      </c>
      <c r="O24" s="97" t="s">
        <v>249</v>
      </c>
    </row>
    <row r="26" spans="4:4">
      <c r="D26" t="s">
        <v>250</v>
      </c>
    </row>
    <row r="28" spans="4:15">
      <c r="D28" t="s">
        <v>251</v>
      </c>
      <c r="O28" s="97" t="s">
        <v>252</v>
      </c>
    </row>
    <row r="30" spans="4:15">
      <c r="D30" t="s">
        <v>45</v>
      </c>
      <c r="O30" s="97" t="s">
        <v>253</v>
      </c>
    </row>
    <row r="31" spans="15:15">
      <c r="O31" s="97" t="s">
        <v>254</v>
      </c>
    </row>
    <row r="34" spans="2:2">
      <c r="B34" s="1" t="s">
        <v>255</v>
      </c>
    </row>
    <row r="42" spans="2:2">
      <c r="B42" s="1" t="s">
        <v>256</v>
      </c>
    </row>
    <row r="43" spans="3:3">
      <c r="C43" t="s">
        <v>257</v>
      </c>
    </row>
    <row r="52" spans="2:2">
      <c r="B52" s="1" t="s">
        <v>258</v>
      </c>
    </row>
    <row r="53" spans="2:3">
      <c r="B53" s="2"/>
      <c r="C53" t="s">
        <v>53</v>
      </c>
    </row>
    <row r="54" spans="4:4">
      <c r="D54" t="s">
        <v>259</v>
      </c>
    </row>
    <row r="55" spans="5:5">
      <c r="E55" s="97" t="s">
        <v>260</v>
      </c>
    </row>
    <row r="57" spans="5:5">
      <c r="E57" s="97" t="s">
        <v>261</v>
      </c>
    </row>
    <row r="59" spans="5:5">
      <c r="E59" s="97" t="s">
        <v>262</v>
      </c>
    </row>
    <row r="61" spans="5:5">
      <c r="E61" s="97" t="s">
        <v>263</v>
      </c>
    </row>
    <row r="63" spans="5:5">
      <c r="E63" s="97" t="s">
        <v>264</v>
      </c>
    </row>
    <row r="65" spans="5:5">
      <c r="E65" s="97" t="s">
        <v>265</v>
      </c>
    </row>
    <row r="67" spans="5:5">
      <c r="E67" s="97" t="s">
        <v>266</v>
      </c>
    </row>
    <row r="69" spans="5:5">
      <c r="E69" s="97" t="s">
        <v>267</v>
      </c>
    </row>
    <row r="72" spans="4:4">
      <c r="D72" t="s">
        <v>46</v>
      </c>
    </row>
    <row r="73" spans="5:15">
      <c r="E73" s="97" t="s">
        <v>268</v>
      </c>
      <c r="O73" s="97" t="s">
        <v>269</v>
      </c>
    </row>
    <row r="74" spans="15:15">
      <c r="O74" s="97" t="s">
        <v>270</v>
      </c>
    </row>
    <row r="76" spans="5:15">
      <c r="E76" s="97" t="s">
        <v>271</v>
      </c>
      <c r="O76" s="97" t="s">
        <v>272</v>
      </c>
    </row>
    <row r="79" spans="4:4">
      <c r="D79" t="s">
        <v>273</v>
      </c>
    </row>
    <row r="80" spans="5:5">
      <c r="E80" s="97" t="s">
        <v>274</v>
      </c>
    </row>
    <row r="83" spans="3:3">
      <c r="C83" t="s">
        <v>54</v>
      </c>
    </row>
    <row r="84" spans="4:4">
      <c r="D84" t="s">
        <v>239</v>
      </c>
    </row>
    <row r="85" spans="5:5">
      <c r="E85" s="97" t="s">
        <v>275</v>
      </c>
    </row>
    <row r="86" spans="5:5">
      <c r="E86" s="97" t="s">
        <v>276</v>
      </c>
    </row>
    <row r="88" spans="5:5">
      <c r="E88" s="97" t="s">
        <v>277</v>
      </c>
    </row>
    <row r="90" spans="5:5">
      <c r="E90" s="97" t="s">
        <v>278</v>
      </c>
    </row>
    <row r="92" spans="5:5">
      <c r="E92" s="97" t="s">
        <v>279</v>
      </c>
    </row>
    <row r="95" spans="3:3">
      <c r="C95" t="s">
        <v>248</v>
      </c>
    </row>
    <row r="96" spans="4:4">
      <c r="D96" s="97" t="s">
        <v>280</v>
      </c>
    </row>
    <row r="97" spans="4:4">
      <c r="D97" s="97" t="s">
        <v>281</v>
      </c>
    </row>
    <row r="98" spans="4:4">
      <c r="D98" s="97" t="s">
        <v>282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Overall</vt:lpstr>
      <vt:lpstr>FS</vt:lpstr>
      <vt:lpstr>Sharpe, Sortino</vt:lpstr>
      <vt:lpstr>Projection</vt:lpstr>
      <vt:lpstr>SWOT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2025-01-10T20:18:14Z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