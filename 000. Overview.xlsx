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tabRatio="384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Sheet1!$A$5:$BB$12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<sst xmlns="http://schemas.openxmlformats.org/spreadsheetml/2006/main" count="102" uniqueCount="59">
  <si>
    <t>Share price</t>
  </si>
  <si>
    <t>Profit Margins</t>
  </si>
  <si>
    <t>Valuation Multiples</t>
  </si>
  <si>
    <t>Solvency</t>
  </si>
  <si>
    <t>Efficiency</t>
  </si>
  <si>
    <t>Risk</t>
  </si>
  <si>
    <t>CAGR</t>
  </si>
  <si>
    <t>GPM</t>
  </si>
  <si>
    <t>OM</t>
  </si>
  <si>
    <t>NPM</t>
  </si>
  <si>
    <t>PE</t>
  </si>
  <si>
    <t>EPS</t>
  </si>
  <si>
    <t>Dividend Yield</t>
  </si>
  <si>
    <t>Debt Ratio</t>
  </si>
  <si>
    <t>Debt - Equity</t>
  </si>
  <si>
    <t>Debt - Revenue</t>
  </si>
  <si>
    <t>IT</t>
  </si>
  <si>
    <t>RT</t>
  </si>
  <si>
    <t>PT</t>
  </si>
  <si>
    <t>Sharpe</t>
  </si>
  <si>
    <t>Sortino</t>
  </si>
  <si>
    <t>Company</t>
  </si>
  <si>
    <t>Ticker</t>
  </si>
  <si>
    <t>Category 
https://finviz.com/</t>
  </si>
  <si>
    <t>Major Revenue Sources</t>
  </si>
  <si>
    <t>Y/E</t>
  </si>
  <si>
    <t>Updated As At</t>
  </si>
  <si>
    <t>MC</t>
  </si>
  <si>
    <t>Share price at Y/E</t>
  </si>
  <si>
    <t>Current</t>
  </si>
  <si>
    <t>3 years</t>
  </si>
  <si>
    <t>5 years</t>
  </si>
  <si>
    <t>Apple</t>
  </si>
  <si>
    <t>AAPL</t>
  </si>
  <si>
    <t>Technology - Consumer Electronics</t>
  </si>
  <si>
    <t>Phones / Digital Content / PC Devices</t>
  </si>
  <si>
    <t>Microsoft</t>
  </si>
  <si>
    <t>MSFT</t>
  </si>
  <si>
    <t>Technology - Software - Infrastructure</t>
  </si>
  <si>
    <t>Server &amp; Office Software / Cloud Computing</t>
  </si>
  <si>
    <t>Alphabet (Google)</t>
  </si>
  <si>
    <t>GOOG</t>
  </si>
  <si>
    <t>Communication Services - Internet Content &amp; Information</t>
  </si>
  <si>
    <t>Advertising / Cloud Computing</t>
  </si>
  <si>
    <t>Amazon</t>
  </si>
  <si>
    <t>AMZN</t>
  </si>
  <si>
    <t>Consumer Cyclical - Internet Retail</t>
  </si>
  <si>
    <t>Online Retail / Cloud Computing</t>
  </si>
  <si>
    <t>Nvidia</t>
  </si>
  <si>
    <t>NVDA</t>
  </si>
  <si>
    <t>Technology - Semiconductors</t>
  </si>
  <si>
    <t>Cloud computing (GPU) / Gaming (GPU)</t>
  </si>
  <si>
    <t>Meta Platforms (Facebook)</t>
  </si>
  <si>
    <t>META</t>
  </si>
  <si>
    <t>Advertising</t>
  </si>
  <si>
    <t>Tesla</t>
  </si>
  <si>
    <t>TSLA</t>
  </si>
  <si>
    <t>Consumer Cyclical - Auto Manufacturers</t>
  </si>
  <si>
    <t>Auto Manufacturing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</si>
</sst>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1" fontId="1" fillId="0" borderId="0" xfId="0" applyNumberFormat="1" applyFont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0" xfId="0" applyNumberFormat="1" applyAlignment="1">
      <alignment horizontal="center" vertical="center" wrapText="1"/>
    </xf>
    <xf numFmtId="0" fontId="2" fillId="0" borderId="0" xfId="6" applyFont="1">
      <alignment vertical="center"/>
    </xf>
    <xf numFmtId="16" fontId="0" fillId="0" borderId="0" xfId="0" applyNumberFormat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41" fontId="0" fillId="0" borderId="0" xfId="0" applyNumberFormat="1" applyFill="1" applyAlignment="1">
      <alignment horizontal="center" vertical="center"/>
    </xf>
    <xf numFmtId="43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 wrapText="1"/>
    </xf>
    <xf numFmtId="43" fontId="1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>
      <alignment vertical="center" wrapText="1"/>
    </xf>
    <xf numFmtId="43" fontId="0" fillId="0" borderId="0" xfId="0" applyNumberFormat="1" applyAlignment="1">
      <alignment horizontal="center" vertical="center" wrapText="1"/>
    </xf>
    <xf numFmtId="43" fontId="0" fillId="0" borderId="0" xfId="0" applyNumberFormat="1" applyFill="1" applyAlignment="1">
      <alignment horizontal="center" vertical="center"/>
    </xf>
    <xf numFmtId="41" fontId="1" fillId="0" borderId="0" xfId="0" applyNumberFormat="1" applyFont="1" applyAlignment="1">
      <alignment vertical="center" wrapText="1"/>
    </xf>
    <xf numFmtId="41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MZ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OOG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SF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VD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AP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ET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SL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</sheetNames>
    <sheetDataSet>
      <sheetData sheetId="0">
        <row r="6">
          <cell r="E6">
            <v>2023</v>
          </cell>
          <cell r="F6">
            <v>1655842.12</v>
          </cell>
          <cell r="G6">
            <v>151.94</v>
          </cell>
          <cell r="H6">
            <v>80.8809523809524</v>
          </cell>
          <cell r="I6">
            <v>-3.41629906879928</v>
          </cell>
          <cell r="J6">
            <v>10.4730769530623</v>
          </cell>
          <cell r="K6">
            <v>46.9820889550006</v>
          </cell>
          <cell r="L6">
            <v>44.2733144206555</v>
          </cell>
          <cell r="M6">
            <v>42.6755493218546</v>
          </cell>
          <cell r="N6">
            <v>6.41144079960333</v>
          </cell>
          <cell r="O6">
            <v>4.69660291391817</v>
          </cell>
          <cell r="P6">
            <v>5.04095187662921</v>
          </cell>
          <cell r="Q6">
            <v>5.29328357559783</v>
          </cell>
          <cell r="R6">
            <v>3.95503565035685</v>
          </cell>
          <cell r="S6">
            <v>4.3042453913349</v>
          </cell>
          <cell r="T6">
            <v>54.4237344289236</v>
          </cell>
          <cell r="U6">
            <v>36.0747875503198</v>
          </cell>
          <cell r="V6">
            <v>54.4870917305671</v>
          </cell>
          <cell r="W6">
            <v>2.7917966599376</v>
          </cell>
          <cell r="X6">
            <v>1.89109600651914</v>
          </cell>
          <cell r="Y6">
            <v>1.76183883836427</v>
          </cell>
          <cell r="Z6">
            <v>0</v>
          </cell>
          <cell r="AA6">
            <v>0</v>
          </cell>
          <cell r="AB6">
            <v>0</v>
          </cell>
          <cell r="AC6">
            <v>0.617555233075813</v>
          </cell>
          <cell r="AD6">
            <v>0.657726982662981</v>
          </cell>
          <cell r="AE6">
            <v>0.681372174083431</v>
          </cell>
          <cell r="AF6">
            <v>1.61475665634675</v>
          </cell>
          <cell r="AG6">
            <v>1.94162873779552</v>
          </cell>
          <cell r="AH6">
            <v>2.17863547834888</v>
          </cell>
          <cell r="AI6">
            <v>0.567132058073888</v>
          </cell>
          <cell r="AJ6">
            <v>0.594680790234898</v>
          </cell>
          <cell r="AK6">
            <v>0.591161288148287</v>
          </cell>
          <cell r="AL6">
            <v>9.14637733357344</v>
          </cell>
          <cell r="AM6">
            <v>8.62842655825814</v>
          </cell>
          <cell r="AN6">
            <v>8.75325266946848</v>
          </cell>
          <cell r="AO6">
            <v>11.0000382753143</v>
          </cell>
          <cell r="AP6">
            <v>12.4726457342404</v>
          </cell>
          <cell r="AQ6">
            <v>13.3249905496538</v>
          </cell>
          <cell r="AR6">
            <v>3.58596627481437</v>
          </cell>
          <cell r="AS6">
            <v>3.55887126182622</v>
          </cell>
          <cell r="AT6">
            <v>3.48025869635951</v>
          </cell>
          <cell r="AU6">
            <v>1.56118803453725</v>
          </cell>
          <cell r="AV6">
            <v>-0.122956546192707</v>
          </cell>
          <cell r="AW6">
            <v>0.292973561661489</v>
          </cell>
          <cell r="AX6">
            <v>24.7482123861846</v>
          </cell>
          <cell r="AY6">
            <v>-0.226803112926971</v>
          </cell>
          <cell r="AZ6">
            <v>0.572959278215728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  <sheetName val="Projections"/>
      <sheetName val="SWOT"/>
    </sheetNames>
    <sheetDataSet>
      <sheetData sheetId="0">
        <row r="6">
          <cell r="E6">
            <v>2023</v>
          </cell>
          <cell r="F6">
            <v>1779945.9</v>
          </cell>
          <cell r="G6">
            <v>140.93</v>
          </cell>
          <cell r="H6">
            <v>58.8301589090499</v>
          </cell>
          <cell r="I6">
            <v>-1.17119773673457</v>
          </cell>
          <cell r="J6">
            <v>16.0858027048263</v>
          </cell>
          <cell r="K6">
            <v>43.3749520159795</v>
          </cell>
          <cell r="L6">
            <v>43.6852355370719</v>
          </cell>
          <cell r="M6">
            <v>44.379357717181</v>
          </cell>
          <cell r="N6">
            <v>27.4218104452266</v>
          </cell>
          <cell r="O6">
            <v>28.1451233243123</v>
          </cell>
          <cell r="P6">
            <v>25.6338874318663</v>
          </cell>
          <cell r="Q6">
            <v>24.0066494466385</v>
          </cell>
          <cell r="R6">
            <v>24.9073779607595</v>
          </cell>
          <cell r="S6">
            <v>23.6004375375118</v>
          </cell>
          <cell r="T6">
            <v>24.1201422860627</v>
          </cell>
          <cell r="U6">
            <v>23.0292812434273</v>
          </cell>
          <cell r="V6">
            <v>25.0521635098464</v>
          </cell>
          <cell r="W6">
            <v>5.84283452098179</v>
          </cell>
          <cell r="X6">
            <v>5.37596430729786</v>
          </cell>
          <cell r="Y6">
            <v>4.3208887928862</v>
          </cell>
          <cell r="Z6">
            <v>0</v>
          </cell>
          <cell r="AA6">
            <v>0</v>
          </cell>
          <cell r="AB6">
            <v>0</v>
          </cell>
          <cell r="AC6">
            <v>0.295763832282948</v>
          </cell>
          <cell r="AD6">
            <v>0.298032126903689</v>
          </cell>
          <cell r="AE6">
            <v>0.293541559367955</v>
          </cell>
          <cell r="AF6">
            <v>0.419978191750271</v>
          </cell>
          <cell r="AG6">
            <v>0.424574392177166</v>
          </cell>
          <cell r="AH6">
            <v>0.415917050308306</v>
          </cell>
          <cell r="AI6">
            <v>0.387167608996923</v>
          </cell>
          <cell r="AJ6">
            <v>0.396914729336735</v>
          </cell>
          <cell r="AK6">
            <v>0.436529167168616</v>
          </cell>
          <cell r="AL6">
            <v>0</v>
          </cell>
          <cell r="AM6">
            <v>0</v>
          </cell>
          <cell r="AN6">
            <v>0</v>
          </cell>
          <cell r="AO6">
            <v>6.40884830289384</v>
          </cell>
          <cell r="AP6">
            <v>6.66313832034889</v>
          </cell>
          <cell r="AQ6">
            <v>6.45633006373514</v>
          </cell>
          <cell r="AR6">
            <v>17.7942079273989</v>
          </cell>
          <cell r="AS6">
            <v>20.2604296208388</v>
          </cell>
          <cell r="AT6">
            <v>17.7740785303828</v>
          </cell>
          <cell r="AU6">
            <v>1.45178935551397</v>
          </cell>
          <cell r="AV6">
            <v>0.454986198216153</v>
          </cell>
          <cell r="AW6">
            <v>0.667560190090214</v>
          </cell>
          <cell r="AX6">
            <v>3.45823403327829</v>
          </cell>
          <cell r="AY6">
            <v>0.744932810603344</v>
          </cell>
          <cell r="AZ6">
            <v>1.07918024902295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  <sheetName val="Projection"/>
      <sheetName val="SWOT"/>
    </sheetNames>
    <sheetDataSet>
      <sheetData sheetId="0">
        <row r="6">
          <cell r="E6">
            <v>2024</v>
          </cell>
          <cell r="F6">
            <v>3110013.9</v>
          </cell>
          <cell r="G6">
            <v>418.35</v>
          </cell>
          <cell r="H6">
            <v>24.538580614432</v>
          </cell>
          <cell r="I6">
            <v>14.2207899059729</v>
          </cell>
          <cell r="J6">
            <v>15.3328291500979</v>
          </cell>
          <cell r="K6">
            <v>69.7644438279714</v>
          </cell>
          <cell r="L6">
            <v>69.0287347319172</v>
          </cell>
          <cell r="M6">
            <v>68.7586013919148</v>
          </cell>
          <cell r="N6">
            <v>44.6442995732737</v>
          </cell>
          <cell r="O6">
            <v>42.8241527884759</v>
          </cell>
          <cell r="P6">
            <v>41.4195437333841</v>
          </cell>
          <cell r="Q6">
            <v>35.955972944085</v>
          </cell>
          <cell r="R6">
            <v>35.5961825453053</v>
          </cell>
          <cell r="S6">
            <v>34.8405547306751</v>
          </cell>
          <cell r="T6">
            <v>35.2865333121538</v>
          </cell>
          <cell r="U6">
            <v>32.8653509691207</v>
          </cell>
          <cell r="V6">
            <v>33.722245726318</v>
          </cell>
          <cell r="W6">
            <v>11.8557976863062</v>
          </cell>
          <cell r="X6">
            <v>10.4457948845292</v>
          </cell>
          <cell r="Y6">
            <v>9.06699453196051</v>
          </cell>
          <cell r="Z6">
            <v>0.00700029025593744</v>
          </cell>
          <cell r="AA6">
            <v>0.00786190145886695</v>
          </cell>
          <cell r="AB6">
            <v>0.00821002637868996</v>
          </cell>
          <cell r="AC6">
            <v>0.475797744077569</v>
          </cell>
          <cell r="AD6">
            <v>0.506249256606329</v>
          </cell>
          <cell r="AE6">
            <v>0.540144330699568</v>
          </cell>
          <cell r="AF6">
            <v>0.907660618972947</v>
          </cell>
          <cell r="AG6">
            <v>1.11922242544059</v>
          </cell>
          <cell r="AH6">
            <v>1.25106875201982</v>
          </cell>
          <cell r="AI6">
            <v>0.994141692708121</v>
          </cell>
          <cell r="AJ6">
            <v>0.988401739342845</v>
          </cell>
          <cell r="AK6">
            <v>1.07717112836878</v>
          </cell>
          <cell r="AL6">
            <v>12.2568218298555</v>
          </cell>
          <cell r="AM6">
            <v>8.15767454902185</v>
          </cell>
          <cell r="AN6">
            <v>7.96737497777054</v>
          </cell>
          <cell r="AO6">
            <v>4.30612746820322</v>
          </cell>
          <cell r="AP6">
            <v>4.37940057632161</v>
          </cell>
          <cell r="AQ6">
            <v>4.40485068020052</v>
          </cell>
          <cell r="AR6">
            <v>3.36943080560102</v>
          </cell>
          <cell r="AS6">
            <v>3.43554816259184</v>
          </cell>
          <cell r="AT6">
            <v>3.4857519220773</v>
          </cell>
          <cell r="AU6">
            <v>1.61928657608695</v>
          </cell>
          <cell r="AV6">
            <v>0.574034012177764</v>
          </cell>
          <cell r="AW6">
            <v>1.12632737321946</v>
          </cell>
          <cell r="AX6">
            <v>3.32094075320581</v>
          </cell>
          <cell r="AY6">
            <v>1.16978517441736</v>
          </cell>
          <cell r="AZ6">
            <v>2.19465657095161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  <sheetName val="Projection"/>
      <sheetName val="SWOT"/>
    </sheetNames>
    <sheetDataSet>
      <sheetData sheetId="0">
        <row r="6">
          <cell r="E6">
            <v>2024</v>
          </cell>
          <cell r="F6">
            <v>1516099.2</v>
          </cell>
          <cell r="G6">
            <v>61.53</v>
          </cell>
          <cell r="H6">
            <v>214.89252814739</v>
          </cell>
          <cell r="I6">
            <v>35.9458778100323</v>
          </cell>
          <cell r="J6">
            <v>59.7717112761554</v>
          </cell>
          <cell r="K6">
            <v>72.717573290437</v>
          </cell>
          <cell r="L6">
            <v>64.8585003327805</v>
          </cell>
          <cell r="M6">
            <v>63.7819407856036</v>
          </cell>
          <cell r="N6">
            <v>54.1216637667838</v>
          </cell>
          <cell r="O6">
            <v>35.6963028805338</v>
          </cell>
          <cell r="P6">
            <v>32.0668729365172</v>
          </cell>
          <cell r="Q6">
            <v>48.8493483470667</v>
          </cell>
          <cell r="R6">
            <v>33.758883346081</v>
          </cell>
          <cell r="S6">
            <v>30.5729492892333</v>
          </cell>
          <cell r="T6">
            <v>50.9441935483871</v>
          </cell>
          <cell r="U6">
            <v>74.7306578866634</v>
          </cell>
          <cell r="V6">
            <v>70.062823833326</v>
          </cell>
          <cell r="W6">
            <v>1.20779220779221</v>
          </cell>
          <cell r="X6">
            <v>0.591355737014915</v>
          </cell>
          <cell r="Y6">
            <v>0.412587508446981</v>
          </cell>
          <cell r="Z6">
            <v>0.000260537041375657</v>
          </cell>
          <cell r="AA6">
            <v>0.000578881169167999</v>
          </cell>
          <cell r="AB6">
            <v>0.00113134611331379</v>
          </cell>
          <cell r="AC6">
            <v>0.346123417721519</v>
          </cell>
          <cell r="AD6">
            <v>0.40239944336559</v>
          </cell>
          <cell r="AE6">
            <v>0.383126012739926</v>
          </cell>
          <cell r="AF6">
            <v>0.529340592861464</v>
          </cell>
          <cell r="AG6">
            <v>0.684370515241862</v>
          </cell>
          <cell r="AH6">
            <v>0.635244811667064</v>
          </cell>
          <cell r="AI6">
            <v>0.373428318177342</v>
          </cell>
          <cell r="AJ6">
            <v>0.577939692626834</v>
          </cell>
          <cell r="AK6">
            <v>0.583093669333962</v>
          </cell>
          <cell r="AL6">
            <v>3.14672472548277</v>
          </cell>
          <cell r="AM6">
            <v>3.00737601711721</v>
          </cell>
          <cell r="AN6">
            <v>3.3399622409606</v>
          </cell>
          <cell r="AO6">
            <v>6.09280928092809</v>
          </cell>
          <cell r="AP6">
            <v>6.30970233568167</v>
          </cell>
          <cell r="AQ6">
            <v>6.47661766154571</v>
          </cell>
          <cell r="AR6">
            <v>6.15820674323824</v>
          </cell>
          <cell r="AS6">
            <v>7.0635226284112</v>
          </cell>
          <cell r="AT6">
            <v>6.5392153515155</v>
          </cell>
          <cell r="AU6">
            <v>3.66486180558811</v>
          </cell>
          <cell r="AV6">
            <v>1.1029148443412</v>
          </cell>
          <cell r="AW6">
            <v>1.44099237153691</v>
          </cell>
          <cell r="AX6">
            <v>7.96923570073623</v>
          </cell>
          <cell r="AY6">
            <v>1.99828046639597</v>
          </cell>
          <cell r="AZ6">
            <v>2.24230372178887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</sheetNames>
    <sheetDataSet>
      <sheetData sheetId="0">
        <row r="6">
          <cell r="E6">
            <v>2024</v>
          </cell>
          <cell r="F6">
            <v>3415033.12526</v>
          </cell>
          <cell r="G6">
            <v>225.91</v>
          </cell>
          <cell r="H6">
            <v>32.2890437430462</v>
          </cell>
          <cell r="I6">
            <v>13.7871794310407</v>
          </cell>
          <cell r="J6">
            <v>15.7213323212805</v>
          </cell>
          <cell r="K6">
            <v>46.2063498152339</v>
          </cell>
          <cell r="L6">
            <v>44.5490366512672</v>
          </cell>
          <cell r="M6">
            <v>42.7319434613561</v>
          </cell>
          <cell r="N6">
            <v>31.5102228700756</v>
          </cell>
          <cell r="O6">
            <v>30.5401265102096</v>
          </cell>
          <cell r="P6">
            <v>29.1100142825195</v>
          </cell>
          <cell r="Q6">
            <v>23.9712557699439</v>
          </cell>
          <cell r="R6">
            <v>24.8623769131546</v>
          </cell>
          <cell r="S6">
            <v>24.2765070746461</v>
          </cell>
          <cell r="T6">
            <v>36.4324605835538</v>
          </cell>
          <cell r="U6">
            <v>29.435299826507</v>
          </cell>
          <cell r="V6">
            <v>29.2972841674703</v>
          </cell>
          <cell r="W6">
            <v>6.20078897723365</v>
          </cell>
          <cell r="X6">
            <v>6.23273564192277</v>
          </cell>
          <cell r="Y6">
            <v>5.5687407687053</v>
          </cell>
          <cell r="Z6">
            <v>0.00446086448981082</v>
          </cell>
          <cell r="AA6">
            <v>0.00539649651894216</v>
          </cell>
          <cell r="AB6">
            <v>0.00593756982226427</v>
          </cell>
          <cell r="AC6">
            <v>0.843964052824812</v>
          </cell>
          <cell r="AD6">
            <v>0.841352801869667</v>
          </cell>
          <cell r="AE6">
            <v>0.8285165049639</v>
          </cell>
          <cell r="AF6">
            <v>5.40877963125549</v>
          </cell>
          <cell r="AG6">
            <v>5.34792635542909</v>
          </cell>
          <cell r="AH6">
            <v>4.91286618985727</v>
          </cell>
          <cell r="AI6">
            <v>0.787729998593476</v>
          </cell>
          <cell r="AJ6">
            <v>0.7705192196643</v>
          </cell>
          <cell r="AK6">
            <v>0.808087046131439</v>
          </cell>
          <cell r="AL6">
            <v>25.4231402690091</v>
          </cell>
          <cell r="AM6">
            <v>32.0183051197034</v>
          </cell>
          <cell r="AN6">
            <v>32.5056116127133</v>
          </cell>
          <cell r="AO6">
            <v>11.7041304998503</v>
          </cell>
          <cell r="AP6">
            <v>12.8948401844872</v>
          </cell>
          <cell r="AQ6">
            <v>13.9270047326544</v>
          </cell>
          <cell r="AR6">
            <v>3.05034802784223</v>
          </cell>
          <cell r="AS6">
            <v>3.31903569670425</v>
          </cell>
          <cell r="AT6">
            <v>3.57102273096007</v>
          </cell>
          <cell r="AU6">
            <v>1.73176839581051</v>
          </cell>
          <cell r="AV6">
            <v>0.505422882234219</v>
          </cell>
          <cell r="AW6">
            <v>0.955793907232958</v>
          </cell>
          <cell r="AX6">
            <v>4.55993525099846</v>
          </cell>
          <cell r="AY6">
            <v>1.01962354914882</v>
          </cell>
          <cell r="AZ6">
            <v>2.19275974447416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</sheetNames>
    <sheetDataSet>
      <sheetData sheetId="0">
        <row r="6">
          <cell r="E6">
            <v>2023</v>
          </cell>
          <cell r="F6">
            <v>994857</v>
          </cell>
          <cell r="G6">
            <v>390.14</v>
          </cell>
          <cell r="H6">
            <v>161.891656038129</v>
          </cell>
          <cell r="I6">
            <v>7.5899845989621</v>
          </cell>
          <cell r="J6">
            <v>14.0807926788505</v>
          </cell>
          <cell r="K6">
            <v>80.757142221761</v>
          </cell>
          <cell r="L6">
            <v>79.9662719591437</v>
          </cell>
          <cell r="M6">
            <v>80.4837219884431</v>
          </cell>
          <cell r="N6">
            <v>34.6555277164164</v>
          </cell>
          <cell r="O6">
            <v>33.0406600342807</v>
          </cell>
          <cell r="P6">
            <v>34.2109743164473</v>
          </cell>
          <cell r="Q6">
            <v>28.9825206446161</v>
          </cell>
          <cell r="R6">
            <v>27.4208543585511</v>
          </cell>
          <cell r="S6">
            <v>28.4627709141546</v>
          </cell>
          <cell r="T6">
            <v>25.4452145889815</v>
          </cell>
          <cell r="U6">
            <v>21.3465558183423</v>
          </cell>
          <cell r="V6">
            <v>24.0886750096942</v>
          </cell>
          <cell r="W6">
            <v>15.3325490196078</v>
          </cell>
          <cell r="X6">
            <v>12.8570689895602</v>
          </cell>
          <cell r="Y6">
            <v>11.0565759497453</v>
          </cell>
          <cell r="Z6">
            <v>0</v>
          </cell>
          <cell r="AA6">
            <v>0</v>
          </cell>
          <cell r="AB6">
            <v>0</v>
          </cell>
          <cell r="AC6">
            <v>0.332958806391346</v>
          </cell>
          <cell r="AD6">
            <v>0.301248980403505</v>
          </cell>
          <cell r="AE6">
            <v>0.26816588565012</v>
          </cell>
          <cell r="AF6">
            <v>0.499157787527421</v>
          </cell>
          <cell r="AG6">
            <v>0.435243136542594</v>
          </cell>
          <cell r="AH6">
            <v>0.373484180694909</v>
          </cell>
          <cell r="AI6">
            <v>0.566744748039317</v>
          </cell>
          <cell r="AJ6">
            <v>0.476662491069616</v>
          </cell>
          <cell r="AK6">
            <v>0.449618468874836</v>
          </cell>
          <cell r="AL6">
            <v>0</v>
          </cell>
          <cell r="AM6">
            <v>0</v>
          </cell>
          <cell r="AN6">
            <v>0</v>
          </cell>
          <cell r="AO6">
            <v>8.34324942791762</v>
          </cell>
          <cell r="AP6">
            <v>8.46762066576357</v>
          </cell>
          <cell r="AQ6">
            <v>8.08292193280582</v>
          </cell>
          <cell r="AR6">
            <v>5.35347494328728</v>
          </cell>
          <cell r="AS6">
            <v>5.32018049627339</v>
          </cell>
          <cell r="AT6">
            <v>7.57410540605644</v>
          </cell>
          <cell r="AU6">
            <v>4.63880423152843</v>
          </cell>
          <cell r="AV6">
            <v>0.192578921484114</v>
          </cell>
          <cell r="AW6">
            <v>0.337120670486391</v>
          </cell>
          <cell r="AX6">
            <v>5.31779859118645</v>
          </cell>
          <cell r="AY6">
            <v>0.236956687104866</v>
          </cell>
          <cell r="AZ6">
            <v>0.453261464770302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FS"/>
      <sheetName val="Sharpe, Sortino"/>
    </sheetNames>
    <sheetDataSet>
      <sheetData sheetId="0">
        <row r="6">
          <cell r="E6">
            <v>2023</v>
          </cell>
          <cell r="F6">
            <v>596518.65</v>
          </cell>
          <cell r="G6">
            <v>187.29</v>
          </cell>
          <cell r="H6">
            <v>8.12261863526151</v>
          </cell>
          <cell r="I6">
            <v>-15.6648379444142</v>
          </cell>
          <cell r="J6">
            <v>33.9877312558382</v>
          </cell>
          <cell r="K6">
            <v>18.2488917363314</v>
          </cell>
          <cell r="L6">
            <v>23.0421620077831</v>
          </cell>
          <cell r="M6">
            <v>21.3411068415071</v>
          </cell>
          <cell r="N6">
            <v>9.18747997891974</v>
          </cell>
          <cell r="O6">
            <v>12.6901595189917</v>
          </cell>
          <cell r="P6">
            <v>8.82253444127512</v>
          </cell>
          <cell r="Q6">
            <v>15.4733241709981</v>
          </cell>
          <cell r="R6">
            <v>13.8036412114995</v>
          </cell>
          <cell r="S6">
            <v>8.19821624816179</v>
          </cell>
          <cell r="T6">
            <v>39.8369607319354</v>
          </cell>
          <cell r="U6">
            <v>84.9596659098285</v>
          </cell>
          <cell r="V6">
            <v>197.337960432058</v>
          </cell>
          <cell r="W6">
            <v>4.70141287284144</v>
          </cell>
          <cell r="X6">
            <v>3.50008339865075</v>
          </cell>
          <cell r="Y6">
            <v>2.10282091089088</v>
          </cell>
          <cell r="Z6">
            <v>0</v>
          </cell>
          <cell r="AA6">
            <v>0</v>
          </cell>
          <cell r="AB6">
            <v>0</v>
          </cell>
          <cell r="AC6">
            <v>0.403393423249358</v>
          </cell>
          <cell r="AD6">
            <v>0.445876752067291</v>
          </cell>
          <cell r="AE6">
            <v>0.529239624609589</v>
          </cell>
          <cell r="AF6">
            <v>0.676146457262337</v>
          </cell>
          <cell r="AG6">
            <v>0.812436679691055</v>
          </cell>
          <cell r="AH6">
            <v>1.37306442048949</v>
          </cell>
          <cell r="AI6">
            <v>0.444431814659047</v>
          </cell>
          <cell r="AJ6">
            <v>0.486440333464192</v>
          </cell>
          <cell r="AK6">
            <v>0.685280632109752</v>
          </cell>
          <cell r="AL6">
            <v>5.80603258476442</v>
          </cell>
          <cell r="AM6">
            <v>5.83749460443568</v>
          </cell>
          <cell r="AN6">
            <v>5.87191337660527</v>
          </cell>
          <cell r="AO6">
            <v>27.5863740022805</v>
          </cell>
          <cell r="AP6">
            <v>27.7724306327447</v>
          </cell>
          <cell r="AQ6">
            <v>23.7203677740396</v>
          </cell>
          <cell r="AR6">
            <v>5.48215646871319</v>
          </cell>
          <cell r="AS6">
            <v>4.48896176847394</v>
          </cell>
          <cell r="AT6">
            <v>4.60430192711635</v>
          </cell>
          <cell r="AU6">
            <v>0.652583237763103</v>
          </cell>
          <cell r="AV6">
            <v>-0.0732142196834811</v>
          </cell>
          <cell r="AW6">
            <v>0.818742541516825</v>
          </cell>
          <cell r="AX6">
            <v>1.20454541361376</v>
          </cell>
          <cell r="AY6">
            <v>-0.154163362903569</v>
          </cell>
          <cell r="AZ6">
            <v>2.33865161181537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TSLA.xlsx" TargetMode="External"/><Relationship Id="rId6" Type="http://schemas.openxmlformats.org/officeDocument/2006/relationships/hyperlink" Target="META.xlsx" TargetMode="External"/><Relationship Id="rId5" Type="http://schemas.openxmlformats.org/officeDocument/2006/relationships/hyperlink" Target="AAPL.xlsx" TargetMode="External"/><Relationship Id="rId4" Type="http://schemas.openxmlformats.org/officeDocument/2006/relationships/hyperlink" Target="NVDA.xlsx" TargetMode="External"/><Relationship Id="rId3" Type="http://schemas.openxmlformats.org/officeDocument/2006/relationships/hyperlink" Target="AMZN.xlsx" TargetMode="External"/><Relationship Id="rId2" Type="http://schemas.openxmlformats.org/officeDocument/2006/relationships/hyperlink" Target="GOOGL.xlsx" TargetMode="External"/><Relationship Id="rId1" Type="http://schemas.openxmlformats.org/officeDocument/2006/relationships/hyperlink" Target="MSF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B23"/>
  <sheetViews>
    <sheetView tabSelected="1" workbookViewId="0">
      <pane xSplit="3" ySplit="5" topLeftCell="E6" activePane="bottomRight" state="frozen"/>
      <selection/>
      <selection pane="topRight"/>
      <selection pane="bottomLeft"/>
      <selection pane="bottomRight" activeCell="G18" sqref="G18"/>
    </sheetView>
  </sheetViews>
  <sheetFormatPr defaultColWidth="9.14285714285714" defaultRowHeight="15"/>
  <cols>
    <col min="1" max="1" width="4.85714285714286" style="4" customWidth="1"/>
    <col min="2" max="2" width="24.8571428571429" customWidth="1"/>
    <col min="3" max="3" width="9.14285714285714" style="4"/>
    <col min="4" max="4" width="52.8571428571429" style="2" customWidth="1"/>
    <col min="5" max="5" width="40" style="2" customWidth="1"/>
    <col min="6" max="7" width="9.14285714285714" style="4"/>
    <col min="8" max="8" width="13.5714285714286" style="5"/>
    <col min="9" max="10" width="9.14285714285714" style="6"/>
    <col min="11" max="12" width="9.14285714285714" style="6" hidden="1" outlineLevel="1"/>
    <col min="13" max="13" width="9.14285714285714" style="6" collapsed="1"/>
    <col min="14" max="15" width="9.14285714285714" style="6" hidden="1" outlineLevel="1"/>
    <col min="16" max="16" width="9.14285714285714" style="6" collapsed="1"/>
    <col min="17" max="18" width="9.14285714285714" style="6" hidden="1" outlineLevel="1"/>
    <col min="19" max="19" width="9.14285714285714" style="6" collapsed="1"/>
    <col min="20" max="21" width="9.14285714285714" style="6" hidden="1" outlineLevel="1"/>
    <col min="22" max="22" width="9.14285714285714" style="5" collapsed="1"/>
    <col min="23" max="24" width="9.14285714285714" style="5" hidden="1" outlineLevel="1"/>
    <col min="25" max="25" width="9.14285714285714" style="6" collapsed="1"/>
    <col min="26" max="27" width="9.14285714285714" style="6" hidden="1" outlineLevel="1"/>
    <col min="28" max="28" width="9.14285714285714" style="6" collapsed="1"/>
    <col min="29" max="30" width="9.14285714285714" style="6" hidden="1" outlineLevel="1"/>
    <col min="31" max="31" width="9.14285714285714" style="6" collapsed="1"/>
    <col min="32" max="33" width="9.14285714285714" style="6" hidden="1" outlineLevel="1"/>
    <col min="34" max="34" width="9.14285714285714" style="6" collapsed="1"/>
    <col min="35" max="36" width="9.14285714285714" style="6" hidden="1" outlineLevel="1"/>
    <col min="37" max="37" width="9.14285714285714" style="6" collapsed="1"/>
    <col min="38" max="39" width="9.14285714285714" style="6" hidden="1" outlineLevel="1"/>
    <col min="40" max="40" width="9.14285714285714" style="6" collapsed="1"/>
    <col min="41" max="42" width="9.14285714285714" style="6" hidden="1" outlineLevel="1"/>
    <col min="43" max="43" width="9.14285714285714" style="6" collapsed="1"/>
    <col min="44" max="45" width="9.14285714285714" style="6" hidden="1" outlineLevel="1"/>
    <col min="46" max="46" width="9.14285714285714" style="6" collapsed="1"/>
    <col min="47" max="48" width="9.14285714285714" style="6" hidden="1" outlineLevel="1"/>
    <col min="49" max="49" width="9.14285714285714" collapsed="1"/>
    <col min="50" max="51" width="9.14285714285714" hidden="1" outlineLevel="1"/>
    <col min="52" max="52" width="9.14285714285714" collapsed="1"/>
    <col min="53" max="54" width="9.14285714285714" hidden="1" outlineLevel="1"/>
    <col min="55" max="55" width="9.14285714285714" collapsed="1"/>
  </cols>
  <sheetData>
    <row r="3" s="1" customFormat="1" ht="25.5" spans="1:49">
      <c r="A3" s="7"/>
      <c r="C3" s="7"/>
      <c r="F3" s="7"/>
      <c r="G3" s="7"/>
      <c r="H3" s="8"/>
      <c r="I3" s="16"/>
      <c r="J3" s="17" t="s">
        <v>0</v>
      </c>
      <c r="K3" s="18"/>
      <c r="L3" s="16"/>
      <c r="M3" s="17" t="s">
        <v>1</v>
      </c>
      <c r="N3" s="16"/>
      <c r="O3" s="16"/>
      <c r="P3" s="16"/>
      <c r="Q3" s="16"/>
      <c r="R3" s="16"/>
      <c r="S3" s="16"/>
      <c r="T3" s="16"/>
      <c r="U3" s="16"/>
      <c r="V3" s="23" t="s">
        <v>2</v>
      </c>
      <c r="W3" s="8"/>
      <c r="X3" s="8"/>
      <c r="Y3" s="16"/>
      <c r="Z3" s="16"/>
      <c r="AA3" s="16"/>
      <c r="AB3" s="16"/>
      <c r="AC3" s="16"/>
      <c r="AD3" s="16"/>
      <c r="AE3" s="17" t="s">
        <v>3</v>
      </c>
      <c r="AF3" s="16"/>
      <c r="AG3" s="16"/>
      <c r="AH3" s="16"/>
      <c r="AI3" s="16"/>
      <c r="AJ3" s="16"/>
      <c r="AK3" s="16"/>
      <c r="AL3" s="16"/>
      <c r="AM3" s="16"/>
      <c r="AN3" s="17" t="s">
        <v>4</v>
      </c>
      <c r="AO3" s="16"/>
      <c r="AP3" s="16"/>
      <c r="AQ3" s="16"/>
      <c r="AR3" s="16"/>
      <c r="AS3" s="16"/>
      <c r="AT3" s="16"/>
      <c r="AU3" s="16"/>
      <c r="AV3" s="16"/>
      <c r="AW3" s="25" t="s">
        <v>5</v>
      </c>
    </row>
    <row r="4" s="2" customFormat="1" ht="30" spans="8:54">
      <c r="H4" s="9"/>
      <c r="I4" s="19"/>
      <c r="J4" s="19" t="s">
        <v>6</v>
      </c>
      <c r="L4" s="20"/>
      <c r="M4" s="20" t="s">
        <v>7</v>
      </c>
      <c r="N4" s="19"/>
      <c r="O4" s="19"/>
      <c r="P4" s="20" t="s">
        <v>8</v>
      </c>
      <c r="Q4" s="19"/>
      <c r="R4" s="19"/>
      <c r="S4" s="20" t="s">
        <v>9</v>
      </c>
      <c r="T4" s="19"/>
      <c r="U4" s="19"/>
      <c r="V4" s="24" t="s">
        <v>10</v>
      </c>
      <c r="W4" s="9"/>
      <c r="X4" s="9"/>
      <c r="Y4" s="20" t="s">
        <v>11</v>
      </c>
      <c r="Z4" s="19"/>
      <c r="AA4" s="19"/>
      <c r="AB4" s="20" t="s">
        <v>12</v>
      </c>
      <c r="AC4" s="19"/>
      <c r="AD4" s="19"/>
      <c r="AE4" s="20" t="s">
        <v>13</v>
      </c>
      <c r="AF4" s="19"/>
      <c r="AG4" s="19"/>
      <c r="AH4" s="20" t="s">
        <v>14</v>
      </c>
      <c r="AI4" s="19"/>
      <c r="AJ4" s="19"/>
      <c r="AK4" s="20" t="s">
        <v>15</v>
      </c>
      <c r="AL4" s="19"/>
      <c r="AM4" s="19"/>
      <c r="AN4" s="19" t="s">
        <v>16</v>
      </c>
      <c r="AO4" s="19"/>
      <c r="AP4" s="19"/>
      <c r="AQ4" s="19" t="s">
        <v>17</v>
      </c>
      <c r="AR4" s="19"/>
      <c r="AS4" s="19"/>
      <c r="AT4" s="19" t="s">
        <v>18</v>
      </c>
      <c r="AU4" s="19"/>
      <c r="AV4" s="19"/>
      <c r="AW4" s="2" t="s">
        <v>19</v>
      </c>
      <c r="AZ4" s="2" t="s">
        <v>20</v>
      </c>
      <c r="BA4"/>
      <c r="BB4"/>
    </row>
    <row r="5" s="3" customFormat="1" ht="48" customHeight="1" spans="2:54"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10" t="s">
        <v>27</v>
      </c>
      <c r="I5" s="21" t="s">
        <v>28</v>
      </c>
      <c r="J5" s="21" t="s">
        <v>29</v>
      </c>
      <c r="K5" s="21" t="s">
        <v>30</v>
      </c>
      <c r="L5" s="21" t="s">
        <v>31</v>
      </c>
      <c r="M5" s="21" t="s">
        <v>29</v>
      </c>
      <c r="N5" s="21" t="s">
        <v>30</v>
      </c>
      <c r="O5" s="21" t="s">
        <v>31</v>
      </c>
      <c r="P5" s="21" t="s">
        <v>29</v>
      </c>
      <c r="Q5" s="21" t="s">
        <v>30</v>
      </c>
      <c r="R5" s="21" t="s">
        <v>31</v>
      </c>
      <c r="S5" s="21" t="s">
        <v>29</v>
      </c>
      <c r="T5" s="21" t="s">
        <v>30</v>
      </c>
      <c r="U5" s="21" t="s">
        <v>31</v>
      </c>
      <c r="V5" s="10" t="s">
        <v>29</v>
      </c>
      <c r="W5" s="10" t="s">
        <v>30</v>
      </c>
      <c r="X5" s="10" t="s">
        <v>31</v>
      </c>
      <c r="Y5" s="21" t="s">
        <v>29</v>
      </c>
      <c r="Z5" s="21" t="s">
        <v>30</v>
      </c>
      <c r="AA5" s="21" t="s">
        <v>31</v>
      </c>
      <c r="AB5" s="21" t="s">
        <v>29</v>
      </c>
      <c r="AC5" s="21" t="s">
        <v>30</v>
      </c>
      <c r="AD5" s="21" t="s">
        <v>31</v>
      </c>
      <c r="AE5" s="21" t="s">
        <v>29</v>
      </c>
      <c r="AF5" s="21" t="s">
        <v>30</v>
      </c>
      <c r="AG5" s="21" t="s">
        <v>31</v>
      </c>
      <c r="AH5" s="21" t="s">
        <v>29</v>
      </c>
      <c r="AI5" s="21" t="s">
        <v>30</v>
      </c>
      <c r="AJ5" s="21" t="s">
        <v>31</v>
      </c>
      <c r="AK5" s="21" t="s">
        <v>29</v>
      </c>
      <c r="AL5" s="21" t="s">
        <v>30</v>
      </c>
      <c r="AM5" s="21" t="s">
        <v>31</v>
      </c>
      <c r="AN5" s="21" t="s">
        <v>29</v>
      </c>
      <c r="AO5" s="21" t="s">
        <v>30</v>
      </c>
      <c r="AP5" s="21" t="s">
        <v>31</v>
      </c>
      <c r="AQ5" s="21" t="s">
        <v>29</v>
      </c>
      <c r="AR5" s="21" t="s">
        <v>30</v>
      </c>
      <c r="AS5" s="21" t="s">
        <v>31</v>
      </c>
      <c r="AT5" s="21" t="s">
        <v>29</v>
      </c>
      <c r="AU5" s="21" t="s">
        <v>30</v>
      </c>
      <c r="AV5" s="21" t="s">
        <v>31</v>
      </c>
      <c r="AW5" s="21" t="s">
        <v>29</v>
      </c>
      <c r="AX5" s="21" t="s">
        <v>30</v>
      </c>
      <c r="AY5" s="21" t="s">
        <v>31</v>
      </c>
      <c r="AZ5" s="21" t="s">
        <v>29</v>
      </c>
      <c r="BA5" s="21" t="s">
        <v>30</v>
      </c>
      <c r="BB5" s="21" t="s">
        <v>31</v>
      </c>
    </row>
    <row r="6" spans="2:54">
      <c r="B6" s="11" t="s">
        <v>32</v>
      </c>
      <c r="C6" s="4" t="s">
        <v>33</v>
      </c>
      <c r="D6" s="2" t="s">
        <v>34</v>
      </c>
      <c r="E6" s="12" t="s">
        <v>35</v>
      </c>
      <c r="F6" s="13">
        <v>45930</v>
      </c>
      <c r="G6" s="4">
        <f>[5]Overall!E6</f>
        <v>2024</v>
      </c>
      <c r="H6" s="5">
        <f>[5]Overall!F6</f>
        <v>3415033.12526</v>
      </c>
      <c r="I6" s="6">
        <f>[5]Overall!G6</f>
        <v>225.91</v>
      </c>
      <c r="J6" s="6">
        <f>[5]Overall!H6</f>
        <v>32.2890437430462</v>
      </c>
      <c r="K6" s="6">
        <f>[5]Overall!I6</f>
        <v>13.7871794310407</v>
      </c>
      <c r="L6" s="6">
        <f>[5]Overall!J6</f>
        <v>15.7213323212805</v>
      </c>
      <c r="M6" s="6">
        <f>[5]Overall!K6</f>
        <v>46.2063498152339</v>
      </c>
      <c r="N6" s="6">
        <f>[5]Overall!L6</f>
        <v>44.5490366512672</v>
      </c>
      <c r="O6" s="6">
        <f>[5]Overall!M6</f>
        <v>42.7319434613561</v>
      </c>
      <c r="P6" s="6">
        <f>[5]Overall!N6</f>
        <v>31.5102228700756</v>
      </c>
      <c r="Q6" s="6">
        <f>[5]Overall!O6</f>
        <v>30.5401265102096</v>
      </c>
      <c r="R6" s="6">
        <f>[5]Overall!P6</f>
        <v>29.1100142825195</v>
      </c>
      <c r="S6" s="6">
        <f>[5]Overall!Q6</f>
        <v>23.9712557699439</v>
      </c>
      <c r="T6" s="6">
        <f>[5]Overall!R6</f>
        <v>24.8623769131546</v>
      </c>
      <c r="U6" s="6">
        <f>[5]Overall!S6</f>
        <v>24.2765070746461</v>
      </c>
      <c r="V6" s="5">
        <f>[5]Overall!T6</f>
        <v>36.4324605835538</v>
      </c>
      <c r="W6" s="5">
        <f>[5]Overall!U6</f>
        <v>29.435299826507</v>
      </c>
      <c r="X6" s="5">
        <f>[5]Overall!V6</f>
        <v>29.2972841674703</v>
      </c>
      <c r="Y6" s="6">
        <f>[5]Overall!W6</f>
        <v>6.20078897723365</v>
      </c>
      <c r="Z6" s="6">
        <f>[5]Overall!X6</f>
        <v>6.23273564192277</v>
      </c>
      <c r="AA6" s="6">
        <f>[5]Overall!Y6</f>
        <v>5.5687407687053</v>
      </c>
      <c r="AB6" s="6">
        <f>[5]Overall!Z6</f>
        <v>0.00446086448981082</v>
      </c>
      <c r="AC6" s="6">
        <f>[5]Overall!AA6</f>
        <v>0.00539649651894216</v>
      </c>
      <c r="AD6" s="6">
        <f>[5]Overall!AB6</f>
        <v>0.00593756982226427</v>
      </c>
      <c r="AE6" s="6">
        <f>[5]Overall!AC6</f>
        <v>0.843964052824812</v>
      </c>
      <c r="AF6" s="6">
        <f>[5]Overall!AD6</f>
        <v>0.841352801869667</v>
      </c>
      <c r="AG6" s="6">
        <f>[5]Overall!AE6</f>
        <v>0.8285165049639</v>
      </c>
      <c r="AH6" s="6">
        <f>[5]Overall!AF6</f>
        <v>5.40877963125549</v>
      </c>
      <c r="AI6" s="6">
        <f>[5]Overall!AG6</f>
        <v>5.34792635542909</v>
      </c>
      <c r="AJ6" s="6">
        <f>[5]Overall!AH6</f>
        <v>4.91286618985727</v>
      </c>
      <c r="AK6" s="6">
        <f>[5]Overall!AI6</f>
        <v>0.787729998593476</v>
      </c>
      <c r="AL6" s="6">
        <f>[5]Overall!AJ6</f>
        <v>0.7705192196643</v>
      </c>
      <c r="AM6" s="6">
        <f>[5]Overall!AK6</f>
        <v>0.808087046131439</v>
      </c>
      <c r="AN6" s="6">
        <f>[5]Overall!AL6</f>
        <v>25.4231402690091</v>
      </c>
      <c r="AO6" s="6">
        <f>[5]Overall!AM6</f>
        <v>32.0183051197034</v>
      </c>
      <c r="AP6" s="6">
        <f>[5]Overall!AN6</f>
        <v>32.5056116127133</v>
      </c>
      <c r="AQ6" s="6">
        <f>[5]Overall!AO6</f>
        <v>11.7041304998503</v>
      </c>
      <c r="AR6" s="6">
        <f>[5]Overall!AP6</f>
        <v>12.8948401844872</v>
      </c>
      <c r="AS6" s="6">
        <f>[5]Overall!AQ6</f>
        <v>13.9270047326544</v>
      </c>
      <c r="AT6" s="6">
        <f>[5]Overall!AR6</f>
        <v>3.05034802784223</v>
      </c>
      <c r="AU6" s="6">
        <f>[5]Overall!AS6</f>
        <v>3.31903569670425</v>
      </c>
      <c r="AV6" s="6">
        <f>[5]Overall!AT6</f>
        <v>3.57102273096007</v>
      </c>
      <c r="AW6" s="6">
        <f>[5]Overall!AU6</f>
        <v>1.73176839581051</v>
      </c>
      <c r="AX6" s="6">
        <f>[5]Overall!AV6</f>
        <v>0.505422882234219</v>
      </c>
      <c r="AY6" s="6">
        <f>[5]Overall!AW6</f>
        <v>0.955793907232958</v>
      </c>
      <c r="AZ6" s="6">
        <f>[5]Overall!AX6</f>
        <v>4.55993525099846</v>
      </c>
      <c r="BA6" s="6">
        <f>[5]Overall!AY6</f>
        <v>1.01962354914882</v>
      </c>
      <c r="BB6" s="6">
        <f>[5]Overall!AZ6</f>
        <v>2.19275974447416</v>
      </c>
    </row>
    <row r="7" spans="2:54">
      <c r="B7" s="11" t="s">
        <v>36</v>
      </c>
      <c r="C7" s="4" t="s">
        <v>37</v>
      </c>
      <c r="D7" s="2" t="s">
        <v>38</v>
      </c>
      <c r="E7" s="12" t="s">
        <v>39</v>
      </c>
      <c r="F7" s="13">
        <v>45838</v>
      </c>
      <c r="G7" s="4">
        <f>[3]Overall!E6</f>
        <v>2024</v>
      </c>
      <c r="H7" s="5">
        <f>[3]Overall!F6</f>
        <v>3110013.9</v>
      </c>
      <c r="I7" s="6">
        <f>[3]Overall!G6</f>
        <v>418.35</v>
      </c>
      <c r="J7" s="6">
        <f>[3]Overall!H6</f>
        <v>24.538580614432</v>
      </c>
      <c r="K7" s="6">
        <f>[3]Overall!I6</f>
        <v>14.2207899059729</v>
      </c>
      <c r="L7" s="6">
        <f>[3]Overall!J6</f>
        <v>15.3328291500979</v>
      </c>
      <c r="M7" s="6">
        <f>[3]Overall!K6</f>
        <v>69.7644438279714</v>
      </c>
      <c r="N7" s="6">
        <f>[3]Overall!L6</f>
        <v>69.0287347319172</v>
      </c>
      <c r="O7" s="6">
        <f>[3]Overall!M6</f>
        <v>68.7586013919148</v>
      </c>
      <c r="P7" s="6">
        <f>[3]Overall!N6</f>
        <v>44.6442995732737</v>
      </c>
      <c r="Q7" s="6">
        <f>[3]Overall!O6</f>
        <v>42.8241527884759</v>
      </c>
      <c r="R7" s="6">
        <f>[3]Overall!P6</f>
        <v>41.4195437333841</v>
      </c>
      <c r="S7" s="6">
        <f>[3]Overall!Q6</f>
        <v>35.955972944085</v>
      </c>
      <c r="T7" s="6">
        <f>[3]Overall!R6</f>
        <v>35.5961825453053</v>
      </c>
      <c r="U7" s="6">
        <f>[3]Overall!S6</f>
        <v>34.8405547306751</v>
      </c>
      <c r="V7" s="5">
        <f>[3]Overall!T6</f>
        <v>35.2865333121538</v>
      </c>
      <c r="W7" s="5">
        <f>[3]Overall!U6</f>
        <v>32.8653509691207</v>
      </c>
      <c r="X7" s="5">
        <f>[3]Overall!V6</f>
        <v>33.722245726318</v>
      </c>
      <c r="Y7" s="6">
        <f>[3]Overall!W6</f>
        <v>11.8557976863062</v>
      </c>
      <c r="Z7" s="6">
        <f>[3]Overall!X6</f>
        <v>10.4457948845292</v>
      </c>
      <c r="AA7" s="6">
        <f>[3]Overall!Y6</f>
        <v>9.06699453196051</v>
      </c>
      <c r="AB7" s="6">
        <f>[3]Overall!Z6</f>
        <v>0.00700029025593744</v>
      </c>
      <c r="AC7" s="6">
        <f>[3]Overall!AA6</f>
        <v>0.00786190145886695</v>
      </c>
      <c r="AD7" s="6">
        <f>[3]Overall!AB6</f>
        <v>0.00821002637868996</v>
      </c>
      <c r="AE7" s="6">
        <f>[3]Overall!AC6</f>
        <v>0.475797744077569</v>
      </c>
      <c r="AF7" s="6">
        <f>[3]Overall!AD6</f>
        <v>0.506249256606329</v>
      </c>
      <c r="AG7" s="6">
        <f>[3]Overall!AE6</f>
        <v>0.540144330699568</v>
      </c>
      <c r="AH7" s="6">
        <f>[3]Overall!AF6</f>
        <v>0.907660618972947</v>
      </c>
      <c r="AI7" s="6">
        <f>[3]Overall!AG6</f>
        <v>1.11922242544059</v>
      </c>
      <c r="AJ7" s="6">
        <f>[3]Overall!AH6</f>
        <v>1.25106875201982</v>
      </c>
      <c r="AK7" s="6">
        <f>[3]Overall!AI6</f>
        <v>0.994141692708121</v>
      </c>
      <c r="AL7" s="6">
        <f>[3]Overall!AJ6</f>
        <v>0.988401739342845</v>
      </c>
      <c r="AM7" s="6">
        <f>[3]Overall!AK6</f>
        <v>1.07717112836878</v>
      </c>
      <c r="AN7" s="6">
        <f>[3]Overall!AL6</f>
        <v>12.2568218298555</v>
      </c>
      <c r="AO7" s="6">
        <f>[3]Overall!AM6</f>
        <v>8.15767454902185</v>
      </c>
      <c r="AP7" s="6">
        <f>[3]Overall!AN6</f>
        <v>7.96737497777054</v>
      </c>
      <c r="AQ7" s="6">
        <f>[3]Overall!AO6</f>
        <v>4.30612746820322</v>
      </c>
      <c r="AR7" s="6">
        <f>[3]Overall!AP6</f>
        <v>4.37940057632161</v>
      </c>
      <c r="AS7" s="6">
        <f>[3]Overall!AQ6</f>
        <v>4.40485068020052</v>
      </c>
      <c r="AT7" s="6">
        <f>[3]Overall!AR6</f>
        <v>3.36943080560102</v>
      </c>
      <c r="AU7" s="6">
        <f>[3]Overall!AS6</f>
        <v>3.43554816259184</v>
      </c>
      <c r="AV7" s="6">
        <f>[3]Overall!AT6</f>
        <v>3.4857519220773</v>
      </c>
      <c r="AW7" s="26">
        <f>[3]Overall!AU6</f>
        <v>1.61928657608695</v>
      </c>
      <c r="AX7" s="26">
        <f>[3]Overall!AV6</f>
        <v>0.574034012177764</v>
      </c>
      <c r="AY7" s="26">
        <f>[3]Overall!AW6</f>
        <v>1.12632737321946</v>
      </c>
      <c r="AZ7" s="26">
        <f>[3]Overall!AX6</f>
        <v>3.32094075320581</v>
      </c>
      <c r="BA7" s="26">
        <f>[3]Overall!AY6</f>
        <v>1.16978517441736</v>
      </c>
      <c r="BB7" s="26">
        <f>[3]Overall!AZ6</f>
        <v>2.19465657095161</v>
      </c>
    </row>
    <row r="8" spans="2:54">
      <c r="B8" s="11" t="s">
        <v>40</v>
      </c>
      <c r="C8" s="4" t="s">
        <v>41</v>
      </c>
      <c r="D8" s="2" t="s">
        <v>42</v>
      </c>
      <c r="E8" s="12" t="s">
        <v>43</v>
      </c>
      <c r="F8" s="13">
        <v>46022</v>
      </c>
      <c r="G8" s="4">
        <f>[2]Overall!E6</f>
        <v>2023</v>
      </c>
      <c r="H8" s="5">
        <f>[2]Overall!F6</f>
        <v>1779945.9</v>
      </c>
      <c r="I8" s="6">
        <f>[2]Overall!G6</f>
        <v>140.93</v>
      </c>
      <c r="J8" s="6">
        <f>[2]Overall!H6</f>
        <v>58.8301589090499</v>
      </c>
      <c r="K8" s="6">
        <f>[2]Overall!I6</f>
        <v>-1.17119773673457</v>
      </c>
      <c r="L8" s="6">
        <f>[2]Overall!J6</f>
        <v>16.0858027048263</v>
      </c>
      <c r="M8" s="6">
        <f>[2]Overall!K6</f>
        <v>43.3749520159795</v>
      </c>
      <c r="N8" s="6">
        <f>[2]Overall!L6</f>
        <v>43.6852355370719</v>
      </c>
      <c r="O8" s="6">
        <f>[2]Overall!M6</f>
        <v>44.379357717181</v>
      </c>
      <c r="P8" s="6">
        <f>[2]Overall!N6</f>
        <v>27.4218104452266</v>
      </c>
      <c r="Q8" s="6">
        <f>[2]Overall!O6</f>
        <v>28.1451233243123</v>
      </c>
      <c r="R8" s="6">
        <f>[2]Overall!P6</f>
        <v>25.6338874318663</v>
      </c>
      <c r="S8" s="6">
        <f>[2]Overall!Q6</f>
        <v>24.0066494466385</v>
      </c>
      <c r="T8" s="6">
        <f>[2]Overall!R6</f>
        <v>24.9073779607595</v>
      </c>
      <c r="U8" s="6">
        <f>[2]Overall!S6</f>
        <v>23.6004375375118</v>
      </c>
      <c r="V8" s="5">
        <f>[2]Overall!T6</f>
        <v>24.1201422860627</v>
      </c>
      <c r="W8" s="5">
        <f>[2]Overall!U6</f>
        <v>23.0292812434273</v>
      </c>
      <c r="X8" s="5">
        <f>[2]Overall!V6</f>
        <v>25.0521635098464</v>
      </c>
      <c r="Y8" s="6">
        <f>[2]Overall!W6</f>
        <v>5.84283452098179</v>
      </c>
      <c r="Z8" s="6">
        <f>[2]Overall!X6</f>
        <v>5.37596430729786</v>
      </c>
      <c r="AA8" s="6">
        <f>[2]Overall!Y6</f>
        <v>4.3208887928862</v>
      </c>
      <c r="AB8" s="6">
        <f>[2]Overall!Z6</f>
        <v>0</v>
      </c>
      <c r="AC8" s="6">
        <f>[2]Overall!AA6</f>
        <v>0</v>
      </c>
      <c r="AD8" s="6">
        <f>[2]Overall!AB6</f>
        <v>0</v>
      </c>
      <c r="AE8" s="6">
        <f>[2]Overall!AC6</f>
        <v>0.295763832282948</v>
      </c>
      <c r="AF8" s="6">
        <f>[2]Overall!AD6</f>
        <v>0.298032126903689</v>
      </c>
      <c r="AG8" s="6">
        <f>[2]Overall!AE6</f>
        <v>0.293541559367955</v>
      </c>
      <c r="AH8" s="6">
        <f>[2]Overall!AF6</f>
        <v>0.419978191750271</v>
      </c>
      <c r="AI8" s="6">
        <f>[2]Overall!AG6</f>
        <v>0.424574392177166</v>
      </c>
      <c r="AJ8" s="6">
        <f>[2]Overall!AH6</f>
        <v>0.415917050308306</v>
      </c>
      <c r="AK8" s="6">
        <f>[2]Overall!AI6</f>
        <v>0.387167608996923</v>
      </c>
      <c r="AL8" s="6">
        <f>[2]Overall!AJ6</f>
        <v>0.396914729336735</v>
      </c>
      <c r="AM8" s="6">
        <f>[2]Overall!AK6</f>
        <v>0.436529167168616</v>
      </c>
      <c r="AN8" s="6">
        <f>[2]Overall!AL6</f>
        <v>0</v>
      </c>
      <c r="AO8" s="6">
        <f>[2]Overall!AM6</f>
        <v>0</v>
      </c>
      <c r="AP8" s="6">
        <f>[2]Overall!AN6</f>
        <v>0</v>
      </c>
      <c r="AQ8" s="6">
        <f>[2]Overall!AO6</f>
        <v>6.40884830289384</v>
      </c>
      <c r="AR8" s="6">
        <f>[2]Overall!AP6</f>
        <v>6.66313832034889</v>
      </c>
      <c r="AS8" s="6">
        <f>[2]Overall!AQ6</f>
        <v>6.45633006373514</v>
      </c>
      <c r="AT8" s="6">
        <f>[2]Overall!AR6</f>
        <v>17.7942079273989</v>
      </c>
      <c r="AU8" s="6">
        <f>[2]Overall!AS6</f>
        <v>20.2604296208388</v>
      </c>
      <c r="AV8" s="6">
        <f>[2]Overall!AT6</f>
        <v>17.7740785303828</v>
      </c>
      <c r="AW8" s="6">
        <f>[2]Overall!AU6</f>
        <v>1.45178935551397</v>
      </c>
      <c r="AX8" s="6">
        <f>[2]Overall!AV6</f>
        <v>0.454986198216153</v>
      </c>
      <c r="AY8" s="6">
        <f>[2]Overall!AW6</f>
        <v>0.667560190090214</v>
      </c>
      <c r="AZ8" s="6">
        <f>[2]Overall!AX6</f>
        <v>3.45823403327829</v>
      </c>
      <c r="BA8" s="6">
        <f>[2]Overall!AY6</f>
        <v>0.744932810603344</v>
      </c>
      <c r="BB8" s="6">
        <f>[2]Overall!AZ6</f>
        <v>1.07918024902295</v>
      </c>
    </row>
    <row r="9" spans="2:54">
      <c r="B9" s="11" t="s">
        <v>44</v>
      </c>
      <c r="C9" s="4" t="s">
        <v>45</v>
      </c>
      <c r="D9" s="2" t="s">
        <v>46</v>
      </c>
      <c r="E9" s="12" t="s">
        <v>47</v>
      </c>
      <c r="F9" s="13">
        <v>46022</v>
      </c>
      <c r="G9" s="14">
        <f>[1]Overall!E6</f>
        <v>2023</v>
      </c>
      <c r="H9" s="15">
        <f>[1]Overall!F6</f>
        <v>1655842.12</v>
      </c>
      <c r="I9" s="22">
        <f>[1]Overall!G6</f>
        <v>151.94</v>
      </c>
      <c r="J9" s="22">
        <f>[1]Overall!H6</f>
        <v>80.8809523809524</v>
      </c>
      <c r="K9" s="22">
        <f>[1]Overall!I6</f>
        <v>-3.41629906879928</v>
      </c>
      <c r="L9" s="22">
        <f>[1]Overall!J6</f>
        <v>10.4730769530623</v>
      </c>
      <c r="M9" s="22">
        <f>[1]Overall!K6</f>
        <v>46.9820889550006</v>
      </c>
      <c r="N9" s="22">
        <f>[1]Overall!L6</f>
        <v>44.2733144206555</v>
      </c>
      <c r="O9" s="22">
        <f>[1]Overall!M6</f>
        <v>42.6755493218546</v>
      </c>
      <c r="P9" s="22">
        <f>[1]Overall!N6</f>
        <v>6.41144079960333</v>
      </c>
      <c r="Q9" s="22">
        <f>[1]Overall!O6</f>
        <v>4.69660291391817</v>
      </c>
      <c r="R9" s="22">
        <f>[1]Overall!P6</f>
        <v>5.04095187662921</v>
      </c>
      <c r="S9" s="22">
        <f>[1]Overall!Q6</f>
        <v>5.29328357559783</v>
      </c>
      <c r="T9" s="22">
        <f>[1]Overall!R6</f>
        <v>3.95503565035685</v>
      </c>
      <c r="U9" s="22">
        <f>[1]Overall!S6</f>
        <v>4.3042453913349</v>
      </c>
      <c r="V9" s="15">
        <f>[1]Overall!T6</f>
        <v>54.4237344289236</v>
      </c>
      <c r="W9" s="15">
        <f>[1]Overall!U6</f>
        <v>36.0747875503198</v>
      </c>
      <c r="X9" s="15">
        <f>[1]Overall!V6</f>
        <v>54.4870917305671</v>
      </c>
      <c r="Y9" s="22">
        <f>[1]Overall!W6</f>
        <v>2.7917966599376</v>
      </c>
      <c r="Z9" s="22">
        <f>[1]Overall!X6</f>
        <v>1.89109600651914</v>
      </c>
      <c r="AA9" s="22">
        <f>[1]Overall!Y6</f>
        <v>1.76183883836427</v>
      </c>
      <c r="AB9" s="22">
        <f>[1]Overall!Z6</f>
        <v>0</v>
      </c>
      <c r="AC9" s="22">
        <f>[1]Overall!AA6</f>
        <v>0</v>
      </c>
      <c r="AD9" s="22">
        <f>[1]Overall!AB6</f>
        <v>0</v>
      </c>
      <c r="AE9" s="22">
        <f>[1]Overall!AC6</f>
        <v>0.617555233075813</v>
      </c>
      <c r="AF9" s="22">
        <f>[1]Overall!AD6</f>
        <v>0.657726982662981</v>
      </c>
      <c r="AG9" s="22">
        <f>[1]Overall!AE6</f>
        <v>0.681372174083431</v>
      </c>
      <c r="AH9" s="22">
        <f>[1]Overall!AF6</f>
        <v>1.61475665634675</v>
      </c>
      <c r="AI9" s="22">
        <f>[1]Overall!AG6</f>
        <v>1.94162873779552</v>
      </c>
      <c r="AJ9" s="22">
        <f>[1]Overall!AH6</f>
        <v>2.17863547834888</v>
      </c>
      <c r="AK9" s="22">
        <f>[1]Overall!AI6</f>
        <v>0.567132058073888</v>
      </c>
      <c r="AL9" s="22">
        <f>[1]Overall!AJ6</f>
        <v>0.594680790234898</v>
      </c>
      <c r="AM9" s="22">
        <f>[1]Overall!AK6</f>
        <v>0.591161288148287</v>
      </c>
      <c r="AN9" s="22">
        <f>[1]Overall!AL6</f>
        <v>9.14637733357344</v>
      </c>
      <c r="AO9" s="22">
        <f>[1]Overall!AM6</f>
        <v>8.62842655825814</v>
      </c>
      <c r="AP9" s="22">
        <f>[1]Overall!AN6</f>
        <v>8.75325266946848</v>
      </c>
      <c r="AQ9" s="22">
        <f>[1]Overall!AO6</f>
        <v>11.0000382753143</v>
      </c>
      <c r="AR9" s="22">
        <f>[1]Overall!AP6</f>
        <v>12.4726457342404</v>
      </c>
      <c r="AS9" s="22">
        <f>[1]Overall!AQ6</f>
        <v>13.3249905496538</v>
      </c>
      <c r="AT9" s="22">
        <f>[1]Overall!AR6</f>
        <v>3.58596627481437</v>
      </c>
      <c r="AU9" s="22">
        <f>[1]Overall!AS6</f>
        <v>3.55887126182622</v>
      </c>
      <c r="AV9" s="22">
        <f>[1]Overall!AT6</f>
        <v>3.48025869635951</v>
      </c>
      <c r="AW9" s="22">
        <f>[1]Overall!AU6</f>
        <v>1.56118803453725</v>
      </c>
      <c r="AX9" s="22">
        <f>[1]Overall!AV6</f>
        <v>-0.122956546192707</v>
      </c>
      <c r="AY9" s="22">
        <f>[1]Overall!AW6</f>
        <v>0.292973561661489</v>
      </c>
      <c r="AZ9" s="22">
        <f>[1]Overall!AX6</f>
        <v>24.7482123861846</v>
      </c>
      <c r="BA9" s="22">
        <f>[1]Overall!AY6</f>
        <v>-0.226803112926971</v>
      </c>
      <c r="BB9" s="22">
        <f>[1]Overall!AZ6</f>
        <v>0.572959278215728</v>
      </c>
    </row>
    <row r="10" spans="2:54">
      <c r="B10" s="11" t="s">
        <v>48</v>
      </c>
      <c r="C10" s="4" t="s">
        <v>49</v>
      </c>
      <c r="D10" s="2" t="s">
        <v>50</v>
      </c>
      <c r="E10" s="12" t="s">
        <v>51</v>
      </c>
      <c r="F10" s="13">
        <v>45688</v>
      </c>
      <c r="G10" s="4">
        <f>[4]Overall!E6</f>
        <v>2024</v>
      </c>
      <c r="H10" s="5">
        <f>[4]Overall!F6</f>
        <v>1516099.2</v>
      </c>
      <c r="I10" s="6">
        <f>[4]Overall!G6</f>
        <v>61.53</v>
      </c>
      <c r="J10" s="6">
        <f>[4]Overall!H6</f>
        <v>214.89252814739</v>
      </c>
      <c r="K10" s="6">
        <f>[4]Overall!I6</f>
        <v>35.9458778100323</v>
      </c>
      <c r="L10" s="6">
        <f>[4]Overall!J6</f>
        <v>59.7717112761554</v>
      </c>
      <c r="M10" s="6">
        <f>[4]Overall!K6</f>
        <v>72.717573290437</v>
      </c>
      <c r="N10" s="6">
        <f>[4]Overall!L6</f>
        <v>64.8585003327805</v>
      </c>
      <c r="O10" s="6">
        <f>[4]Overall!M6</f>
        <v>63.7819407856036</v>
      </c>
      <c r="P10" s="6">
        <f>[4]Overall!N6</f>
        <v>54.1216637667838</v>
      </c>
      <c r="Q10" s="6">
        <f>[4]Overall!O6</f>
        <v>35.6963028805338</v>
      </c>
      <c r="R10" s="6">
        <f>[4]Overall!P6</f>
        <v>32.0668729365172</v>
      </c>
      <c r="S10" s="6">
        <f>[4]Overall!Q6</f>
        <v>48.8493483470667</v>
      </c>
      <c r="T10" s="6">
        <f>[4]Overall!R6</f>
        <v>33.758883346081</v>
      </c>
      <c r="U10" s="6">
        <f>[4]Overall!S6</f>
        <v>30.5729492892333</v>
      </c>
      <c r="V10" s="5">
        <f>[4]Overall!T6</f>
        <v>50.9441935483871</v>
      </c>
      <c r="W10" s="5">
        <f>[4]Overall!U6</f>
        <v>74.7306578866634</v>
      </c>
      <c r="X10" s="5">
        <f>[4]Overall!V6</f>
        <v>70.062823833326</v>
      </c>
      <c r="Y10" s="6">
        <f>[4]Overall!W6</f>
        <v>1.20779220779221</v>
      </c>
      <c r="Z10" s="6">
        <f>[4]Overall!X6</f>
        <v>0.591355737014915</v>
      </c>
      <c r="AA10" s="6">
        <f>[4]Overall!Y6</f>
        <v>0.412587508446981</v>
      </c>
      <c r="AB10" s="6">
        <f>[4]Overall!Z6</f>
        <v>0.000260537041375657</v>
      </c>
      <c r="AC10" s="6">
        <f>[4]Overall!AA6</f>
        <v>0.000578881169167999</v>
      </c>
      <c r="AD10" s="6">
        <f>[4]Overall!AB6</f>
        <v>0.00113134611331379</v>
      </c>
      <c r="AE10" s="6">
        <f>[4]Overall!AC6</f>
        <v>0.346123417721519</v>
      </c>
      <c r="AF10" s="6">
        <f>[4]Overall!AD6</f>
        <v>0.40239944336559</v>
      </c>
      <c r="AG10" s="6">
        <f>[4]Overall!AE6</f>
        <v>0.383126012739926</v>
      </c>
      <c r="AH10" s="6">
        <f>[4]Overall!AF6</f>
        <v>0.529340592861464</v>
      </c>
      <c r="AI10" s="6">
        <f>[4]Overall!AG6</f>
        <v>0.684370515241862</v>
      </c>
      <c r="AJ10" s="6">
        <f>[4]Overall!AH6</f>
        <v>0.635244811667064</v>
      </c>
      <c r="AK10" s="6">
        <f>[4]Overall!AI6</f>
        <v>0.373428318177342</v>
      </c>
      <c r="AL10" s="6">
        <f>[4]Overall!AJ6</f>
        <v>0.577939692626834</v>
      </c>
      <c r="AM10" s="6">
        <f>[4]Overall!AK6</f>
        <v>0.583093669333962</v>
      </c>
      <c r="AN10" s="6">
        <f>[4]Overall!AL6</f>
        <v>3.14672472548277</v>
      </c>
      <c r="AO10" s="6">
        <f>[4]Overall!AM6</f>
        <v>3.00737601711721</v>
      </c>
      <c r="AP10" s="6">
        <f>[4]Overall!AN6</f>
        <v>3.3399622409606</v>
      </c>
      <c r="AQ10" s="6">
        <f>[4]Overall!AO6</f>
        <v>6.09280928092809</v>
      </c>
      <c r="AR10" s="6">
        <f>[4]Overall!AP6</f>
        <v>6.30970233568167</v>
      </c>
      <c r="AS10" s="6">
        <f>[4]Overall!AQ6</f>
        <v>6.47661766154571</v>
      </c>
      <c r="AT10" s="6">
        <f>[4]Overall!AR6</f>
        <v>6.15820674323824</v>
      </c>
      <c r="AU10" s="6">
        <f>[4]Overall!AS6</f>
        <v>7.0635226284112</v>
      </c>
      <c r="AV10" s="6">
        <f>[4]Overall!AT6</f>
        <v>6.5392153515155</v>
      </c>
      <c r="AW10" s="6">
        <f>[4]Overall!AU6</f>
        <v>3.66486180558811</v>
      </c>
      <c r="AX10" s="6">
        <f>[4]Overall!AV6</f>
        <v>1.1029148443412</v>
      </c>
      <c r="AY10" s="6">
        <f>[4]Overall!AW6</f>
        <v>1.44099237153691</v>
      </c>
      <c r="AZ10" s="6">
        <f>[4]Overall!AX6</f>
        <v>7.96923570073623</v>
      </c>
      <c r="BA10" s="6">
        <f>[4]Overall!AY6</f>
        <v>1.99828046639597</v>
      </c>
      <c r="BB10" s="6">
        <f>[4]Overall!AZ6</f>
        <v>2.24230372178887</v>
      </c>
    </row>
    <row r="11" spans="2:54">
      <c r="B11" s="11" t="s">
        <v>52</v>
      </c>
      <c r="C11" s="4" t="s">
        <v>53</v>
      </c>
      <c r="D11" s="2" t="s">
        <v>42</v>
      </c>
      <c r="E11" s="12" t="s">
        <v>54</v>
      </c>
      <c r="F11" s="13">
        <v>46022</v>
      </c>
      <c r="G11" s="4">
        <f>[6]Overall!E6</f>
        <v>2023</v>
      </c>
      <c r="H11" s="5">
        <f>[6]Overall!F6</f>
        <v>994857</v>
      </c>
      <c r="I11" s="6">
        <f>[6]Overall!G6</f>
        <v>390.14</v>
      </c>
      <c r="J11" s="6">
        <f>[6]Overall!H6</f>
        <v>161.891656038129</v>
      </c>
      <c r="K11" s="6">
        <f>[6]Overall!I6</f>
        <v>7.5899845989621</v>
      </c>
      <c r="L11" s="6">
        <f>[6]Overall!J6</f>
        <v>14.0807926788505</v>
      </c>
      <c r="M11" s="6">
        <f>[6]Overall!K6</f>
        <v>80.757142221761</v>
      </c>
      <c r="N11" s="6">
        <f>[6]Overall!L6</f>
        <v>79.9662719591437</v>
      </c>
      <c r="O11" s="6">
        <f>[6]Overall!M6</f>
        <v>80.4837219884431</v>
      </c>
      <c r="P11" s="6">
        <f>[6]Overall!N6</f>
        <v>34.6555277164164</v>
      </c>
      <c r="Q11" s="6">
        <f>[6]Overall!O6</f>
        <v>33.0406600342807</v>
      </c>
      <c r="R11" s="6">
        <f>[6]Overall!P6</f>
        <v>34.2109743164473</v>
      </c>
      <c r="S11" s="6">
        <f>[6]Overall!Q6</f>
        <v>28.9825206446161</v>
      </c>
      <c r="T11" s="6">
        <f>[6]Overall!R6</f>
        <v>27.4208543585511</v>
      </c>
      <c r="U11" s="6">
        <f>[6]Overall!S6</f>
        <v>28.4627709141546</v>
      </c>
      <c r="V11" s="5">
        <f>[6]Overall!T6</f>
        <v>25.4452145889815</v>
      </c>
      <c r="W11" s="5">
        <f>[6]Overall!U6</f>
        <v>21.3465558183423</v>
      </c>
      <c r="X11" s="5">
        <f>[6]Overall!V6</f>
        <v>24.0886750096942</v>
      </c>
      <c r="Y11" s="6">
        <f>[6]Overall!W6</f>
        <v>15.3325490196078</v>
      </c>
      <c r="Z11" s="6">
        <f>[6]Overall!X6</f>
        <v>12.8570689895602</v>
      </c>
      <c r="AA11" s="6">
        <f>[6]Overall!Y6</f>
        <v>11.0565759497453</v>
      </c>
      <c r="AB11" s="6">
        <f>[6]Overall!Z6</f>
        <v>0</v>
      </c>
      <c r="AC11" s="6">
        <f>[6]Overall!AA6</f>
        <v>0</v>
      </c>
      <c r="AD11" s="6">
        <f>[6]Overall!AB6</f>
        <v>0</v>
      </c>
      <c r="AE11" s="6">
        <f>[6]Overall!AC6</f>
        <v>0.332958806391346</v>
      </c>
      <c r="AF11" s="6">
        <f>[6]Overall!AD6</f>
        <v>0.301248980403505</v>
      </c>
      <c r="AG11" s="6">
        <f>[6]Overall!AE6</f>
        <v>0.26816588565012</v>
      </c>
      <c r="AH11" s="6">
        <f>[6]Overall!AF6</f>
        <v>0.499157787527421</v>
      </c>
      <c r="AI11" s="6">
        <f>[6]Overall!AG6</f>
        <v>0.435243136542594</v>
      </c>
      <c r="AJ11" s="6">
        <f>[6]Overall!AH6</f>
        <v>0.373484180694909</v>
      </c>
      <c r="AK11" s="6">
        <f>[6]Overall!AI6</f>
        <v>0.566744748039317</v>
      </c>
      <c r="AL11" s="6">
        <f>[6]Overall!AJ6</f>
        <v>0.476662491069616</v>
      </c>
      <c r="AM11" s="6">
        <f>[6]Overall!AK6</f>
        <v>0.449618468874836</v>
      </c>
      <c r="AN11" s="6">
        <f>[6]Overall!AL6</f>
        <v>0</v>
      </c>
      <c r="AO11" s="6">
        <f>[6]Overall!AM6</f>
        <v>0</v>
      </c>
      <c r="AP11" s="6">
        <f>[6]Overall!AN6</f>
        <v>0</v>
      </c>
      <c r="AQ11" s="6">
        <f>[6]Overall!AO6</f>
        <v>8.34324942791762</v>
      </c>
      <c r="AR11" s="6">
        <f>[6]Overall!AP6</f>
        <v>8.46762066576357</v>
      </c>
      <c r="AS11" s="6">
        <f>[6]Overall!AQ6</f>
        <v>8.08292193280582</v>
      </c>
      <c r="AT11" s="6">
        <f>[6]Overall!AR6</f>
        <v>5.35347494328728</v>
      </c>
      <c r="AU11" s="6">
        <f>[6]Overall!AS6</f>
        <v>5.32018049627339</v>
      </c>
      <c r="AV11" s="6">
        <f>[6]Overall!AT6</f>
        <v>7.57410540605644</v>
      </c>
      <c r="AW11" s="6">
        <f>[6]Overall!AU6</f>
        <v>4.63880423152843</v>
      </c>
      <c r="AX11" s="6">
        <f>[6]Overall!AV6</f>
        <v>0.192578921484114</v>
      </c>
      <c r="AY11" s="6">
        <f>[6]Overall!AW6</f>
        <v>0.337120670486391</v>
      </c>
      <c r="AZ11" s="6">
        <f>[6]Overall!AX6</f>
        <v>5.31779859118645</v>
      </c>
      <c r="BA11" s="6">
        <f>[6]Overall!AY6</f>
        <v>0.236956687104866</v>
      </c>
      <c r="BB11" s="6">
        <f>[6]Overall!AZ6</f>
        <v>0.453261464770302</v>
      </c>
    </row>
    <row r="12" spans="2:54">
      <c r="B12" s="11" t="s">
        <v>55</v>
      </c>
      <c r="C12" s="4" t="s">
        <v>56</v>
      </c>
      <c r="D12" s="2" t="s">
        <v>57</v>
      </c>
      <c r="E12" s="12" t="s">
        <v>58</v>
      </c>
      <c r="F12" s="13">
        <v>46022</v>
      </c>
      <c r="G12" s="4">
        <f>[7]Overall!E6</f>
        <v>2023</v>
      </c>
      <c r="H12" s="5">
        <f>[7]Overall!F6</f>
        <v>596518.65</v>
      </c>
      <c r="I12" s="6">
        <f>[7]Overall!G6</f>
        <v>187.29</v>
      </c>
      <c r="J12" s="6">
        <f>[7]Overall!H6</f>
        <v>8.12261863526151</v>
      </c>
      <c r="K12" s="6">
        <f>[7]Overall!I6</f>
        <v>-15.6648379444142</v>
      </c>
      <c r="L12" s="6">
        <f>[7]Overall!J6</f>
        <v>33.9877312558382</v>
      </c>
      <c r="M12" s="6">
        <f>[7]Overall!K6</f>
        <v>18.2488917363314</v>
      </c>
      <c r="N12" s="6">
        <f>[7]Overall!L6</f>
        <v>23.0421620077831</v>
      </c>
      <c r="O12" s="6">
        <f>[7]Overall!M6</f>
        <v>21.3411068415071</v>
      </c>
      <c r="P12" s="6">
        <f>[7]Overall!N6</f>
        <v>9.18747997891974</v>
      </c>
      <c r="Q12" s="6">
        <f>[7]Overall!O6</f>
        <v>12.6901595189917</v>
      </c>
      <c r="R12" s="6">
        <f>[7]Overall!P6</f>
        <v>8.82253444127512</v>
      </c>
      <c r="S12" s="6">
        <f>[7]Overall!Q6</f>
        <v>15.4733241709981</v>
      </c>
      <c r="T12" s="6">
        <f>[7]Overall!R6</f>
        <v>13.8036412114995</v>
      </c>
      <c r="U12" s="6">
        <f>[7]Overall!S6</f>
        <v>8.19821624816179</v>
      </c>
      <c r="V12" s="5">
        <f>[7]Overall!T6</f>
        <v>39.8369607319354</v>
      </c>
      <c r="W12" s="5">
        <f>[7]Overall!U6</f>
        <v>84.9596659098285</v>
      </c>
      <c r="X12" s="5">
        <f>[7]Overall!V6</f>
        <v>197.337960432058</v>
      </c>
      <c r="Y12" s="6">
        <f>[7]Overall!W6</f>
        <v>4.70141287284144</v>
      </c>
      <c r="Z12" s="6">
        <f>[7]Overall!X6</f>
        <v>3.50008339865075</v>
      </c>
      <c r="AA12" s="6">
        <f>[7]Overall!Y6</f>
        <v>2.10282091089088</v>
      </c>
      <c r="AB12" s="6">
        <f>[7]Overall!Z6</f>
        <v>0</v>
      </c>
      <c r="AC12" s="6">
        <f>[7]Overall!AA6</f>
        <v>0</v>
      </c>
      <c r="AD12" s="6">
        <f>[7]Overall!AB6</f>
        <v>0</v>
      </c>
      <c r="AE12" s="6">
        <f>[7]Overall!AC6</f>
        <v>0.403393423249358</v>
      </c>
      <c r="AF12" s="6">
        <f>[7]Overall!AD6</f>
        <v>0.445876752067291</v>
      </c>
      <c r="AG12" s="6">
        <f>[7]Overall!AE6</f>
        <v>0.529239624609589</v>
      </c>
      <c r="AH12" s="6">
        <f>[7]Overall!AF6</f>
        <v>0.676146457262337</v>
      </c>
      <c r="AI12" s="6">
        <f>[7]Overall!AG6</f>
        <v>0.812436679691055</v>
      </c>
      <c r="AJ12" s="6">
        <f>[7]Overall!AH6</f>
        <v>1.37306442048949</v>
      </c>
      <c r="AK12" s="6">
        <f>[7]Overall!AI6</f>
        <v>0.444431814659047</v>
      </c>
      <c r="AL12" s="6">
        <f>[7]Overall!AJ6</f>
        <v>0.486440333464192</v>
      </c>
      <c r="AM12" s="6">
        <f>[7]Overall!AK6</f>
        <v>0.685280632109752</v>
      </c>
      <c r="AN12" s="6">
        <f>[7]Overall!AL6</f>
        <v>5.80603258476442</v>
      </c>
      <c r="AO12" s="6">
        <f>[7]Overall!AM6</f>
        <v>5.83749460443568</v>
      </c>
      <c r="AP12" s="6">
        <f>[7]Overall!AN6</f>
        <v>5.87191337660527</v>
      </c>
      <c r="AQ12" s="6">
        <f>[7]Overall!AO6</f>
        <v>27.5863740022805</v>
      </c>
      <c r="AR12" s="6">
        <f>[7]Overall!AP6</f>
        <v>27.7724306327447</v>
      </c>
      <c r="AS12" s="6">
        <f>[7]Overall!AQ6</f>
        <v>23.7203677740396</v>
      </c>
      <c r="AT12" s="6">
        <f>[7]Overall!AR6</f>
        <v>5.48215646871319</v>
      </c>
      <c r="AU12" s="6">
        <f>[7]Overall!AS6</f>
        <v>4.48896176847394</v>
      </c>
      <c r="AV12" s="6">
        <f>[7]Overall!AT6</f>
        <v>4.60430192711635</v>
      </c>
      <c r="AW12" s="6">
        <f>[7]Overall!AU6</f>
        <v>0.652583237763103</v>
      </c>
      <c r="AX12" s="6">
        <f>[7]Overall!AV6</f>
        <v>-0.0732142196834811</v>
      </c>
      <c r="AY12" s="6">
        <f>[7]Overall!AW6</f>
        <v>0.818742541516825</v>
      </c>
      <c r="AZ12" s="6">
        <f>[7]Overall!AX6</f>
        <v>1.20454541361376</v>
      </c>
      <c r="BA12" s="6">
        <f>[7]Overall!AY6</f>
        <v>-0.154163362903569</v>
      </c>
      <c r="BB12" s="6">
        <f>[7]Overall!AZ6</f>
        <v>2.33865161181537</v>
      </c>
    </row>
    <row r="23" spans="8:8">
      <c r="H23" s="9"/>
    </row>
  </sheetData>
  <autoFilter xmlns:etc="http://www.wps.cn/officeDocument/2017/etCustomData" ref="A5:BB12" etc:filterBottomFollowUsedRange="0">
    <sortState ref="A5:BB12">
      <sortCondition ref="H5" descending="1"/>
    </sortState>
    <extLst/>
  </autoFilter>
  <hyperlinks>
    <hyperlink ref="B7" r:id="rId1" display="Microsoft"/>
    <hyperlink ref="B8" r:id="rId2" display="Alphabet (Google)"/>
    <hyperlink ref="B9" r:id="rId3" display="Amazon"/>
    <hyperlink ref="B10" r:id="rId4" display="Nvidia"/>
    <hyperlink ref="B6" r:id="rId5" display="Apple"/>
    <hyperlink ref="B11" r:id="rId6" display="Meta Platforms (Facebook)"/>
    <hyperlink ref="B12" r:id="rId7" display="Tesl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core2quad</dc:creator>
  <cp:lastModifiedBy>core2quad</cp:lastModifiedBy>
  <dcterms:created xsi:type="dcterms:W3CDTF">2024-12-04T04:12:00Z</dcterms:created>
  <dcterms:modified xsi:type="dcterms:W3CDTF">2025-04-14T22:03:58Z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A6F049424F584F148FD6ABA0D9182C28_11</vt:lpwstr>
  </property>
  <property fmtid="{D5CDD505-2E9C-101B-9397-08002B2CF9AE}" pid="3" name="KSOProductBuildVer">
    <vt:lpwstr>1033-12.2.0.20782</vt:lpwstr>
  </property>
  <property fmtid="{D5CDD505-2E9C-101B-9397-08002B2CF9AE}" pid="4" name="KSOReadingLayout">
    <vt:bool>true</vt:bool>
  </property>
</Properties>
</file>