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xWindow="9210" windowWidth="9210" windowHeight="6570"/>
    <workbookView windowWidth="28800" windowHeight="11850" firstSheet="1" activeTab="1"/>
  </bookViews>
  <sheets>
    <sheet name="Overall" sheetId="8" r:id="rId1"/>
    <sheet name="FS" sheetId="3" r:id="rId2"/>
    <sheet name="Sharpe, Sortino" sheetId="9"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core2quad</author>
  </authors>
  <commentList>
    <comment ref="D78" authorId="0">
      <text>
        <r>
          <rPr>
            <b/>
            <sz val="9"/>
            <rFont val="Times New Roman"/>
            <charset val="0"/>
          </rPr>
          <t>core2quad:</t>
        </r>
        <r>
          <rPr>
            <sz val="9"/>
            <rFont val="Times New Roman"/>
            <charset val="0"/>
          </rPr>
          <t xml:space="preserve">
iPhone
iPhone® is the Company’s line of smartphones based on its iOS operating system. The iPhone line includes iPhone 16 Pro, iPhone 16, iPhone 15, iPhone 14 and iPhone SE®.
Mac
Mac® is the Company’s line of personal computers based on its macOS® operating system. The Mac line includes laptops MacBook Air® and MacBook Pro®, as well as desktops iMac®, Mac mini®, Mac Studio® and Mac Pro®.
iPad
iPad® is the Company’s line of multipurpose tablets based on its iPadOS® operating system. The iPad line includes iPad Pro®, iPad Air®, iPad and iPad mini®.
Wearables, Home and Accessories
Wearables includes smartwatches, wireless headphones and spatial computers. The Company’s line of smartwatches, based on its watchOS® operating system, includes Apple Watch Ultra® 2, Apple Watch® Series 10 and Apple Watch SE®. The Company’s line of wireless headphones includes AirPods®, AirPods Pro®, AirPods Max® and Beats® products. Apple Vision Pro™ is the Company’s first spatial computer based on its visionOS™ operating system.
Home includes Apple TV®, the Company’s media streaming and gaming device based on its tvOS® operating system, and HomePod® and HomePod mini®, high-fidelity wireless smart speakers.
Accessories includes Apple-branded and third-party accessories.</t>
        </r>
      </text>
    </comment>
    <comment ref="D79" authorId="0">
      <text>
        <r>
          <rPr>
            <b/>
            <sz val="9"/>
            <rFont val="Times New Roman"/>
            <charset val="0"/>
          </rPr>
          <t>core2quad:</t>
        </r>
        <r>
          <rPr>
            <sz val="9"/>
            <rFont val="Times New Roman"/>
            <charset val="0"/>
          </rPr>
          <t xml:space="preserve">
Advertising
The Company’s advertising services include third-party licensing arrangements and the Company’s own advertising platforms.
AppleCare
The Company offers a portfolio of fee-based service and support products under the AppleCare® brand. The offerings provide priority access to Apple technical support, access to the global Apple authorized service network for repair and replacement services, and in many cases additional coverage for instances of accidental damage or theft and loss, depending on the country and type of product.
Cloud Services
The Company’s cloud services store and keep customers’ content up-to-date and available across multiple Apple devices and Windows personal computers.
Digital Content
The Company operates various platforms, including the App Store®, that allow customers to discover and download applications and digital content, such as books, music, video, games and podcasts.
The Company also offers digital content through subscription-based services, including Apple Arcade®, a game subscription service; Apple Fitness+SM, a personalized fitness service; Apple Music®, which offers users a curated listening experience with on-demand radio stations; Apple News+®, a subscription news and magazine service; and Apple TV+®, which offers exclusive original content and live sports.
Payment Services
The Company offers payment services, including Apple Card®, a co-branded credit card, and Apple Pay®, a cashless payment service.</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<sst xmlns="http://schemas.openxmlformats.org/spreadsheetml/2006/main" count="301" uniqueCount="199">
  <si>
    <t>SUMMARY</t>
  </si>
  <si>
    <t>Share price</t>
  </si>
  <si>
    <t>Profit Margins</t>
  </si>
  <si>
    <t>Valuations Multiples</t>
  </si>
  <si>
    <t>Solvency</t>
  </si>
  <si>
    <t>Efficiency</t>
  </si>
  <si>
    <t>Risk</t>
  </si>
  <si>
    <t>CAGR</t>
  </si>
  <si>
    <t>GPM</t>
  </si>
  <si>
    <t>OM</t>
  </si>
  <si>
    <t>NPM</t>
  </si>
  <si>
    <t>PE</t>
  </si>
  <si>
    <t>EPS</t>
  </si>
  <si>
    <t>Dividend Yield</t>
  </si>
  <si>
    <t>Debt Ratio</t>
  </si>
  <si>
    <t>Debt - Equity</t>
  </si>
  <si>
    <t>Debt - Revenue</t>
  </si>
  <si>
    <t>IT</t>
  </si>
  <si>
    <t>RT</t>
  </si>
  <si>
    <t>PT</t>
  </si>
  <si>
    <t>Sharpe Ratio</t>
  </si>
  <si>
    <t>Sortino Ratio</t>
  </si>
  <si>
    <t>Base year</t>
  </si>
  <si>
    <t>Y/E</t>
  </si>
  <si>
    <t>Updated As At</t>
  </si>
  <si>
    <t>MC</t>
  </si>
  <si>
    <t>Share price at Y/E</t>
  </si>
  <si>
    <t>Current</t>
  </si>
  <si>
    <t>3 years</t>
  </si>
  <si>
    <t>5 years</t>
  </si>
  <si>
    <t>30/09</t>
  </si>
  <si>
    <t>&lt; Figures are in millions &gt;</t>
  </si>
  <si>
    <t>Y/E 30/09</t>
  </si>
  <si>
    <t>Annualized</t>
  </si>
  <si>
    <t>Average</t>
  </si>
  <si>
    <t>Median</t>
  </si>
  <si>
    <t>Std Dev</t>
  </si>
  <si>
    <t>Revenue By Geography</t>
  </si>
  <si>
    <t>Americas</t>
  </si>
  <si>
    <t>Europe</t>
  </si>
  <si>
    <t>Greater China</t>
  </si>
  <si>
    <t>Japan</t>
  </si>
  <si>
    <t>Rest of Asia Pacific</t>
  </si>
  <si>
    <t>Total Revenues</t>
  </si>
  <si>
    <t>Revenue by Segments</t>
  </si>
  <si>
    <t>iPhone</t>
  </si>
  <si>
    <t>Mac</t>
  </si>
  <si>
    <t>iPad</t>
  </si>
  <si>
    <t>Wearables, Home and Accessories</t>
  </si>
  <si>
    <t>Services</t>
  </si>
  <si>
    <t>Operating Income/(loss) Breakdown</t>
  </si>
  <si>
    <t>Total Operating Income</t>
  </si>
  <si>
    <t>Research and development expense</t>
  </si>
  <si>
    <t>Other corporate expenses, net</t>
  </si>
  <si>
    <t>Total Operating Expenses as per consolidated P&amp;L</t>
  </si>
  <si>
    <t>Composition By Geography</t>
  </si>
  <si>
    <t>Composition By Segments</t>
  </si>
  <si>
    <t>Revenue Growth By Geography (%)</t>
  </si>
  <si>
    <t>Revenue Growth by Segments (%)</t>
  </si>
  <si>
    <t>TOTAL REVENUE GROWTH (%)</t>
  </si>
  <si>
    <t>Operating Income Growth (%)</t>
  </si>
  <si>
    <t>OPERATING INCOME GROWTH (%)</t>
  </si>
  <si>
    <t>P&amp;L</t>
  </si>
  <si>
    <t>Undisclosed</t>
  </si>
  <si>
    <t>Revenue</t>
  </si>
  <si>
    <t>Products</t>
  </si>
  <si>
    <t>Cost of Revenue</t>
  </si>
  <si>
    <t>Gross Profit</t>
  </si>
  <si>
    <t>Total GP margin (%)</t>
  </si>
  <si>
    <t>GP margin - Products</t>
  </si>
  <si>
    <t>GP margin - Services</t>
  </si>
  <si>
    <t>Research &amp; Development</t>
  </si>
  <si>
    <t>Selling, general and administrative</t>
  </si>
  <si>
    <t>Total Operating Expenses</t>
  </si>
  <si>
    <t>Operating Income</t>
  </si>
  <si>
    <t>Operating margin (%)</t>
  </si>
  <si>
    <t>Other Income / (expense), Net</t>
  </si>
  <si>
    <t>Income before provision for income taxes</t>
  </si>
  <si>
    <t>Provision for income taxes</t>
  </si>
  <si>
    <t>Net Income</t>
  </si>
  <si>
    <t>Net income margin (%)</t>
  </si>
  <si>
    <t>Valuation Multiples / Shareholder ratios</t>
  </si>
  <si>
    <t>No. of Shares (Pre-Split)</t>
  </si>
  <si>
    <t>No. of Shares (Splited)</t>
  </si>
  <si>
    <t>Share Price</t>
  </si>
  <si>
    <t>P/E</t>
  </si>
  <si>
    <t>Sales per share</t>
  </si>
  <si>
    <t>Price / Sales</t>
  </si>
  <si>
    <t>Market Cap</t>
  </si>
  <si>
    <t>Enterprise Value (EV)                          MC+Debt-Cash</t>
  </si>
  <si>
    <t>EV / EBITDA</t>
  </si>
  <si>
    <t>EV / Revenue</t>
  </si>
  <si>
    <t>Dividend / Share</t>
  </si>
  <si>
    <t>Dividend yield</t>
  </si>
  <si>
    <t>Balance Sheet</t>
  </si>
  <si>
    <t>Current Assets</t>
  </si>
  <si>
    <t>Cash &amp; Cash Equivalents</t>
  </si>
  <si>
    <t>Marketable Securities</t>
  </si>
  <si>
    <t>Accounts Receivables</t>
  </si>
  <si>
    <t>Vendor Non-trade Receivables</t>
  </si>
  <si>
    <t>Inventories</t>
  </si>
  <si>
    <t>Other current assets</t>
  </si>
  <si>
    <t>Total Current Assets</t>
  </si>
  <si>
    <t>Non-Current Assets</t>
  </si>
  <si>
    <t>Property, plant and equipment</t>
  </si>
  <si>
    <t>Other Non-Current Assets</t>
  </si>
  <si>
    <t>Total Non-Current Assets</t>
  </si>
  <si>
    <t>Total Assets</t>
  </si>
  <si>
    <t>Current Liabilities</t>
  </si>
  <si>
    <t>Accounts Payable</t>
  </si>
  <si>
    <t>Other current liabilities</t>
  </si>
  <si>
    <t>Deferred (Unearned) revenue</t>
  </si>
  <si>
    <t>Commercial paper</t>
  </si>
  <si>
    <t>Short-term debt</t>
  </si>
  <si>
    <t>Total Current Liabilities</t>
  </si>
  <si>
    <t>Non-Current Liabilities</t>
  </si>
  <si>
    <t>Long-Term Debt</t>
  </si>
  <si>
    <t>Other Non-Current Liabilities</t>
  </si>
  <si>
    <t>Total Non-Current Liabilities</t>
  </si>
  <si>
    <t>Total Liabilities</t>
  </si>
  <si>
    <t>Equity</t>
  </si>
  <si>
    <t>Share Capital</t>
  </si>
  <si>
    <t>Retained Earnings / (Accumulated losses)</t>
  </si>
  <si>
    <t>Accumulated other comprehensive income / (loss)</t>
  </si>
  <si>
    <t>Total Shareholder Equity</t>
  </si>
  <si>
    <t>Total Liabilities &amp; Equity</t>
  </si>
  <si>
    <t>Debt Ratio (Total Liabilities / Total Assets)</t>
  </si>
  <si>
    <t>Debt to Equity (Total Liabilities / Total Equity) - Leverage</t>
  </si>
  <si>
    <t>Debt / Revenue</t>
  </si>
  <si>
    <t>Inventory Turnover</t>
  </si>
  <si>
    <t>Receivables Turnover</t>
  </si>
  <si>
    <t>Payable Turnover</t>
  </si>
  <si>
    <t>Cash Flow</t>
  </si>
  <si>
    <t>Operating Activities</t>
  </si>
  <si>
    <t>Depreciation &amp; Amortization</t>
  </si>
  <si>
    <t>Stock-based compensation expense</t>
  </si>
  <si>
    <t>Other</t>
  </si>
  <si>
    <t>Changes in Assets &amp; Liabilities</t>
  </si>
  <si>
    <t>Cash Flow from Operating Activities</t>
  </si>
  <si>
    <t>Investing Activities</t>
  </si>
  <si>
    <t>Purchases of Marketable securities</t>
  </si>
  <si>
    <t>Maturities of Marketable Securities</t>
  </si>
  <si>
    <t>Sales of Marketable Securities</t>
  </si>
  <si>
    <t>Purchases of PPE</t>
  </si>
  <si>
    <t>Cash Flow from Investing Activities</t>
  </si>
  <si>
    <t>Financing Activities</t>
  </si>
  <si>
    <t>Payments of taxes related to equity awards</t>
  </si>
  <si>
    <t>Dividends</t>
  </si>
  <si>
    <t>Repurchases of stock (buybacks)</t>
  </si>
  <si>
    <t>Proceeds of debt issuance</t>
  </si>
  <si>
    <t>Debt repayment</t>
  </si>
  <si>
    <t>Proceeds from/(Repayments of) commercial paper</t>
  </si>
  <si>
    <t>Cash Flow from Financing Activities</t>
  </si>
  <si>
    <t>Effect of Exchange Rate Changes</t>
  </si>
  <si>
    <t>Net Increase / (Decrease) in cash and cash equivalents</t>
  </si>
  <si>
    <t>Cash &amp; cash equivalents at the beginning of the period</t>
  </si>
  <si>
    <t>Cash &amp; cash equivalents at the end of the period</t>
  </si>
  <si>
    <t>Cash paid for income taxes, net</t>
  </si>
  <si>
    <t>Cash paid for interest</t>
  </si>
  <si>
    <t>Free Cash Flow (FCF)</t>
  </si>
  <si>
    <t>FCF / share</t>
  </si>
  <si>
    <t>AAPL Monthly Price Changes (5 years)</t>
  </si>
  <si>
    <t>United States 10-Year Bond Yield</t>
  </si>
  <si>
    <t>https://www.investing.com/equities/apple-computer-inc-historical-data</t>
  </si>
  <si>
    <t>https://www.investing.com/rates-bonds/u.s.-10-year-bond-yield-historical-data</t>
  </si>
  <si>
    <t>Oct'19 - Sep'24</t>
  </si>
  <si>
    <t>Risk free rate average</t>
  </si>
  <si>
    <t>TEST (Manual calculation of Monthly Std Dev of Excess Returns - 5 Years)</t>
  </si>
  <si>
    <t>[1]</t>
  </si>
  <si>
    <t>[2]</t>
  </si>
  <si>
    <t>[1] - [2]</t>
  </si>
  <si>
    <t>Sharpe</t>
  </si>
  <si>
    <t>Sortino</t>
  </si>
  <si>
    <t>Date</t>
  </si>
  <si>
    <t>Price</t>
  </si>
  <si>
    <t>Change %</t>
  </si>
  <si>
    <t>Change</t>
  </si>
  <si>
    <t>Monthly Risk free rate</t>
  </si>
  <si>
    <t>Monthly Excess returns</t>
  </si>
  <si>
    <t>Monthly Excess negative returns</t>
  </si>
  <si>
    <t>Average Monthly Excess Returns</t>
  </si>
  <si>
    <t>Difference Squared</t>
  </si>
  <si>
    <r>
      <rPr>
        <sz val="11"/>
        <color theme="1"/>
        <rFont val="Calibri"/>
        <charset val="134"/>
        <scheme val="minor"/>
      </rPr>
      <t>Monthly Std Dev of excess returns (</t>
    </r>
    <r>
      <rPr>
        <b/>
        <sz val="11"/>
        <color theme="1"/>
        <rFont val="Calibri"/>
        <charset val="134"/>
        <scheme val="minor"/>
      </rPr>
      <t>σ</t>
    </r>
    <r>
      <rPr>
        <sz val="11"/>
        <color theme="1"/>
        <rFont val="Calibri"/>
        <charset val="134"/>
        <scheme val="minor"/>
      </rPr>
      <t>)</t>
    </r>
  </si>
  <si>
    <t>Average Monthly Excess Negative Returns</t>
  </si>
  <si>
    <t>1 Year</t>
  </si>
  <si>
    <t>3 Years</t>
  </si>
  <si>
    <t>5 Years</t>
  </si>
  <si>
    <r>
      <rPr>
        <sz val="11"/>
        <color theme="1"/>
        <rFont val="Calibri"/>
        <charset val="134"/>
        <scheme val="minor"/>
      </rPr>
      <t>Monthly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</si>
  <si>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Monthly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</si>
  <si>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Excess return (</t>
    </r>
    <r>
      <rPr>
        <b/>
        <sz val="11"/>
        <color theme="1"/>
        <rFont val="Calibri"/>
        <charset val="134"/>
        <scheme val="minor"/>
      </rPr>
      <t>Rp - Rf</t>
    </r>
    <r>
      <rPr>
        <sz val="11"/>
        <color theme="1"/>
        <rFont val="Calibri"/>
        <charset val="134"/>
        <scheme val="minor"/>
      </rPr>
      <t>)</t>
    </r>
  </si>
  <si>
    <r>
      <rPr>
        <sz val="11"/>
        <color theme="1"/>
        <rFont val="Calibri"/>
        <charset val="134"/>
        <scheme val="minor"/>
      </rPr>
      <t>Monthly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</si>
  <si>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</si>
  <si>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Portfolio return (</t>
    </r>
    <r>
      <rPr>
        <b/>
        <sz val="11"/>
        <color theme="1"/>
        <rFont val="Calibri"/>
        <charset val="134"/>
        <scheme val="minor"/>
      </rPr>
      <t>Rp</t>
    </r>
    <r>
      <rPr>
        <sz val="11"/>
        <color theme="1"/>
        <rFont val="Calibri"/>
        <charset val="134"/>
        <scheme val="minor"/>
      </rPr>
      <t>)</t>
    </r>
  </si>
  <si>
    <r>
      <rPr>
        <sz val="11"/>
        <color theme="1"/>
        <rFont val="Calibri"/>
        <charset val="134"/>
        <scheme val="minor"/>
      </rPr>
      <t>Annualized Risk-free return - US 10Yr Yield (</t>
    </r>
    <r>
      <rPr>
        <b/>
        <sz val="11"/>
        <color theme="1"/>
        <rFont val="Calibri"/>
        <charset val="134"/>
        <scheme val="minor"/>
      </rPr>
      <t>Rf</t>
    </r>
    <r>
      <rPr>
        <sz val="11"/>
        <color theme="1"/>
        <rFont val="Calibri"/>
        <charset val="134"/>
        <scheme val="minor"/>
      </rPr>
      <t>)</t>
    </r>
  </si>
  <si>
    <r>
      <rPr>
        <sz val="11"/>
        <color theme="1"/>
        <rFont val="Calibri"/>
        <charset val="134"/>
        <scheme val="minor"/>
      </rPr>
      <t>Annualized Sharpe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</si>
  <si>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Monthly Std Dev of excess negative returns (</t>
    </r>
    <r>
      <rPr>
        <b/>
        <sz val="11"/>
        <color theme="1"/>
        <rFont val="Calibri"/>
        <charset val="134"/>
        <scheme val="minor"/>
      </rPr>
      <t>σ</t>
    </r>
    <r>
      <rPr>
        <b/>
        <vertAlign val="subscript"/>
        <sz val="11"/>
        <color theme="1"/>
        <rFont val="Calibri"/>
        <charset val="134"/>
        <scheme val="minor"/>
      </rPr>
      <t>d</t>
    </r>
    <r>
      <rPr>
        <sz val="11"/>
        <color theme="1"/>
        <rFont val="Calibri"/>
        <charset val="134"/>
        <scheme val="minor"/>
      </rPr>
      <t>)</t>
    </r>
  </si>
  <si>
    <r>
      <rPr>
        <sz val="11"/>
        <color theme="1"/>
        <rFont val="Calibri"/>
        <charset val="134"/>
        <scheme val="minor"/>
      </rPr>
      <t>Monthly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 xml:space="preserve">σ </t>
    </r>
    <r>
      <rPr>
        <sz val="11"/>
        <color theme="1"/>
        <rFont val="Calibri"/>
        <charset val="134"/>
        <scheme val="minor"/>
      </rPr>
      <t>)</t>
    </r>
  </si>
  <si>
    <r>
      <rPr>
        <sz val="11"/>
        <color theme="1"/>
        <rFont val="Calibri"/>
        <charset val="134"/>
        <scheme val="minor"/>
      </rPr>
      <t>Annualized Std Dev of excess negative returns (</t>
    </r>
    <r>
      <rPr>
        <b/>
        <sz val="11"/>
        <color theme="1"/>
        <rFont val="Calibri"/>
        <charset val="134"/>
        <scheme val="minor"/>
      </rPr>
      <t>σ</t>
    </r>
    <r>
      <rPr>
        <sz val="11"/>
        <color theme="1"/>
        <rFont val="Calibri"/>
        <charset val="134"/>
        <scheme val="minor"/>
      </rPr>
      <t>)</t>
    </r>
  </si>
  <si>
    <r>
      <rPr>
        <sz val="11"/>
        <color theme="1"/>
        <rFont val="Calibri"/>
        <charset val="134"/>
        <scheme val="minor"/>
      </rPr>
      <t>Annualized Sortino Ratio ( [</t>
    </r>
    <r>
      <rPr>
        <b/>
        <sz val="11"/>
        <color theme="1"/>
        <rFont val="Calibri"/>
        <charset val="134"/>
        <scheme val="minor"/>
      </rPr>
      <t>Rp - Rf</t>
    </r>
    <r>
      <rPr>
        <sz val="11"/>
        <color theme="1"/>
        <rFont val="Calibri"/>
        <charset val="134"/>
        <scheme val="minor"/>
      </rPr>
      <t xml:space="preserve">] / </t>
    </r>
    <r>
      <rPr>
        <b/>
        <sz val="11"/>
        <color theme="1"/>
        <rFont val="Calibri"/>
        <charset val="134"/>
        <scheme val="minor"/>
      </rPr>
      <t>σ</t>
    </r>
    <r>
      <rPr>
        <b/>
        <vertAlign val="subscript"/>
        <sz val="11"/>
        <color theme="1"/>
        <rFont val="Calibri"/>
        <charset val="134"/>
        <scheme val="minor"/>
      </rPr>
      <t>d</t>
    </r>
    <r>
      <rPr>
        <b/>
        <sz val="11"/>
        <color theme="1"/>
        <rFont val="Calibri"/>
        <charset val="134"/>
        <scheme val="minor"/>
      </rPr>
      <t xml:space="preserve"> </t>
    </r>
    <r>
      <rPr>
        <sz val="11"/>
        <color theme="1"/>
        <rFont val="Calibri"/>
        <charset val="134"/>
        <scheme val="minor"/>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</si>
</sst>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_(* \(#,##0\);_(* &quot;-&quot;_);_(@_)"/>
    <numFmt numFmtId="42" formatCode="_(&quot;$&quot;* #,##0_);_(&quot;$&quot;* \(#,##0\);_(&quot;$&quot;* &quot;-&quot;_);_(@_)"/>
    <numFmt numFmtId="43" formatCode="_(* #,##0.00_);_(* \(#,##0.00\);_(* &quot;-&quot;??_);_(@_)"/>
    <numFmt numFmtId="44" formatCode="_(&quot;$&quot;* #,##0.00_);_(&quot;$&quot;* \(#,##0.00\);_(&quot;$&quot;* &quot;-&quot;??_);_(@_)"/>
    <numFmt numFmtId="176" formatCode="_ * #,##0.00_ ;_ * \-#,##0.00_ ;_ * &quot;-&quot;??_ ;_ @_ "/>
    <numFmt numFmtId="177" formatCode="_ * #,##0_ ;_ * \-#,##0_ ;_ * &quot;-&quot;_ ;_ @_ "/>
  </numFmts>
  <fonts count="30">
    <font>
      <sz val="11"/>
      <color theme="1"/>
      <name val="Calibri"/>
      <charset val="134"/>
      <scheme val="minor"/>
    </font>
    <font>
      <b/>
      <sz val="11"/>
      <color theme="1"/>
      <name val="Calibri"/>
      <charset val="134"/>
      <scheme val="minor"/>
    </font>
    <font>
      <b/>
      <i/>
      <u/>
      <sz val="11"/>
      <color theme="1"/>
      <name val="Calibri"/>
      <charset val="134"/>
      <scheme val="minor"/>
    </font>
    <font>
      <b/>
      <i/>
      <sz val="11"/>
      <color theme="1"/>
      <name val="Calibri"/>
      <charset val="134"/>
      <scheme val="minor"/>
    </font>
    <font>
      <i/>
      <sz val="11"/>
      <color theme="1"/>
      <name val="Calibri"/>
      <charset val="134"/>
      <scheme val="minor"/>
    </font>
    <font>
      <b/>
      <u/>
      <sz val="12"/>
      <color theme="1"/>
      <name val="Calibri"/>
      <charset val="134"/>
      <scheme val="minor"/>
    </font>
    <font>
      <sz val="9"/>
      <color theme="1"/>
      <name val="Calibri"/>
      <charset val="134"/>
      <scheme val="minor"/>
    </font>
    <font>
      <b/>
      <i/>
      <sz val="12"/>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ertAlign val="subscript"/>
      <sz val="11"/>
      <color theme="1"/>
      <name val="Calibri"/>
      <charset val="134"/>
      <scheme val="minor"/>
    </font>
    <font>
      <b/>
      <sz val="9"/>
      <name val="Times New Roman"/>
      <charset val="0"/>
    </font>
    <font>
      <sz val="9"/>
      <name val="Times New Roman"/>
      <charset val="0"/>
    </font>
  </fonts>
  <fills count="36">
    <fill>
      <patternFill patternType="none"/>
    </fill>
    <fill>
      <patternFill patternType="gray125"/>
    </fill>
    <fill>
      <patternFill patternType="solid">
        <fgColor rgb="FFFFFF00"/>
        <bgColor indexed="64"/>
      </patternFill>
    </fill>
    <fill>
      <patternFill patternType="solid">
        <fgColor theme="5" tint="0.4"/>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style="double">
        <color auto="1"/>
      </top>
      <bottom/>
      <diagonal/>
    </border>
    <border>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5" borderId="3"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15" fillId="0" borderId="5" applyNumberFormat="0" applyFill="0" applyAlignment="0" applyProtection="0">
      <alignment vertical="center"/>
    </xf>
    <xf numFmtId="0" fontId="15" fillId="0" borderId="0" applyNumberFormat="0" applyFill="0" applyBorder="0" applyAlignment="0" applyProtection="0">
      <alignment vertical="center"/>
    </xf>
    <xf numFmtId="0" fontId="16" fillId="6" borderId="6" applyNumberFormat="0" applyAlignment="0" applyProtection="0">
      <alignment vertical="center"/>
    </xf>
    <xf numFmtId="0" fontId="17" fillId="7" borderId="7" applyNumberFormat="0" applyAlignment="0" applyProtection="0">
      <alignment vertical="center"/>
    </xf>
    <xf numFmtId="0" fontId="18" fillId="7" borderId="6" applyNumberFormat="0" applyAlignment="0" applyProtection="0">
      <alignment vertical="center"/>
    </xf>
    <xf numFmtId="0" fontId="19" fillId="8" borderId="8" applyNumberFormat="0" applyAlignment="0" applyProtection="0">
      <alignment vertical="center"/>
    </xf>
    <xf numFmtId="0" fontId="20" fillId="0" borderId="9" applyNumberFormat="0" applyFill="0" applyAlignment="0" applyProtection="0">
      <alignment vertical="center"/>
    </xf>
    <xf numFmtId="0" fontId="21" fillId="0" borderId="10"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cellStyleXfs>
  <cellXfs count="83">
    <xf numFmtId="0" fontId="0" fillId="0" borderId="0" xfId="0">
      <alignment vertical="center"/>
    </xf>
    <xf numFmtId="0" fontId="1" fillId="0" borderId="0" xfId="0" applyFont="1" applyAlignment="1">
      <alignment horizontal="right" vertical="center"/>
    </xf>
    <xf numFmtId="0" fontId="1" fillId="0" borderId="0" xfId="0" applyFont="1">
      <alignment vertical="center"/>
    </xf>
    <xf numFmtId="0" fontId="1" fillId="0" borderId="0" xfId="0" applyFont="1" applyAlignment="1">
      <alignment horizontal="center" vertical="center"/>
    </xf>
    <xf numFmtId="0" fontId="0" fillId="0" borderId="0" xfId="0" applyAlignment="1">
      <alignment vertical="center" wrapText="1"/>
    </xf>
    <xf numFmtId="15" fontId="0" fillId="0" borderId="0" xfId="0" applyNumberFormat="1" applyAlignment="1">
      <alignment vertical="center" wrapText="1"/>
    </xf>
    <xf numFmtId="0" fontId="0" fillId="0" borderId="0" xfId="0" applyAlignment="1">
      <alignment vertical="center" wrapText="1" readingOrder="1"/>
    </xf>
    <xf numFmtId="10" fontId="0" fillId="0" borderId="0" xfId="0" applyNumberFormat="1" applyAlignment="1">
      <alignment vertical="center" wrapText="1" readingOrder="1"/>
    </xf>
    <xf numFmtId="10" fontId="0" fillId="0" borderId="0" xfId="0" applyNumberFormat="1">
      <alignment vertical="center"/>
    </xf>
    <xf numFmtId="10" fontId="0" fillId="2" borderId="0" xfId="0" applyNumberFormat="1" applyFill="1">
      <alignment vertical="center"/>
    </xf>
    <xf numFmtId="0" fontId="0" fillId="0" borderId="0" xfId="0" applyFont="1" applyAlignment="1">
      <alignment vertical="center" wrapText="1"/>
    </xf>
    <xf numFmtId="0" fontId="2" fillId="0" borderId="0" xfId="0" applyFont="1">
      <alignment vertical="center"/>
    </xf>
    <xf numFmtId="0" fontId="0" fillId="0" borderId="0" xfId="0" applyAlignment="1">
      <alignment horizontal="center" vertical="center"/>
    </xf>
    <xf numFmtId="0" fontId="0" fillId="0" borderId="0" xfId="0" applyFont="1" applyAlignment="1">
      <alignment vertical="center"/>
    </xf>
    <xf numFmtId="0" fontId="0" fillId="0" borderId="0" xfId="0" applyFont="1">
      <alignment vertical="center"/>
    </xf>
    <xf numFmtId="10" fontId="0" fillId="0" borderId="0" xfId="0" applyNumberFormat="1" applyFill="1">
      <alignment vertical="center"/>
    </xf>
    <xf numFmtId="43" fontId="3" fillId="0" borderId="0" xfId="0" applyNumberFormat="1" applyFont="1">
      <alignment vertical="center"/>
    </xf>
    <xf numFmtId="0" fontId="0" fillId="0" borderId="1" xfId="0" applyBorder="1">
      <alignment vertical="center"/>
    </xf>
    <xf numFmtId="10" fontId="0" fillId="0" borderId="2" xfId="0" applyNumberFormat="1" applyBorder="1">
      <alignment vertical="center"/>
    </xf>
    <xf numFmtId="43" fontId="4" fillId="0" borderId="0" xfId="0" applyNumberFormat="1" applyFont="1">
      <alignment vertical="center"/>
    </xf>
    <xf numFmtId="39" fontId="1" fillId="0" borderId="0" xfId="0" applyNumberFormat="1" applyFont="1">
      <alignment vertical="center"/>
    </xf>
    <xf numFmtId="39" fontId="0" fillId="0" borderId="0" xfId="0" applyNumberFormat="1">
      <alignment vertical="center"/>
    </xf>
    <xf numFmtId="0" fontId="3" fillId="0" borderId="0" xfId="0" applyFont="1">
      <alignment vertical="center"/>
    </xf>
    <xf numFmtId="0" fontId="4" fillId="0" borderId="0" xfId="0" applyFont="1">
      <alignment vertical="center"/>
    </xf>
    <xf numFmtId="43" fontId="0" fillId="0" borderId="0" xfId="0" applyNumberFormat="1">
      <alignment vertical="center"/>
    </xf>
    <xf numFmtId="41" fontId="1" fillId="0" borderId="0" xfId="0" applyNumberFormat="1" applyFont="1">
      <alignment vertical="center"/>
    </xf>
    <xf numFmtId="43" fontId="0" fillId="0" borderId="0" xfId="0" applyNumberFormat="1" applyFont="1">
      <alignment vertical="center"/>
    </xf>
    <xf numFmtId="41" fontId="0" fillId="0" borderId="0" xfId="0" applyNumberFormat="1">
      <alignment vertical="center"/>
    </xf>
    <xf numFmtId="0" fontId="0" fillId="0" borderId="0" xfId="0" applyFill="1">
      <alignment vertical="center"/>
    </xf>
    <xf numFmtId="41" fontId="0" fillId="0" borderId="0" xfId="0" applyNumberFormat="1" applyFill="1">
      <alignment vertical="center"/>
    </xf>
    <xf numFmtId="43" fontId="0" fillId="0" borderId="0" xfId="0" applyNumberFormat="1" applyFill="1">
      <alignment vertical="center"/>
    </xf>
    <xf numFmtId="41" fontId="3" fillId="0" borderId="0" xfId="0" applyNumberFormat="1" applyFont="1" applyFill="1">
      <alignment vertical="center"/>
    </xf>
    <xf numFmtId="0" fontId="0" fillId="0" borderId="0" xfId="0" applyFill="1" applyAlignment="1">
      <alignment horizontal="center" vertical="center"/>
    </xf>
    <xf numFmtId="0" fontId="5" fillId="0" borderId="0" xfId="0" applyFont="1">
      <alignment vertical="center"/>
    </xf>
    <xf numFmtId="41" fontId="0" fillId="0" borderId="0" xfId="0" applyNumberFormat="1" applyFill="1" applyAlignment="1">
      <alignment vertical="center"/>
    </xf>
    <xf numFmtId="41" fontId="0" fillId="0" borderId="2" xfId="0" applyNumberFormat="1" applyFill="1" applyBorder="1">
      <alignment vertical="center"/>
    </xf>
    <xf numFmtId="41" fontId="0" fillId="3" borderId="0" xfId="0" applyNumberFormat="1" applyFill="1">
      <alignment vertical="center"/>
    </xf>
    <xf numFmtId="0" fontId="5" fillId="4" borderId="0" xfId="0" applyFont="1" applyFill="1">
      <alignment vertical="center"/>
    </xf>
    <xf numFmtId="0" fontId="0" fillId="4" borderId="0" xfId="0" applyFill="1">
      <alignment vertical="center"/>
    </xf>
    <xf numFmtId="43" fontId="4" fillId="0" borderId="0" xfId="0" applyNumberFormat="1" applyFont="1" applyFill="1">
      <alignment vertical="center"/>
    </xf>
    <xf numFmtId="43" fontId="4" fillId="0" borderId="2" xfId="0" applyNumberFormat="1" applyFont="1" applyFill="1" applyBorder="1">
      <alignment vertical="center"/>
    </xf>
    <xf numFmtId="43" fontId="0" fillId="0" borderId="0" xfId="0" applyNumberFormat="1" applyFont="1" applyFill="1">
      <alignment vertical="center"/>
    </xf>
    <xf numFmtId="43" fontId="4" fillId="4" borderId="0" xfId="0" applyNumberFormat="1" applyFont="1" applyFill="1">
      <alignment vertical="center"/>
    </xf>
    <xf numFmtId="39" fontId="0" fillId="0" borderId="0" xfId="0" applyNumberFormat="1" applyFill="1">
      <alignment vertical="center"/>
    </xf>
    <xf numFmtId="39" fontId="1" fillId="4" borderId="0" xfId="0" applyNumberFormat="1" applyFont="1" applyFill="1">
      <alignment vertical="center"/>
    </xf>
    <xf numFmtId="39" fontId="1" fillId="0" borderId="0" xfId="0" applyNumberFormat="1" applyFont="1" applyFill="1">
      <alignment vertical="center"/>
    </xf>
    <xf numFmtId="41" fontId="0" fillId="0" borderId="0" xfId="0" applyNumberFormat="1" applyFill="1" applyAlignment="1">
      <alignment horizontal="center" vertical="center"/>
    </xf>
    <xf numFmtId="43" fontId="0" fillId="0" borderId="0" xfId="0" applyNumberFormat="1" applyFill="1" applyAlignment="1">
      <alignment horizontal="center" vertical="center"/>
    </xf>
    <xf numFmtId="39" fontId="0" fillId="0" borderId="0" xfId="0" applyNumberFormat="1" applyFont="1" applyFill="1" applyBorder="1">
      <alignment vertical="center"/>
    </xf>
    <xf numFmtId="43" fontId="0" fillId="0" borderId="0" xfId="0" applyNumberFormat="1" applyFill="1" applyBorder="1">
      <alignment vertical="center"/>
    </xf>
    <xf numFmtId="41" fontId="0" fillId="0" borderId="0" xfId="0" applyNumberFormat="1" applyFill="1" applyBorder="1">
      <alignment vertical="center"/>
    </xf>
    <xf numFmtId="41" fontId="0" fillId="0" borderId="0" xfId="0" applyNumberFormat="1" applyFill="1" applyBorder="1" applyAlignment="1">
      <alignment horizontal="center" vertical="center"/>
    </xf>
    <xf numFmtId="43" fontId="1" fillId="0" borderId="0" xfId="0" applyNumberFormat="1" applyFont="1" applyFill="1">
      <alignment vertical="center"/>
    </xf>
    <xf numFmtId="0" fontId="1" fillId="4" borderId="0" xfId="0" applyFont="1" applyFill="1">
      <alignment vertical="center"/>
    </xf>
    <xf numFmtId="0" fontId="1" fillId="0" borderId="0" xfId="0" applyFont="1" applyFill="1">
      <alignment vertical="center"/>
    </xf>
    <xf numFmtId="41" fontId="1" fillId="0" borderId="0" xfId="0" applyNumberFormat="1" applyFont="1" applyFill="1">
      <alignment vertical="center"/>
    </xf>
    <xf numFmtId="41" fontId="6" fillId="3" borderId="0" xfId="0" applyNumberFormat="1" applyFont="1" applyFill="1" applyAlignment="1">
      <alignment horizontal="center" vertical="center"/>
    </xf>
    <xf numFmtId="0" fontId="7" fillId="4" borderId="0" xfId="0" applyFont="1" applyFill="1">
      <alignment vertical="center"/>
    </xf>
    <xf numFmtId="0" fontId="3" fillId="4" borderId="0" xfId="0" applyFont="1" applyFill="1">
      <alignment vertical="center"/>
    </xf>
    <xf numFmtId="0" fontId="3" fillId="0" borderId="0" xfId="0" applyFont="1" applyFill="1">
      <alignment vertical="center"/>
    </xf>
    <xf numFmtId="43" fontId="3" fillId="0" borderId="0" xfId="0" applyNumberFormat="1" applyFont="1" applyFill="1">
      <alignment vertical="center"/>
    </xf>
    <xf numFmtId="0" fontId="4" fillId="4" borderId="0" xfId="0" applyFont="1" applyFill="1">
      <alignment vertical="center"/>
    </xf>
    <xf numFmtId="41" fontId="4" fillId="0" borderId="0" xfId="0" applyNumberFormat="1" applyFont="1" applyFill="1">
      <alignment vertical="center"/>
    </xf>
    <xf numFmtId="0" fontId="4" fillId="0" borderId="0" xfId="0" applyFont="1" applyFill="1">
      <alignment vertical="center"/>
    </xf>
    <xf numFmtId="43" fontId="0" fillId="4" borderId="0" xfId="0" applyNumberFormat="1" applyFill="1">
      <alignment vertical="center"/>
    </xf>
    <xf numFmtId="41" fontId="3" fillId="4" borderId="0" xfId="0" applyNumberFormat="1" applyFont="1" applyFill="1">
      <alignment vertical="center"/>
    </xf>
    <xf numFmtId="41" fontId="1" fillId="4" borderId="0" xfId="0" applyNumberFormat="1" applyFont="1" applyFill="1">
      <alignment vertical="center"/>
    </xf>
    <xf numFmtId="43" fontId="0" fillId="4" borderId="0" xfId="0" applyNumberFormat="1" applyFont="1" applyFill="1">
      <alignment vertical="center"/>
    </xf>
    <xf numFmtId="41" fontId="4" fillId="4" borderId="0" xfId="0" applyNumberFormat="1" applyFont="1" applyFill="1">
      <alignment vertical="center"/>
    </xf>
    <xf numFmtId="41" fontId="0" fillId="4" borderId="0" xfId="0" applyNumberFormat="1" applyFill="1">
      <alignment vertical="center"/>
    </xf>
    <xf numFmtId="37" fontId="3" fillId="4" borderId="0" xfId="0" applyNumberFormat="1" applyFont="1" applyFill="1">
      <alignment vertical="center"/>
    </xf>
    <xf numFmtId="37" fontId="1" fillId="4" borderId="0" xfId="0" applyNumberFormat="1" applyFont="1" applyFill="1">
      <alignment vertical="center"/>
    </xf>
    <xf numFmtId="41" fontId="0" fillId="0" borderId="0" xfId="0" applyNumberFormat="1" applyFont="1" applyFill="1">
      <alignment vertical="center"/>
    </xf>
    <xf numFmtId="39" fontId="0" fillId="0" borderId="0" xfId="0" applyNumberFormat="1" applyFont="1" applyFill="1">
      <alignment vertical="center"/>
    </xf>
    <xf numFmtId="37" fontId="0" fillId="0" borderId="0" xfId="0" applyNumberFormat="1" applyFont="1" applyFill="1">
      <alignment vertical="center"/>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horizontal="right" vertical="center"/>
    </xf>
    <xf numFmtId="0" fontId="0" fillId="2" borderId="0" xfId="0" applyFill="1" applyAlignment="1">
      <alignment vertical="center"/>
    </xf>
    <xf numFmtId="43" fontId="0" fillId="0" borderId="0" xfId="0" applyNumberFormat="1" applyFill="1" applyAlignment="1">
      <alignment vertical="center"/>
    </xf>
    <xf numFmtId="43" fontId="0" fillId="0" borderId="0" xfId="0" applyNumberFormat="1" applyAlignment="1">
      <alignment horizontal="center" vertical="center"/>
    </xf>
    <xf numFmtId="41" fontId="0" fillId="0" borderId="0" xfId="0" applyNumberFormat="1" applyAlignment="1">
      <alignment horizontal="center" vertical="center"/>
    </xf>
    <xf numFmtId="43" fontId="0" fillId="0" borderId="0" xfId="0" applyNumberFormat="1" applyAlignment="1">
      <alignment horizontal="center" vertical="center" wrapText="1"/>
    </xf>
    <xf numFmtId="0" fontId="1" fillId="0" borderId="0" xfId="0" applyFon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eetMetadata" Target="metadata.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isk%20Free%20Rate)%20US%2010-Year%20Bond%20Yiel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s>
    <sheetDataSet>
      <sheetData sheetId="0">
        <row r="6">
          <cell r="E6">
            <v>0.0246945</v>
          </cell>
        </row>
      </sheetData>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Z11"/>
  <sheetViews>
    <sheetView tabSelected="1" workbookViewId="0">
      <selection activeCell="M15" sqref="M15"/>
    </sheetView>
    <sheetView workbookViewId="1">
      <selection activeCell="L20" sqref="L20"/>
    </sheetView>
  </sheetViews>
  <sheetFormatPr defaultColWidth="9.14285714285714" defaultRowHeight="15"/>
  <cols>
    <col min="3" max="3" width="4.42857142857143" customWidth="1"/>
    <col min="6" max="6" width="10.5714285714286"/>
    <col min="15" max="16" width="9.14285714285714" customWidth="1"/>
  </cols>
  <sheetData>
    <row r="2" spans="2:2">
      <c r="B2" s="2" t="s">
        <v>0</v>
      </c>
    </row>
    <row r="3" spans="2:49">
      <c r="B3" s="75"/>
      <c r="E3" s="75"/>
      <c r="F3" s="75"/>
      <c r="G3" s="75"/>
      <c r="H3" s="75" t="s">
        <v>1</v>
      </c>
      <c r="J3" s="75"/>
      <c r="K3" s="75" t="s">
        <v>2</v>
      </c>
      <c r="L3" s="75"/>
      <c r="M3" s="75"/>
      <c r="N3" s="75"/>
      <c r="O3" s="75"/>
      <c r="P3" s="75"/>
      <c r="Q3" s="75"/>
      <c r="R3" s="75"/>
      <c r="S3" s="75"/>
      <c r="T3" s="75" t="s">
        <v>3</v>
      </c>
      <c r="U3" s="75"/>
      <c r="V3" s="75"/>
      <c r="W3" s="75"/>
      <c r="X3" s="75"/>
      <c r="Y3" s="75"/>
      <c r="Z3" s="75"/>
      <c r="AA3" s="75"/>
      <c r="AB3" s="75"/>
      <c r="AC3" s="75" t="s">
        <v>4</v>
      </c>
      <c r="AD3" s="75"/>
      <c r="AE3" s="75"/>
      <c r="AF3" s="75"/>
      <c r="AG3" s="75"/>
      <c r="AH3" s="75"/>
      <c r="AI3" s="75"/>
      <c r="AJ3" s="75"/>
      <c r="AK3" s="75"/>
      <c r="AL3" s="75" t="s">
        <v>5</v>
      </c>
      <c r="AM3" s="75"/>
      <c r="AN3" s="75"/>
      <c r="AO3" s="75"/>
      <c r="AP3" s="75"/>
      <c r="AQ3" s="75"/>
      <c r="AR3" s="75"/>
      <c r="AS3" s="75"/>
      <c r="AT3" s="75"/>
      <c r="AU3" s="75" t="s">
        <v>6</v>
      </c>
      <c r="AV3" s="75"/>
      <c r="AW3" s="75"/>
    </row>
    <row r="4" spans="2:50">
      <c r="B4" s="75"/>
      <c r="E4" s="75"/>
      <c r="F4" s="75"/>
      <c r="G4" s="75"/>
      <c r="H4" s="75" t="s">
        <v>7</v>
      </c>
      <c r="J4" s="4"/>
      <c r="K4" s="4" t="s">
        <v>8</v>
      </c>
      <c r="L4" s="75"/>
      <c r="M4" s="75"/>
      <c r="N4" s="4" t="s">
        <v>9</v>
      </c>
      <c r="O4" s="75"/>
      <c r="P4" s="75"/>
      <c r="Q4" s="4" t="s">
        <v>10</v>
      </c>
      <c r="R4" s="75"/>
      <c r="S4" s="75"/>
      <c r="T4" s="4" t="s">
        <v>11</v>
      </c>
      <c r="U4" s="75"/>
      <c r="V4" s="75"/>
      <c r="W4" s="4" t="s">
        <v>12</v>
      </c>
      <c r="X4" s="75"/>
      <c r="Y4" s="75"/>
      <c r="Z4" s="75" t="s">
        <v>13</v>
      </c>
      <c r="AA4" s="75"/>
      <c r="AB4" s="75"/>
      <c r="AC4" s="75" t="s">
        <v>14</v>
      </c>
      <c r="AD4" s="75"/>
      <c r="AE4" s="75"/>
      <c r="AF4" s="75" t="s">
        <v>15</v>
      </c>
      <c r="AG4" s="75"/>
      <c r="AH4" s="75"/>
      <c r="AI4" s="75" t="s">
        <v>16</v>
      </c>
      <c r="AJ4" s="75"/>
      <c r="AK4" s="75"/>
      <c r="AL4" s="75" t="s">
        <v>17</v>
      </c>
      <c r="AM4" s="75"/>
      <c r="AN4" s="75"/>
      <c r="AO4" s="75" t="s">
        <v>18</v>
      </c>
      <c r="AP4" s="75"/>
      <c r="AQ4" s="75"/>
      <c r="AR4" s="75" t="s">
        <v>19</v>
      </c>
      <c r="AS4" s="75"/>
      <c r="AT4" s="75"/>
      <c r="AU4" s="75" t="s">
        <v>20</v>
      </c>
      <c r="AV4" s="75"/>
      <c r="AW4" s="75"/>
      <c r="AX4" t="s">
        <v>21</v>
      </c>
    </row>
    <row r="5" ht="45" spans="2:52">
      <c r="B5" s="76" t="s">
        <v>22</v>
      </c>
      <c r="D5" s="76" t="s">
        <v>23</v>
      </c>
      <c r="E5" s="76" t="s">
        <v>24</v>
      </c>
      <c r="F5" s="76" t="s">
        <v>25</v>
      </c>
      <c r="G5" s="76" t="s">
        <v>26</v>
      </c>
      <c r="H5" s="76" t="s">
        <v>27</v>
      </c>
      <c r="I5" s="76" t="s">
        <v>28</v>
      </c>
      <c r="J5" s="76" t="s">
        <v>29</v>
      </c>
      <c r="K5" s="76" t="s">
        <v>27</v>
      </c>
      <c r="L5" s="76" t="s">
        <v>28</v>
      </c>
      <c r="M5" s="76" t="s">
        <v>29</v>
      </c>
      <c r="N5" s="76" t="s">
        <v>27</v>
      </c>
      <c r="O5" s="76" t="s">
        <v>28</v>
      </c>
      <c r="P5" s="76" t="s">
        <v>29</v>
      </c>
      <c r="Q5" s="76" t="s">
        <v>27</v>
      </c>
      <c r="R5" s="76" t="s">
        <v>28</v>
      </c>
      <c r="S5" s="76" t="s">
        <v>29</v>
      </c>
      <c r="T5" s="76" t="s">
        <v>27</v>
      </c>
      <c r="U5" s="76" t="s">
        <v>28</v>
      </c>
      <c r="V5" s="76" t="s">
        <v>29</v>
      </c>
      <c r="W5" s="76" t="s">
        <v>27</v>
      </c>
      <c r="X5" s="76" t="s">
        <v>28</v>
      </c>
      <c r="Y5" s="76" t="s">
        <v>29</v>
      </c>
      <c r="Z5" s="76" t="s">
        <v>27</v>
      </c>
      <c r="AA5" s="76" t="s">
        <v>28</v>
      </c>
      <c r="AB5" s="76" t="s">
        <v>29</v>
      </c>
      <c r="AC5" s="76" t="s">
        <v>27</v>
      </c>
      <c r="AD5" s="76" t="s">
        <v>28</v>
      </c>
      <c r="AE5" s="76" t="s">
        <v>29</v>
      </c>
      <c r="AF5" s="76" t="s">
        <v>27</v>
      </c>
      <c r="AG5" s="76" t="s">
        <v>28</v>
      </c>
      <c r="AH5" s="76" t="s">
        <v>29</v>
      </c>
      <c r="AI5" s="76" t="s">
        <v>27</v>
      </c>
      <c r="AJ5" s="76" t="s">
        <v>28</v>
      </c>
      <c r="AK5" s="76" t="s">
        <v>29</v>
      </c>
      <c r="AL5" s="76" t="s">
        <v>27</v>
      </c>
      <c r="AM5" s="76" t="s">
        <v>28</v>
      </c>
      <c r="AN5" s="76" t="s">
        <v>29</v>
      </c>
      <c r="AO5" s="76" t="s">
        <v>27</v>
      </c>
      <c r="AP5" s="76" t="s">
        <v>28</v>
      </c>
      <c r="AQ5" s="76" t="s">
        <v>29</v>
      </c>
      <c r="AR5" s="76" t="s">
        <v>27</v>
      </c>
      <c r="AS5" s="76" t="s">
        <v>28</v>
      </c>
      <c r="AT5" s="76" t="s">
        <v>29</v>
      </c>
      <c r="AU5" s="82" t="s">
        <v>27</v>
      </c>
      <c r="AV5" s="82" t="s">
        <v>28</v>
      </c>
      <c r="AW5" s="82" t="s">
        <v>29</v>
      </c>
      <c r="AX5" s="82" t="s">
        <v>27</v>
      </c>
      <c r="AY5" s="82" t="s">
        <v>28</v>
      </c>
      <c r="AZ5" s="82" t="s">
        <v>29</v>
      </c>
    </row>
    <row r="6" spans="2:52">
      <c r="B6" s="75">
        <v>2024</v>
      </c>
      <c r="D6" s="77" t="s">
        <v>30</v>
      </c>
      <c r="E6" s="78">
        <v>2024</v>
      </c>
      <c r="F6" s="46">
        <f ca="1">OFFSET(FS!P118,0,E$6-B$6)</f>
        <v>3415033.12526</v>
      </c>
      <c r="G6" s="47">
        <f ca="1">OFFSET(FS!P112,0,E$6-B$6)</f>
        <v>225.91</v>
      </c>
      <c r="H6" s="79">
        <f ca="1">((OFFSET(FS!P112,0,E$6-B$6)/OFFSET(FS!P112,0,-1+E$6-B$6))^(1/1)-1)*100</f>
        <v>32.2890437430462</v>
      </c>
      <c r="I6" s="79">
        <f ca="1">((OFFSET(FS!P112,0,E$6-B$6)/OFFSET(FS!P112,0,-2+E$6-B$6))^(1/3)-1)*100</f>
        <v>13.7871794310407</v>
      </c>
      <c r="J6" s="79">
        <f ca="1">((OFFSET(FS!P112,0,E$6-B$6)/OFFSET(FS!P112,0,-4+E$6-B$6))^(1/5)-1)*100</f>
        <v>15.7213323212805</v>
      </c>
      <c r="K6" s="80">
        <f ca="1">OFFSET(FS!P87,0,0+E$6-B$6)</f>
        <v>46.2063498152339</v>
      </c>
      <c r="L6" s="80">
        <f ca="1">AVERAGE(OFFSET(FS!P87,0,-2+E$6-B$6):OFFSET(FS!P87,0,E$6-B$6))</f>
        <v>44.5490366512672</v>
      </c>
      <c r="M6" s="80">
        <f ca="1">AVERAGE(OFFSET(FS!P87,0,-4+E$6-B$6):OFFSET(FS!P87,0,E$6-B$6))</f>
        <v>42.7319434613561</v>
      </c>
      <c r="N6" s="80">
        <f ca="1">OFFSET(FS!P96,0,0+E$6-B$6)</f>
        <v>31.5102228700756</v>
      </c>
      <c r="O6" s="80">
        <f ca="1">AVERAGE(OFFSET(FS!P96,0,-2+E$6-B$6):OFFSET(FS!P96,0,E$6-B$6))</f>
        <v>30.5401265102096</v>
      </c>
      <c r="P6" s="80">
        <f ca="1">AVERAGE(OFFSET(FS!P96,0,-4+E$6-B$6):OFFSET(FS!P96,0,E$6-B$6))</f>
        <v>29.1100142825195</v>
      </c>
      <c r="Q6" s="80">
        <f ca="1">OFFSET(FS!P105,0,0+E$6-B$6)</f>
        <v>23.9712557699439</v>
      </c>
      <c r="R6" s="80">
        <f ca="1">AVERAGE(OFFSET(FS!P105,0,-2+E$6-B$6):OFFSET(FS!P105,0,E$6-B$6))</f>
        <v>24.8623769131546</v>
      </c>
      <c r="S6" s="80">
        <f ca="1">AVERAGE(OFFSET(FS!P105,0,-4+E$6-B$6):OFFSET(FS!P105,0,E$6-B$6))</f>
        <v>24.2765070746461</v>
      </c>
      <c r="T6" s="81">
        <f ca="1">OFFSET(FS!P114,0,0+E$6-B$6)</f>
        <v>36.4324605835538</v>
      </c>
      <c r="U6" s="81">
        <f ca="1">AVERAGE(OFFSET(FS!P114,0,-2+E$6-B$6):OFFSET(FS!P114,0,E$6-B$6))</f>
        <v>29.435299826507</v>
      </c>
      <c r="V6" s="81">
        <f ca="1">AVERAGE(OFFSET(FS!P114,0,-4+E$6-B$6):OFFSET(FS!P114,0,E$6-B$6))</f>
        <v>29.2972841674703</v>
      </c>
      <c r="W6" s="80">
        <f ca="1">OFFSET(FS!P113,0,0+E$6-B$6)</f>
        <v>6.20078897723365</v>
      </c>
      <c r="X6" s="80">
        <f ca="1">AVERAGE(OFFSET(FS!P113,0,-2+E$6-B$6):OFFSET(FS!P113,0,E$6-B$6))</f>
        <v>6.23273564192277</v>
      </c>
      <c r="Y6" s="80">
        <f ca="1">AVERAGE(OFFSET(FS!P113,0,-4+E$6-B$6):OFFSET(FS!P113,0,E$6-B$6))</f>
        <v>5.5687407687053</v>
      </c>
      <c r="Z6" s="80">
        <f ca="1">OFFSET(FS!P124,0,0+E$6-B$6)</f>
        <v>0.00446086448981082</v>
      </c>
      <c r="AA6" s="80">
        <f ca="1">AVERAGE(OFFSET(FS!P124,0,-2+E$6-B$6):OFFSET(FS!P124,0,E$6-B$6))</f>
        <v>0.00539649651894216</v>
      </c>
      <c r="AB6" s="80">
        <f ca="1">AVERAGE(OFFSET(FS!P124,0,-4+E$6-B$6):OFFSET(FS!P124,0,E$6-B$6))</f>
        <v>0.00593756982226427</v>
      </c>
      <c r="AC6" s="80">
        <f ca="1">OFFSET(FS!P170,0,0+E$6-B$6)</f>
        <v>0.843964052824812</v>
      </c>
      <c r="AD6" s="80">
        <f ca="1">AVERAGE(OFFSET(FS!P170,0,-2+E$6-B$6):OFFSET(FS!P170,0,E$6-B$6))</f>
        <v>0.841352801869667</v>
      </c>
      <c r="AE6" s="80">
        <f ca="1">AVERAGE(OFFSET(FS!P170,0,-4+E$6-B$6):OFFSET(FS!P170,0,E$6-B$6))</f>
        <v>0.8285165049639</v>
      </c>
      <c r="AF6" s="80">
        <f ca="1">OFFSET(FS!P171,0,0+E$6-B$6)</f>
        <v>5.40877963125549</v>
      </c>
      <c r="AG6" s="80">
        <f ca="1">AVERAGE(OFFSET(FS!P171,0,-2+E$6-B$6):OFFSET(FS!P171,0,E$6-B$6))</f>
        <v>5.34792635542909</v>
      </c>
      <c r="AH6" s="80">
        <f ca="1">AVERAGE(OFFSET(FS!P171,0,-4+E$6-B$6):OFFSET(FS!P171,0,E$6-B$6))</f>
        <v>4.91286618985727</v>
      </c>
      <c r="AI6" s="80">
        <f ca="1">OFFSET(FS!P172,0,0+E$6-B$6)</f>
        <v>0.787729998593476</v>
      </c>
      <c r="AJ6" s="80">
        <f ca="1">AVERAGE(OFFSET(FS!P172,0,-2+E$6-B$6):OFFSET(FS!P172,0,E$6-B$6))</f>
        <v>0.7705192196643</v>
      </c>
      <c r="AK6" s="80">
        <f ca="1">AVERAGE(OFFSET(FS!P172,0,-4+E$6-B$6):OFFSET(FS!P172,0,E$6-B$6))</f>
        <v>0.808087046131439</v>
      </c>
      <c r="AL6" s="80">
        <f ca="1">OFFSET(FS!P175,0,0+E$6-B$6)</f>
        <v>25.4231402690091</v>
      </c>
      <c r="AM6" s="80">
        <f ca="1">AVERAGE(OFFSET(FS!P175,0,-2+E$6-B$6):OFFSET(FS!P175,0,E$6-B$6))</f>
        <v>32.0183051197034</v>
      </c>
      <c r="AN6" s="80">
        <f ca="1">AVERAGE(OFFSET(FS!P175,0,-4+E$6-B$6):OFFSET(FS!P175,0,E$6-B$6))</f>
        <v>32.5056116127133</v>
      </c>
      <c r="AO6" s="80">
        <f ca="1">OFFSET(FS!P176,0,0+E$6-B$6)</f>
        <v>11.7041304998503</v>
      </c>
      <c r="AP6" s="80">
        <f ca="1">AVERAGE(OFFSET(FS!P176,0,-2+E$6-B$6):OFFSET(FS!P176,0,E$6-B$6))</f>
        <v>12.8948401844872</v>
      </c>
      <c r="AQ6" s="80">
        <f ca="1">AVERAGE(OFFSET(FS!P176,0,-4+E$6-B$6):OFFSET(FS!P176,0,E$6-B$6))</f>
        <v>13.9270047326544</v>
      </c>
      <c r="AR6" s="80">
        <f ca="1">OFFSET(FS!P177,0,0+E$6-B$6)</f>
        <v>3.05034802784223</v>
      </c>
      <c r="AS6" s="80">
        <f ca="1">AVERAGE(OFFSET(FS!P177,0,-2+E$6-B$6):OFFSET(FS!P177,0,E$6-B$6))</f>
        <v>3.31903569670425</v>
      </c>
      <c r="AT6" s="80">
        <f ca="1">AVERAGE(OFFSET(FS!P177,0,-4+E$6-B$6):OFFSET(FS!P177,0,E$6-B$6))</f>
        <v>3.57102273096007</v>
      </c>
      <c r="AU6" s="24">
        <f>'Sharpe, Sortino'!O23</f>
        <v>1.73176839581051</v>
      </c>
      <c r="AV6" s="24">
        <f>'Sharpe, Sortino'!P23</f>
        <v>0.505422882234219</v>
      </c>
      <c r="AW6" s="24">
        <f>'Sharpe, Sortino'!Q23</f>
        <v>0.955793907232958</v>
      </c>
      <c r="AX6" s="24">
        <f>'Sharpe, Sortino'!O40</f>
        <v>4.55993525099846</v>
      </c>
      <c r="AY6" s="24">
        <f>'Sharpe, Sortino'!P40</f>
        <v>1.01962354914882</v>
      </c>
      <c r="AZ6" s="24">
        <f>'Sharpe, Sortino'!Q40</f>
        <v>2.19275974447416</v>
      </c>
    </row>
    <row r="11" spans="3:3">
      <c r="C11" s="2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W219"/>
  <sheetViews>
    <sheetView workbookViewId="0">
      <pane xSplit="4" ySplit="3" topLeftCell="E4" activePane="bottomRight" state="frozen"/>
      <selection/>
      <selection pane="topRight"/>
      <selection pane="bottomLeft"/>
      <selection pane="bottomRight" activeCell="H218" sqref="H218"/>
    </sheetView>
    <sheetView tabSelected="1" workbookViewId="1">
      <pane xSplit="4" ySplit="4" topLeftCell="E101" activePane="bottomRight" state="frozen"/>
      <selection/>
      <selection pane="topRight"/>
      <selection pane="bottomLeft"/>
      <selection pane="bottomRight" activeCell="S117" sqref="S117"/>
    </sheetView>
  </sheetViews>
  <sheetFormatPr defaultColWidth="9.14285714285714" defaultRowHeight="15"/>
  <cols>
    <col min="2" max="3" width="6.28571428571429" customWidth="1"/>
    <col min="4" max="4" width="39.7142857142857" customWidth="1"/>
    <col min="5" max="5" width="9.14285714285714" style="28"/>
    <col min="6" max="12" width="11.7142857142857" style="29"/>
    <col min="13" max="16" width="10.5714285714286" style="29"/>
    <col min="17" max="17" width="9.14285714285714" style="28"/>
    <col min="18" max="18" width="9.14285714285714" style="29"/>
    <col min="19" max="21" width="9.14285714285714" style="30"/>
    <col min="22" max="22" width="9.14285714285714" style="29"/>
    <col min="23" max="23" width="9.14285714285714" style="28"/>
  </cols>
  <sheetData>
    <row r="1" spans="6:16">
      <c r="F1" s="31" t="s">
        <v>31</v>
      </c>
      <c r="G1" s="31"/>
      <c r="H1" s="31"/>
      <c r="I1" s="31"/>
      <c r="J1" s="31"/>
      <c r="K1" s="31"/>
      <c r="M1" s="28"/>
      <c r="N1" s="28"/>
      <c r="O1" s="28"/>
      <c r="P1" s="28"/>
    </row>
    <row r="2" s="12" customFormat="1" spans="5:23">
      <c r="E2" s="32"/>
      <c r="F2" s="32" t="s">
        <v>32</v>
      </c>
      <c r="G2" s="32"/>
      <c r="H2" s="32"/>
      <c r="I2" s="32"/>
      <c r="J2" s="32"/>
      <c r="K2" s="32"/>
      <c r="M2" s="32"/>
      <c r="N2" s="32"/>
      <c r="O2" s="32"/>
      <c r="P2" s="32"/>
      <c r="Q2" s="32"/>
      <c r="R2" s="46"/>
      <c r="S2" s="47"/>
      <c r="T2" s="47"/>
      <c r="U2" s="47" t="s">
        <v>33</v>
      </c>
      <c r="V2" s="46"/>
      <c r="W2" s="32"/>
    </row>
    <row r="3" s="12" customFormat="1" spans="5:23">
      <c r="E3" s="32"/>
      <c r="F3" s="32">
        <v>2014</v>
      </c>
      <c r="G3" s="32">
        <v>2015</v>
      </c>
      <c r="H3" s="32">
        <v>2016</v>
      </c>
      <c r="I3" s="32">
        <v>2017</v>
      </c>
      <c r="J3" s="32">
        <v>2018</v>
      </c>
      <c r="K3" s="32">
        <v>2019</v>
      </c>
      <c r="L3" s="32">
        <v>2020</v>
      </c>
      <c r="M3" s="32">
        <v>2021</v>
      </c>
      <c r="N3" s="32">
        <v>2022</v>
      </c>
      <c r="O3" s="32">
        <v>2023</v>
      </c>
      <c r="P3" s="32">
        <v>2024</v>
      </c>
      <c r="Q3" s="32"/>
      <c r="R3" s="46" t="s">
        <v>34</v>
      </c>
      <c r="S3" s="47" t="s">
        <v>35</v>
      </c>
      <c r="T3" s="47" t="s">
        <v>7</v>
      </c>
      <c r="U3" s="47" t="s">
        <v>36</v>
      </c>
      <c r="V3" s="46"/>
      <c r="W3" s="32"/>
    </row>
    <row r="5" ht="15.75" spans="2:2">
      <c r="B5" s="33" t="s">
        <v>37</v>
      </c>
    </row>
    <row r="6" spans="3:16">
      <c r="C6" t="s">
        <v>38</v>
      </c>
      <c r="F6" s="29">
        <v>80095</v>
      </c>
      <c r="G6" s="29">
        <v>93864</v>
      </c>
      <c r="H6" s="29">
        <v>86613</v>
      </c>
      <c r="I6" s="29">
        <v>96600</v>
      </c>
      <c r="J6" s="29">
        <v>112093</v>
      </c>
      <c r="K6" s="29">
        <v>116914</v>
      </c>
      <c r="L6" s="29">
        <v>124556</v>
      </c>
      <c r="M6" s="29">
        <v>153306</v>
      </c>
      <c r="N6" s="29">
        <v>169658</v>
      </c>
      <c r="O6" s="29">
        <v>162560</v>
      </c>
      <c r="P6" s="29">
        <v>167045</v>
      </c>
    </row>
    <row r="7" spans="3:16">
      <c r="C7" t="s">
        <v>39</v>
      </c>
      <c r="F7" s="34">
        <v>44285</v>
      </c>
      <c r="G7" s="34">
        <v>50337</v>
      </c>
      <c r="H7" s="29">
        <v>49952</v>
      </c>
      <c r="I7" s="29">
        <v>54938</v>
      </c>
      <c r="J7" s="29">
        <v>62420</v>
      </c>
      <c r="K7" s="29">
        <v>60288</v>
      </c>
      <c r="L7" s="29">
        <v>68640</v>
      </c>
      <c r="M7" s="29">
        <v>89307</v>
      </c>
      <c r="N7" s="29">
        <v>95118</v>
      </c>
      <c r="O7" s="29">
        <v>94294</v>
      </c>
      <c r="P7" s="29">
        <v>101328</v>
      </c>
    </row>
    <row r="8" spans="3:16">
      <c r="C8" t="s">
        <v>40</v>
      </c>
      <c r="F8" s="34">
        <v>31853</v>
      </c>
      <c r="G8" s="34">
        <v>58715</v>
      </c>
      <c r="H8" s="29">
        <v>48492</v>
      </c>
      <c r="I8" s="29">
        <v>44764</v>
      </c>
      <c r="J8" s="29">
        <v>51942</v>
      </c>
      <c r="K8" s="29">
        <v>43678</v>
      </c>
      <c r="L8" s="29">
        <v>40308</v>
      </c>
      <c r="M8" s="29">
        <v>68366</v>
      </c>
      <c r="N8" s="29">
        <v>74200</v>
      </c>
      <c r="O8" s="29">
        <v>72559</v>
      </c>
      <c r="P8" s="29">
        <v>66952</v>
      </c>
    </row>
    <row r="9" spans="3:16">
      <c r="C9" t="s">
        <v>41</v>
      </c>
      <c r="F9" s="34">
        <v>15314</v>
      </c>
      <c r="G9" s="34">
        <v>15706</v>
      </c>
      <c r="H9" s="29">
        <v>16928</v>
      </c>
      <c r="I9" s="29">
        <v>17733</v>
      </c>
      <c r="J9" s="29">
        <v>21733</v>
      </c>
      <c r="K9" s="29">
        <v>21506</v>
      </c>
      <c r="L9" s="29">
        <v>21418</v>
      </c>
      <c r="M9" s="29">
        <v>28482</v>
      </c>
      <c r="N9" s="29">
        <v>25977</v>
      </c>
      <c r="O9" s="29">
        <v>24257</v>
      </c>
      <c r="P9" s="29">
        <v>25052</v>
      </c>
    </row>
    <row r="10" spans="3:16">
      <c r="C10" t="s">
        <v>42</v>
      </c>
      <c r="F10" s="34">
        <v>11248</v>
      </c>
      <c r="G10" s="34">
        <v>15093</v>
      </c>
      <c r="H10" s="29">
        <v>13654</v>
      </c>
      <c r="I10" s="29">
        <v>15199</v>
      </c>
      <c r="J10" s="29">
        <v>17407</v>
      </c>
      <c r="K10" s="29">
        <v>17788</v>
      </c>
      <c r="L10" s="29">
        <v>19593</v>
      </c>
      <c r="M10" s="29">
        <v>26356</v>
      </c>
      <c r="N10" s="29">
        <v>29375</v>
      </c>
      <c r="O10" s="29">
        <v>29615</v>
      </c>
      <c r="P10" s="29">
        <v>30658</v>
      </c>
    </row>
    <row r="11" spans="2:16">
      <c r="B11" t="s">
        <v>43</v>
      </c>
      <c r="F11" s="35">
        <f t="shared" ref="F11:P11" si="0">SUM(F6:F10)</f>
        <v>182795</v>
      </c>
      <c r="G11" s="35">
        <f t="shared" si="0"/>
        <v>233715</v>
      </c>
      <c r="H11" s="35">
        <f t="shared" si="0"/>
        <v>215639</v>
      </c>
      <c r="I11" s="35">
        <f t="shared" si="0"/>
        <v>229234</v>
      </c>
      <c r="J11" s="35">
        <f t="shared" si="0"/>
        <v>265595</v>
      </c>
      <c r="K11" s="35">
        <f t="shared" si="0"/>
        <v>260174</v>
      </c>
      <c r="L11" s="35">
        <f t="shared" si="0"/>
        <v>274515</v>
      </c>
      <c r="M11" s="35">
        <f t="shared" si="0"/>
        <v>365817</v>
      </c>
      <c r="N11" s="35">
        <f t="shared" si="0"/>
        <v>394328</v>
      </c>
      <c r="O11" s="35">
        <f t="shared" si="0"/>
        <v>383285</v>
      </c>
      <c r="P11" s="35">
        <f t="shared" si="0"/>
        <v>391035</v>
      </c>
    </row>
    <row r="13" ht="15.75" spans="2:2">
      <c r="B13" s="33" t="s">
        <v>44</v>
      </c>
    </row>
    <row r="14" spans="3:18">
      <c r="C14" t="s">
        <v>45</v>
      </c>
      <c r="F14" s="29">
        <v>101991</v>
      </c>
      <c r="G14" s="29">
        <v>155041</v>
      </c>
      <c r="H14" s="29">
        <v>136700</v>
      </c>
      <c r="I14" s="29">
        <v>139337</v>
      </c>
      <c r="J14" s="29">
        <v>164888</v>
      </c>
      <c r="K14" s="29">
        <v>142381</v>
      </c>
      <c r="L14" s="29">
        <v>137781</v>
      </c>
      <c r="M14" s="29">
        <v>191973</v>
      </c>
      <c r="N14" s="29">
        <v>205489</v>
      </c>
      <c r="O14" s="29">
        <v>200583</v>
      </c>
      <c r="P14" s="29">
        <v>201183</v>
      </c>
      <c r="R14" s="48"/>
    </row>
    <row r="15" spans="3:18">
      <c r="C15" t="s">
        <v>46</v>
      </c>
      <c r="F15" s="29">
        <v>24079</v>
      </c>
      <c r="G15" s="29">
        <v>25471</v>
      </c>
      <c r="H15" s="29">
        <v>22831</v>
      </c>
      <c r="I15" s="29">
        <v>25569</v>
      </c>
      <c r="J15" s="29">
        <v>25198</v>
      </c>
      <c r="K15" s="29">
        <v>25740</v>
      </c>
      <c r="L15" s="29">
        <v>28622</v>
      </c>
      <c r="M15" s="29">
        <v>35190</v>
      </c>
      <c r="N15" s="29">
        <v>40177</v>
      </c>
      <c r="O15" s="29">
        <v>29357</v>
      </c>
      <c r="P15" s="29">
        <v>29984</v>
      </c>
      <c r="R15" s="48"/>
    </row>
    <row r="16" spans="3:18">
      <c r="C16" t="s">
        <v>47</v>
      </c>
      <c r="F16" s="29">
        <v>30283</v>
      </c>
      <c r="G16" s="29">
        <v>23227</v>
      </c>
      <c r="H16" s="29">
        <v>20628</v>
      </c>
      <c r="I16" s="29">
        <v>18802</v>
      </c>
      <c r="J16" s="29">
        <v>18380</v>
      </c>
      <c r="K16" s="29">
        <v>21280</v>
      </c>
      <c r="L16" s="29">
        <v>23724</v>
      </c>
      <c r="M16" s="29">
        <v>31862</v>
      </c>
      <c r="N16" s="29">
        <v>29292</v>
      </c>
      <c r="O16" s="29">
        <v>28300</v>
      </c>
      <c r="P16" s="29">
        <v>26694</v>
      </c>
      <c r="R16" s="48"/>
    </row>
    <row r="17" spans="3:18">
      <c r="C17" t="s">
        <v>48</v>
      </c>
      <c r="F17" s="29">
        <v>8379</v>
      </c>
      <c r="G17" s="29">
        <v>10067</v>
      </c>
      <c r="H17" s="29">
        <v>11132</v>
      </c>
      <c r="I17" s="29">
        <v>12826</v>
      </c>
      <c r="J17" s="29">
        <v>17381</v>
      </c>
      <c r="K17" s="29">
        <v>24482</v>
      </c>
      <c r="L17" s="29">
        <v>30620</v>
      </c>
      <c r="M17" s="29">
        <v>38367</v>
      </c>
      <c r="N17" s="29">
        <v>41241</v>
      </c>
      <c r="O17" s="29">
        <v>39845</v>
      </c>
      <c r="P17" s="29">
        <v>37005</v>
      </c>
      <c r="R17" s="48"/>
    </row>
    <row r="18" spans="3:18">
      <c r="C18" t="s">
        <v>49</v>
      </c>
      <c r="F18" s="29">
        <v>18063</v>
      </c>
      <c r="G18" s="29">
        <v>19909</v>
      </c>
      <c r="H18" s="29">
        <v>24348</v>
      </c>
      <c r="I18" s="29">
        <v>32700</v>
      </c>
      <c r="J18" s="29">
        <v>39748</v>
      </c>
      <c r="K18" s="29">
        <v>46291</v>
      </c>
      <c r="L18" s="29">
        <v>53768</v>
      </c>
      <c r="M18" s="29">
        <v>68425</v>
      </c>
      <c r="N18" s="29">
        <v>78129</v>
      </c>
      <c r="O18" s="29">
        <v>85200</v>
      </c>
      <c r="P18" s="29">
        <v>96169</v>
      </c>
      <c r="R18" s="48"/>
    </row>
    <row r="19" spans="2:18">
      <c r="B19" t="s">
        <v>43</v>
      </c>
      <c r="F19" s="35">
        <f>SUM(F14:F18)</f>
        <v>182795</v>
      </c>
      <c r="G19" s="35">
        <f t="shared" ref="G19:P19" si="1">SUM(G14:G18)</f>
        <v>233715</v>
      </c>
      <c r="H19" s="35">
        <f t="shared" si="1"/>
        <v>215639</v>
      </c>
      <c r="I19" s="35">
        <f t="shared" si="1"/>
        <v>229234</v>
      </c>
      <c r="J19" s="35">
        <f t="shared" si="1"/>
        <v>265595</v>
      </c>
      <c r="K19" s="35">
        <f t="shared" si="1"/>
        <v>260174</v>
      </c>
      <c r="L19" s="35">
        <f t="shared" si="1"/>
        <v>274515</v>
      </c>
      <c r="M19" s="35">
        <f t="shared" si="1"/>
        <v>365817</v>
      </c>
      <c r="N19" s="35">
        <f t="shared" si="1"/>
        <v>394328</v>
      </c>
      <c r="O19" s="35">
        <f t="shared" si="1"/>
        <v>383285</v>
      </c>
      <c r="P19" s="35">
        <f t="shared" si="1"/>
        <v>391035</v>
      </c>
      <c r="R19" s="49"/>
    </row>
    <row r="20" spans="18:18">
      <c r="R20" s="50"/>
    </row>
    <row r="21" ht="15.75" spans="2:18">
      <c r="B21" s="33" t="s">
        <v>50</v>
      </c>
      <c r="R21" s="50"/>
    </row>
    <row r="22" spans="3:22">
      <c r="C22" t="s">
        <v>38</v>
      </c>
      <c r="F22" s="34">
        <v>26158</v>
      </c>
      <c r="G22" s="34">
        <v>31186</v>
      </c>
      <c r="H22" s="34">
        <v>28172</v>
      </c>
      <c r="I22" s="34">
        <v>30684</v>
      </c>
      <c r="J22" s="34">
        <v>34864</v>
      </c>
      <c r="K22" s="34">
        <v>35099</v>
      </c>
      <c r="L22" s="29">
        <v>37722</v>
      </c>
      <c r="M22" s="29">
        <v>53382</v>
      </c>
      <c r="N22" s="29">
        <v>62683</v>
      </c>
      <c r="O22" s="29">
        <v>60508</v>
      </c>
      <c r="P22" s="29">
        <v>67656</v>
      </c>
      <c r="R22" s="51"/>
      <c r="S22" s="47"/>
      <c r="T22" s="47"/>
      <c r="U22" s="47"/>
      <c r="V22" s="46"/>
    </row>
    <row r="23" spans="3:22">
      <c r="C23" t="s">
        <v>39</v>
      </c>
      <c r="F23" s="34">
        <v>14434</v>
      </c>
      <c r="G23" s="34">
        <v>16527</v>
      </c>
      <c r="H23" s="34">
        <v>15348</v>
      </c>
      <c r="I23" s="34">
        <v>16514</v>
      </c>
      <c r="J23" s="34">
        <v>19955</v>
      </c>
      <c r="K23" s="34">
        <v>19195</v>
      </c>
      <c r="L23" s="29">
        <v>22170</v>
      </c>
      <c r="M23" s="29">
        <v>32505</v>
      </c>
      <c r="N23" s="29">
        <v>35233</v>
      </c>
      <c r="O23" s="29">
        <v>36098</v>
      </c>
      <c r="P23" s="29">
        <v>41790</v>
      </c>
      <c r="R23" s="46"/>
      <c r="S23" s="47"/>
      <c r="T23" s="47"/>
      <c r="U23" s="47"/>
      <c r="V23" s="46"/>
    </row>
    <row r="24" spans="3:16">
      <c r="C24" t="s">
        <v>40</v>
      </c>
      <c r="F24" s="29">
        <v>11039</v>
      </c>
      <c r="G24" s="29">
        <v>23002</v>
      </c>
      <c r="H24" s="29">
        <v>18835</v>
      </c>
      <c r="I24" s="29">
        <v>17032</v>
      </c>
      <c r="J24" s="29">
        <v>19742</v>
      </c>
      <c r="K24" s="29">
        <v>16232</v>
      </c>
      <c r="L24" s="29">
        <v>15261</v>
      </c>
      <c r="M24" s="29">
        <v>28504</v>
      </c>
      <c r="N24" s="29">
        <v>31153</v>
      </c>
      <c r="O24" s="29">
        <v>30328</v>
      </c>
      <c r="P24" s="29">
        <v>27082</v>
      </c>
    </row>
    <row r="25" spans="3:16">
      <c r="C25" t="s">
        <v>41</v>
      </c>
      <c r="F25" s="29">
        <v>6904</v>
      </c>
      <c r="G25" s="29">
        <v>7617</v>
      </c>
      <c r="H25" s="29">
        <v>7165</v>
      </c>
      <c r="I25" s="29">
        <v>8097</v>
      </c>
      <c r="J25" s="29">
        <v>9500</v>
      </c>
      <c r="K25" s="29">
        <v>9369</v>
      </c>
      <c r="L25" s="29">
        <v>9279</v>
      </c>
      <c r="M25" s="29">
        <v>12798</v>
      </c>
      <c r="N25" s="29">
        <v>12257</v>
      </c>
      <c r="O25" s="29">
        <v>11888</v>
      </c>
      <c r="P25" s="29">
        <v>12454</v>
      </c>
    </row>
    <row r="26" spans="3:16">
      <c r="C26" t="s">
        <v>42</v>
      </c>
      <c r="F26" s="29">
        <v>3674</v>
      </c>
      <c r="G26" s="29">
        <v>5518</v>
      </c>
      <c r="H26" s="29">
        <v>4781</v>
      </c>
      <c r="I26" s="29">
        <v>5304</v>
      </c>
      <c r="J26" s="29">
        <v>6181</v>
      </c>
      <c r="K26" s="29">
        <v>6055</v>
      </c>
      <c r="L26" s="29">
        <v>6808</v>
      </c>
      <c r="M26" s="29">
        <v>9817</v>
      </c>
      <c r="N26" s="29">
        <v>11569</v>
      </c>
      <c r="O26" s="29">
        <v>12066</v>
      </c>
      <c r="P26" s="29">
        <v>13062</v>
      </c>
    </row>
    <row r="27" spans="2:16">
      <c r="B27" t="s">
        <v>51</v>
      </c>
      <c r="F27" s="35">
        <f t="shared" ref="F27:P27" si="2">SUM(F22:F26)</f>
        <v>62209</v>
      </c>
      <c r="G27" s="35">
        <f t="shared" si="2"/>
        <v>83850</v>
      </c>
      <c r="H27" s="35">
        <f t="shared" si="2"/>
        <v>74301</v>
      </c>
      <c r="I27" s="35">
        <f t="shared" si="2"/>
        <v>77631</v>
      </c>
      <c r="J27" s="35">
        <f t="shared" si="2"/>
        <v>90242</v>
      </c>
      <c r="K27" s="35">
        <f t="shared" si="2"/>
        <v>85950</v>
      </c>
      <c r="L27" s="35">
        <f t="shared" si="2"/>
        <v>91240</v>
      </c>
      <c r="M27" s="35">
        <f t="shared" si="2"/>
        <v>137006</v>
      </c>
      <c r="N27" s="35">
        <f t="shared" si="2"/>
        <v>152895</v>
      </c>
      <c r="O27" s="35">
        <f t="shared" si="2"/>
        <v>150888</v>
      </c>
      <c r="P27" s="35">
        <f t="shared" si="2"/>
        <v>162044</v>
      </c>
    </row>
    <row r="28" spans="3:16">
      <c r="C28" t="s">
        <v>52</v>
      </c>
      <c r="F28" s="29">
        <v>-6041</v>
      </c>
      <c r="G28" s="29">
        <v>-8067</v>
      </c>
      <c r="H28" s="29">
        <v>-10045</v>
      </c>
      <c r="I28" s="29">
        <v>-11581</v>
      </c>
      <c r="J28" s="29">
        <v>-14236</v>
      </c>
      <c r="K28" s="29">
        <v>-16217</v>
      </c>
      <c r="L28" s="29">
        <v>-18752</v>
      </c>
      <c r="M28" s="29">
        <v>-21914</v>
      </c>
      <c r="N28" s="29">
        <v>-26251</v>
      </c>
      <c r="O28" s="29">
        <v>-29915</v>
      </c>
      <c r="P28" s="29">
        <v>-31370</v>
      </c>
    </row>
    <row r="29" spans="3:16">
      <c r="C29" t="s">
        <v>53</v>
      </c>
      <c r="F29" s="29">
        <v>-3665</v>
      </c>
      <c r="G29" s="29">
        <v>-4553</v>
      </c>
      <c r="H29" s="29">
        <v>-4232</v>
      </c>
      <c r="I29" s="29">
        <v>-4706</v>
      </c>
      <c r="J29" s="29">
        <v>-5108</v>
      </c>
      <c r="K29" s="29">
        <v>-5803</v>
      </c>
      <c r="L29" s="29">
        <v>-6200</v>
      </c>
      <c r="M29" s="29">
        <v>-6143</v>
      </c>
      <c r="N29" s="29">
        <v>-7207</v>
      </c>
      <c r="O29" s="29">
        <v>-6672</v>
      </c>
      <c r="P29" s="29">
        <v>-7458</v>
      </c>
    </row>
    <row r="30" spans="2:16">
      <c r="B30" t="s">
        <v>54</v>
      </c>
      <c r="F30" s="35">
        <f t="shared" ref="F30:P30" si="3">SUM(F27:F29)</f>
        <v>52503</v>
      </c>
      <c r="G30" s="35">
        <f t="shared" si="3"/>
        <v>71230</v>
      </c>
      <c r="H30" s="35">
        <f t="shared" si="3"/>
        <v>60024</v>
      </c>
      <c r="I30" s="35">
        <f t="shared" si="3"/>
        <v>61344</v>
      </c>
      <c r="J30" s="35">
        <f t="shared" si="3"/>
        <v>70898</v>
      </c>
      <c r="K30" s="35">
        <f t="shared" si="3"/>
        <v>63930</v>
      </c>
      <c r="L30" s="35">
        <f t="shared" si="3"/>
        <v>66288</v>
      </c>
      <c r="M30" s="35">
        <f t="shared" si="3"/>
        <v>108949</v>
      </c>
      <c r="N30" s="35">
        <f t="shared" si="3"/>
        <v>119437</v>
      </c>
      <c r="O30" s="35">
        <f t="shared" si="3"/>
        <v>114301</v>
      </c>
      <c r="P30" s="35">
        <f t="shared" si="3"/>
        <v>123216</v>
      </c>
    </row>
    <row r="32" spans="6:16">
      <c r="F32" s="36">
        <f t="shared" ref="F32:P32" si="4">F95</f>
        <v>52503</v>
      </c>
      <c r="G32" s="36">
        <f t="shared" si="4"/>
        <v>71230</v>
      </c>
      <c r="H32" s="36">
        <f t="shared" si="4"/>
        <v>60024</v>
      </c>
      <c r="I32" s="36">
        <f t="shared" si="4"/>
        <v>61344</v>
      </c>
      <c r="J32" s="36">
        <f t="shared" si="4"/>
        <v>70898</v>
      </c>
      <c r="K32" s="36">
        <f t="shared" si="4"/>
        <v>63930</v>
      </c>
      <c r="L32" s="36">
        <f t="shared" si="4"/>
        <v>66288</v>
      </c>
      <c r="M32" s="36">
        <f t="shared" si="4"/>
        <v>108949</v>
      </c>
      <c r="N32" s="36">
        <f t="shared" si="4"/>
        <v>119437</v>
      </c>
      <c r="O32" s="36">
        <f t="shared" si="4"/>
        <v>114301</v>
      </c>
      <c r="P32" s="36">
        <f t="shared" si="4"/>
        <v>123216</v>
      </c>
    </row>
    <row r="34" ht="15.75" spans="3:4">
      <c r="C34" s="37" t="s">
        <v>55</v>
      </c>
      <c r="D34" s="38"/>
    </row>
    <row r="35" spans="3:18">
      <c r="C35" s="38" t="s">
        <v>38</v>
      </c>
      <c r="D35" s="38"/>
      <c r="F35" s="39">
        <f t="shared" ref="F35:P35" si="5">F6/F$11*100</f>
        <v>43.81684400558</v>
      </c>
      <c r="G35" s="39">
        <f t="shared" si="5"/>
        <v>40.1617354470188</v>
      </c>
      <c r="H35" s="39">
        <f t="shared" si="5"/>
        <v>40.1657399635502</v>
      </c>
      <c r="I35" s="39">
        <f t="shared" si="5"/>
        <v>42.1403456729805</v>
      </c>
      <c r="J35" s="39">
        <f t="shared" si="5"/>
        <v>42.2044842711647</v>
      </c>
      <c r="K35" s="39">
        <f t="shared" si="5"/>
        <v>44.9368499542614</v>
      </c>
      <c r="L35" s="39">
        <f t="shared" si="5"/>
        <v>45.373112580369</v>
      </c>
      <c r="M35" s="39">
        <f t="shared" si="5"/>
        <v>41.9078391654844</v>
      </c>
      <c r="N35" s="39">
        <f t="shared" si="5"/>
        <v>43.0245886673023</v>
      </c>
      <c r="O35" s="39">
        <f t="shared" si="5"/>
        <v>42.4123041600897</v>
      </c>
      <c r="P35" s="39">
        <f t="shared" si="5"/>
        <v>42.7186824708786</v>
      </c>
      <c r="R35" s="41">
        <f>AVERAGEIF(E35:Q35,"&lt;&gt;0")</f>
        <v>42.6238660326072</v>
      </c>
    </row>
    <row r="36" spans="3:18">
      <c r="C36" s="38" t="s">
        <v>39</v>
      </c>
      <c r="D36" s="38"/>
      <c r="F36" s="39">
        <f t="shared" ref="F36:P36" si="6">F7/F$11*100</f>
        <v>24.2265926310895</v>
      </c>
      <c r="G36" s="39">
        <f t="shared" si="6"/>
        <v>21.5377703613375</v>
      </c>
      <c r="H36" s="39">
        <f t="shared" si="6"/>
        <v>23.1646409044746</v>
      </c>
      <c r="I36" s="39">
        <f t="shared" si="6"/>
        <v>23.9659038362547</v>
      </c>
      <c r="J36" s="39">
        <f t="shared" si="6"/>
        <v>23.501948455355</v>
      </c>
      <c r="K36" s="39">
        <f t="shared" si="6"/>
        <v>23.1721847686548</v>
      </c>
      <c r="L36" s="39">
        <f t="shared" si="6"/>
        <v>25.0040981367138</v>
      </c>
      <c r="M36" s="39">
        <f t="shared" si="6"/>
        <v>24.4130261852238</v>
      </c>
      <c r="N36" s="39">
        <f t="shared" si="6"/>
        <v>24.1215434866406</v>
      </c>
      <c r="O36" s="39">
        <f t="shared" si="6"/>
        <v>24.6015367154989</v>
      </c>
      <c r="P36" s="39">
        <f t="shared" si="6"/>
        <v>25.9127699566535</v>
      </c>
      <c r="R36" s="41">
        <f>AVERAGEIF(E36:Q36,"&lt;&gt;0")</f>
        <v>23.9656377670815</v>
      </c>
    </row>
    <row r="37" spans="3:18">
      <c r="C37" s="38" t="s">
        <v>40</v>
      </c>
      <c r="D37" s="38"/>
      <c r="F37" s="39">
        <f t="shared" ref="F37:P37" si="7">F8/F$11*100</f>
        <v>17.4255313329139</v>
      </c>
      <c r="G37" s="39">
        <f t="shared" si="7"/>
        <v>25.1224782320347</v>
      </c>
      <c r="H37" s="39">
        <f t="shared" si="7"/>
        <v>22.4875834148739</v>
      </c>
      <c r="I37" s="39">
        <f t="shared" si="7"/>
        <v>19.5276442412557</v>
      </c>
      <c r="J37" s="39">
        <f t="shared" si="7"/>
        <v>19.5568440670946</v>
      </c>
      <c r="K37" s="39">
        <f t="shared" si="7"/>
        <v>16.7879957259373</v>
      </c>
      <c r="L37" s="39">
        <f t="shared" si="7"/>
        <v>14.6833506365772</v>
      </c>
      <c r="M37" s="39">
        <f t="shared" si="7"/>
        <v>18.6885792623087</v>
      </c>
      <c r="N37" s="39">
        <f t="shared" si="7"/>
        <v>18.8168225436692</v>
      </c>
      <c r="O37" s="39">
        <f t="shared" si="7"/>
        <v>18.9308217123029</v>
      </c>
      <c r="P37" s="39">
        <f t="shared" si="7"/>
        <v>17.1217410206248</v>
      </c>
      <c r="R37" s="41">
        <f>AVERAGEIF(E37:Q37,"&lt;&gt;0")</f>
        <v>19.0135811081448</v>
      </c>
    </row>
    <row r="38" spans="3:18">
      <c r="C38" s="38" t="s">
        <v>41</v>
      </c>
      <c r="D38" s="38"/>
      <c r="F38" s="39">
        <f t="shared" ref="F38:P38" si="8">F9/F$11*100</f>
        <v>8.3776908558768</v>
      </c>
      <c r="G38" s="39">
        <f t="shared" si="8"/>
        <v>6.72015061078664</v>
      </c>
      <c r="H38" s="39">
        <f t="shared" si="8"/>
        <v>7.85015697531523</v>
      </c>
      <c r="I38" s="39">
        <f t="shared" si="8"/>
        <v>7.73576345568284</v>
      </c>
      <c r="J38" s="39">
        <f t="shared" si="8"/>
        <v>8.18275946459836</v>
      </c>
      <c r="K38" s="39">
        <f t="shared" si="8"/>
        <v>8.26600659558603</v>
      </c>
      <c r="L38" s="39">
        <f t="shared" si="8"/>
        <v>7.80212374551482</v>
      </c>
      <c r="M38" s="39">
        <f t="shared" si="8"/>
        <v>7.78586014318635</v>
      </c>
      <c r="N38" s="39">
        <f t="shared" si="8"/>
        <v>6.58766306222231</v>
      </c>
      <c r="O38" s="39">
        <f t="shared" si="8"/>
        <v>6.32871101138839</v>
      </c>
      <c r="P38" s="39">
        <f t="shared" si="8"/>
        <v>6.40658764560717</v>
      </c>
      <c r="R38" s="41">
        <f>AVERAGEIF(E38:Q38,"&lt;&gt;0")</f>
        <v>7.45849759688772</v>
      </c>
    </row>
    <row r="39" spans="3:18">
      <c r="C39" s="38" t="s">
        <v>42</v>
      </c>
      <c r="D39" s="38"/>
      <c r="F39" s="39">
        <f t="shared" ref="F39:P39" si="9">F10/F$11*100</f>
        <v>6.15334117453979</v>
      </c>
      <c r="G39" s="39">
        <f t="shared" si="9"/>
        <v>6.45786534882228</v>
      </c>
      <c r="H39" s="39">
        <f t="shared" si="9"/>
        <v>6.33187874178604</v>
      </c>
      <c r="I39" s="39">
        <f t="shared" si="9"/>
        <v>6.6303427938264</v>
      </c>
      <c r="J39" s="39">
        <f t="shared" si="9"/>
        <v>6.55396374178731</v>
      </c>
      <c r="K39" s="39">
        <f t="shared" si="9"/>
        <v>6.83696295556051</v>
      </c>
      <c r="L39" s="39">
        <f t="shared" si="9"/>
        <v>7.13731490082509</v>
      </c>
      <c r="M39" s="39">
        <f t="shared" si="9"/>
        <v>7.20469524379676</v>
      </c>
      <c r="N39" s="39">
        <f t="shared" si="9"/>
        <v>7.44938224016555</v>
      </c>
      <c r="O39" s="39">
        <f t="shared" si="9"/>
        <v>7.72662640072009</v>
      </c>
      <c r="P39" s="39">
        <f t="shared" si="9"/>
        <v>7.84021890623601</v>
      </c>
      <c r="R39" s="41">
        <f>AVERAGEIF(E39:Q39,"&lt;&gt;0")</f>
        <v>6.93841749527871</v>
      </c>
    </row>
    <row r="40" spans="6:16">
      <c r="F40" s="40">
        <f t="shared" ref="F40:P40" si="10">SUM(F35:F39)</f>
        <v>100</v>
      </c>
      <c r="G40" s="40">
        <f t="shared" si="10"/>
        <v>100</v>
      </c>
      <c r="H40" s="40">
        <f t="shared" si="10"/>
        <v>100</v>
      </c>
      <c r="I40" s="40">
        <f t="shared" si="10"/>
        <v>100</v>
      </c>
      <c r="J40" s="40">
        <f t="shared" si="10"/>
        <v>100</v>
      </c>
      <c r="K40" s="40">
        <f t="shared" si="10"/>
        <v>100</v>
      </c>
      <c r="L40" s="40">
        <f t="shared" si="10"/>
        <v>100</v>
      </c>
      <c r="M40" s="40">
        <f t="shared" si="10"/>
        <v>100</v>
      </c>
      <c r="N40" s="40">
        <f t="shared" si="10"/>
        <v>100</v>
      </c>
      <c r="O40" s="40">
        <f t="shared" si="10"/>
        <v>100</v>
      </c>
      <c r="P40" s="40">
        <f t="shared" si="10"/>
        <v>100</v>
      </c>
    </row>
    <row r="41" spans="6:16">
      <c r="F41" s="41"/>
      <c r="G41" s="41"/>
      <c r="H41" s="41"/>
      <c r="I41" s="41"/>
      <c r="J41" s="41"/>
      <c r="K41" s="41"/>
      <c r="L41" s="41"/>
      <c r="M41" s="41"/>
      <c r="N41" s="41"/>
      <c r="O41" s="41"/>
      <c r="P41" s="41"/>
    </row>
    <row r="42" ht="15.75" spans="3:4">
      <c r="C42" s="37" t="s">
        <v>56</v>
      </c>
      <c r="D42" s="38"/>
    </row>
    <row r="43" spans="3:18">
      <c r="C43" s="38" t="s">
        <v>45</v>
      </c>
      <c r="D43" s="38"/>
      <c r="F43" s="39">
        <f t="shared" ref="F43:P43" si="11">F14/F$19*100</f>
        <v>55.7952898055198</v>
      </c>
      <c r="G43" s="39">
        <f t="shared" si="11"/>
        <v>66.3376334424406</v>
      </c>
      <c r="H43" s="39">
        <f t="shared" si="11"/>
        <v>63.3929854989125</v>
      </c>
      <c r="I43" s="39">
        <f t="shared" si="11"/>
        <v>60.7837406318434</v>
      </c>
      <c r="J43" s="39">
        <f t="shared" si="11"/>
        <v>62.0824940228543</v>
      </c>
      <c r="K43" s="39">
        <f t="shared" si="11"/>
        <v>54.7252992228278</v>
      </c>
      <c r="L43" s="39">
        <f t="shared" si="11"/>
        <v>50.1906999617507</v>
      </c>
      <c r="M43" s="39">
        <f t="shared" si="11"/>
        <v>52.477878283404</v>
      </c>
      <c r="N43" s="39">
        <f t="shared" si="11"/>
        <v>52.1111866263618</v>
      </c>
      <c r="O43" s="39">
        <f t="shared" si="11"/>
        <v>52.3325984580664</v>
      </c>
      <c r="P43" s="39">
        <f t="shared" si="11"/>
        <v>51.4488472898845</v>
      </c>
      <c r="R43" s="41">
        <f>AVERAGEIF(E43:Q43,"&lt;&gt;0")</f>
        <v>56.5162412039878</v>
      </c>
    </row>
    <row r="44" spans="3:18">
      <c r="C44" s="38" t="s">
        <v>46</v>
      </c>
      <c r="D44" s="38"/>
      <c r="F44" s="39">
        <f t="shared" ref="F44:P44" si="12">F15/F$19*100</f>
        <v>13.1726797778933</v>
      </c>
      <c r="G44" s="39">
        <f t="shared" si="12"/>
        <v>10.8983163254391</v>
      </c>
      <c r="H44" s="39">
        <f t="shared" si="12"/>
        <v>10.5876024281322</v>
      </c>
      <c r="I44" s="39">
        <f t="shared" si="12"/>
        <v>11.1541045394662</v>
      </c>
      <c r="J44" s="39">
        <f t="shared" si="12"/>
        <v>9.48737739791788</v>
      </c>
      <c r="K44" s="39">
        <f t="shared" si="12"/>
        <v>9.89337904633053</v>
      </c>
      <c r="L44" s="39">
        <f t="shared" si="12"/>
        <v>10.4263883576489</v>
      </c>
      <c r="M44" s="39">
        <f t="shared" si="12"/>
        <v>9.61956388030081</v>
      </c>
      <c r="N44" s="39">
        <f t="shared" si="12"/>
        <v>10.1887261366172</v>
      </c>
      <c r="O44" s="39">
        <f t="shared" si="12"/>
        <v>7.65931356562349</v>
      </c>
      <c r="P44" s="39">
        <f t="shared" si="12"/>
        <v>7.66785581853287</v>
      </c>
      <c r="R44" s="41">
        <f>AVERAGEIF(E44:Q44,"&lt;&gt;0")</f>
        <v>10.0686642976275</v>
      </c>
    </row>
    <row r="45" spans="3:18">
      <c r="C45" s="38" t="s">
        <v>47</v>
      </c>
      <c r="D45" s="38"/>
      <c r="F45" s="39">
        <f t="shared" ref="F45:P45" si="13">F16/F$19*100</f>
        <v>16.5666456959983</v>
      </c>
      <c r="G45" s="39">
        <f t="shared" si="13"/>
        <v>9.93817256059731</v>
      </c>
      <c r="H45" s="39">
        <f t="shared" si="13"/>
        <v>9.56598759964571</v>
      </c>
      <c r="I45" s="39">
        <f t="shared" si="13"/>
        <v>8.20209916504533</v>
      </c>
      <c r="J45" s="39">
        <f t="shared" si="13"/>
        <v>6.92031099983057</v>
      </c>
      <c r="K45" s="39">
        <f t="shared" si="13"/>
        <v>8.1791416513564</v>
      </c>
      <c r="L45" s="39">
        <f t="shared" si="13"/>
        <v>8.64215070214742</v>
      </c>
      <c r="M45" s="39">
        <f t="shared" si="13"/>
        <v>8.7098193905696</v>
      </c>
      <c r="N45" s="39">
        <f t="shared" si="13"/>
        <v>7.42833377289972</v>
      </c>
      <c r="O45" s="39">
        <f t="shared" si="13"/>
        <v>7.38353966369673</v>
      </c>
      <c r="P45" s="39">
        <f t="shared" si="13"/>
        <v>6.82649890674748</v>
      </c>
      <c r="R45" s="41">
        <f>AVERAGEIF(E45:Q45,"&lt;&gt;0")</f>
        <v>8.94206364623041</v>
      </c>
    </row>
    <row r="46" spans="3:18">
      <c r="C46" s="38" t="s">
        <v>48</v>
      </c>
      <c r="D46" s="38"/>
      <c r="F46" s="39">
        <f t="shared" ref="F46:P46" si="14">F17/F$19*100</f>
        <v>4.58382340873656</v>
      </c>
      <c r="G46" s="39">
        <f t="shared" si="14"/>
        <v>4.30738292364632</v>
      </c>
      <c r="H46" s="39">
        <f t="shared" si="14"/>
        <v>5.16233148920186</v>
      </c>
      <c r="I46" s="39">
        <f t="shared" si="14"/>
        <v>5.59515604142492</v>
      </c>
      <c r="J46" s="39">
        <f t="shared" si="14"/>
        <v>6.54417440087351</v>
      </c>
      <c r="K46" s="39">
        <f t="shared" si="14"/>
        <v>9.40985648066294</v>
      </c>
      <c r="L46" s="39">
        <f t="shared" si="14"/>
        <v>11.1542174380271</v>
      </c>
      <c r="M46" s="39">
        <f t="shared" si="14"/>
        <v>10.4880309006962</v>
      </c>
      <c r="N46" s="39">
        <f t="shared" si="14"/>
        <v>10.4585522712057</v>
      </c>
      <c r="O46" s="39">
        <f t="shared" si="14"/>
        <v>10.3956585830387</v>
      </c>
      <c r="P46" s="39">
        <f t="shared" si="14"/>
        <v>9.46334727070467</v>
      </c>
      <c r="R46" s="41">
        <f>AVERAGEIF(E46:Q46,"&lt;&gt;0")</f>
        <v>7.96023010983805</v>
      </c>
    </row>
    <row r="47" spans="3:18">
      <c r="C47" s="38" t="s">
        <v>49</v>
      </c>
      <c r="D47" s="38"/>
      <c r="F47" s="39">
        <f t="shared" ref="F47:P47" si="15">F18/F$19*100</f>
        <v>9.88156131185207</v>
      </c>
      <c r="G47" s="39">
        <f t="shared" si="15"/>
        <v>8.51849474787669</v>
      </c>
      <c r="H47" s="39">
        <f t="shared" si="15"/>
        <v>11.2910929841077</v>
      </c>
      <c r="I47" s="39">
        <f t="shared" si="15"/>
        <v>14.2648996222201</v>
      </c>
      <c r="J47" s="39">
        <f t="shared" si="15"/>
        <v>14.9656431785237</v>
      </c>
      <c r="K47" s="39">
        <f t="shared" si="15"/>
        <v>17.7923235988223</v>
      </c>
      <c r="L47" s="39">
        <f t="shared" si="15"/>
        <v>19.5865435404258</v>
      </c>
      <c r="M47" s="39">
        <f t="shared" si="15"/>
        <v>18.7047075450293</v>
      </c>
      <c r="N47" s="39">
        <f t="shared" si="15"/>
        <v>19.8132011929155</v>
      </c>
      <c r="O47" s="39">
        <f t="shared" si="15"/>
        <v>22.2288897295746</v>
      </c>
      <c r="P47" s="39">
        <f t="shared" si="15"/>
        <v>24.5934507141304</v>
      </c>
      <c r="R47" s="41">
        <f>AVERAGEIF(E47:Q47,"&lt;&gt;0")</f>
        <v>16.5128007423162</v>
      </c>
    </row>
    <row r="48" s="19" customFormat="1" spans="5:23">
      <c r="E48" s="39"/>
      <c r="F48" s="40">
        <f t="shared" ref="F48:P48" si="16">SUM(F43:F47)</f>
        <v>100</v>
      </c>
      <c r="G48" s="40">
        <f t="shared" si="16"/>
        <v>100</v>
      </c>
      <c r="H48" s="40">
        <f t="shared" si="16"/>
        <v>100</v>
      </c>
      <c r="I48" s="40">
        <f t="shared" si="16"/>
        <v>100</v>
      </c>
      <c r="J48" s="40">
        <f t="shared" si="16"/>
        <v>100</v>
      </c>
      <c r="K48" s="40">
        <f t="shared" si="16"/>
        <v>100</v>
      </c>
      <c r="L48" s="40">
        <f t="shared" si="16"/>
        <v>100</v>
      </c>
      <c r="M48" s="40">
        <f t="shared" si="16"/>
        <v>100</v>
      </c>
      <c r="N48" s="40">
        <f t="shared" si="16"/>
        <v>100</v>
      </c>
      <c r="O48" s="40">
        <f t="shared" si="16"/>
        <v>100</v>
      </c>
      <c r="P48" s="40">
        <f t="shared" si="16"/>
        <v>100</v>
      </c>
      <c r="Q48" s="39"/>
      <c r="R48" s="39"/>
      <c r="S48" s="39"/>
      <c r="T48" s="39"/>
      <c r="U48" s="39"/>
      <c r="V48" s="39"/>
      <c r="W48" s="39"/>
    </row>
    <row r="49" s="19" customFormat="1" spans="5:23">
      <c r="E49" s="39"/>
      <c r="F49" s="41"/>
      <c r="G49" s="41"/>
      <c r="H49" s="41"/>
      <c r="I49" s="41"/>
      <c r="J49" s="41"/>
      <c r="K49" s="41"/>
      <c r="L49" s="41"/>
      <c r="M49" s="41"/>
      <c r="N49" s="41"/>
      <c r="O49" s="41"/>
      <c r="P49" s="41"/>
      <c r="Q49" s="41"/>
      <c r="R49" s="41"/>
      <c r="S49" s="39"/>
      <c r="T49" s="39"/>
      <c r="U49" s="39"/>
      <c r="V49" s="39"/>
      <c r="W49" s="39"/>
    </row>
    <row r="50" s="19" customFormat="1" ht="15.75" spans="3:23">
      <c r="C50" s="37" t="s">
        <v>57</v>
      </c>
      <c r="D50" s="42"/>
      <c r="E50" s="39"/>
      <c r="F50" s="41"/>
      <c r="G50" s="41"/>
      <c r="H50" s="41"/>
      <c r="I50" s="41"/>
      <c r="J50" s="41"/>
      <c r="K50" s="41"/>
      <c r="L50" s="41"/>
      <c r="M50" s="41"/>
      <c r="N50" s="41"/>
      <c r="O50" s="41"/>
      <c r="P50" s="41"/>
      <c r="Q50" s="41"/>
      <c r="R50" s="41"/>
      <c r="S50" s="39"/>
      <c r="T50" s="39"/>
      <c r="U50" s="39"/>
      <c r="V50" s="39"/>
      <c r="W50" s="39"/>
    </row>
    <row r="51" s="19" customFormat="1" spans="3:23">
      <c r="C51" s="38" t="s">
        <v>38</v>
      </c>
      <c r="D51" s="42"/>
      <c r="E51" s="39"/>
      <c r="F51" s="41"/>
      <c r="G51" s="43">
        <f t="shared" ref="G51:P51" si="17">(G6-F6)/ABS(F6)*100</f>
        <v>17.1908358823897</v>
      </c>
      <c r="H51" s="43">
        <f t="shared" si="17"/>
        <v>-7.72500639222705</v>
      </c>
      <c r="I51" s="43">
        <f t="shared" si="17"/>
        <v>11.5306016417859</v>
      </c>
      <c r="J51" s="43">
        <f t="shared" si="17"/>
        <v>16.0383022774327</v>
      </c>
      <c r="K51" s="43">
        <f t="shared" si="17"/>
        <v>4.30089300848403</v>
      </c>
      <c r="L51" s="43">
        <f t="shared" si="17"/>
        <v>6.53642848589562</v>
      </c>
      <c r="M51" s="43">
        <f t="shared" si="17"/>
        <v>23.0819872186005</v>
      </c>
      <c r="N51" s="43">
        <f t="shared" si="17"/>
        <v>10.6662492009445</v>
      </c>
      <c r="O51" s="43">
        <f t="shared" si="17"/>
        <v>-4.18371075929222</v>
      </c>
      <c r="P51" s="43">
        <f t="shared" si="17"/>
        <v>2.7589812992126</v>
      </c>
      <c r="Q51" s="41"/>
      <c r="R51" s="41">
        <f>AVERAGEIF(E51:Q51,"&lt;&gt;0")</f>
        <v>8.01955618632262</v>
      </c>
      <c r="S51" s="39"/>
      <c r="T51" s="39"/>
      <c r="U51" s="39"/>
      <c r="V51" s="39"/>
      <c r="W51" s="39"/>
    </row>
    <row r="52" s="19" customFormat="1" spans="3:23">
      <c r="C52" s="38" t="s">
        <v>39</v>
      </c>
      <c r="D52" s="42"/>
      <c r="E52" s="39"/>
      <c r="F52" s="41"/>
      <c r="G52" s="43">
        <f t="shared" ref="G52:P52" si="18">(G7-F7)/ABS(F7)*100</f>
        <v>13.6660268714012</v>
      </c>
      <c r="H52" s="43">
        <f t="shared" si="18"/>
        <v>-0.764844945070227</v>
      </c>
      <c r="I52" s="43">
        <f t="shared" si="18"/>
        <v>9.98158231902626</v>
      </c>
      <c r="J52" s="43">
        <f t="shared" si="18"/>
        <v>13.6189886781463</v>
      </c>
      <c r="K52" s="43">
        <f t="shared" si="18"/>
        <v>-3.41557193207305</v>
      </c>
      <c r="L52" s="43">
        <f t="shared" si="18"/>
        <v>13.8535031847134</v>
      </c>
      <c r="M52" s="43">
        <f t="shared" si="18"/>
        <v>30.1092657342657</v>
      </c>
      <c r="N52" s="43">
        <f t="shared" si="18"/>
        <v>6.50676878632134</v>
      </c>
      <c r="O52" s="43">
        <f t="shared" si="18"/>
        <v>-0.866292394709729</v>
      </c>
      <c r="P52" s="43">
        <f t="shared" si="18"/>
        <v>7.459647485524</v>
      </c>
      <c r="Q52" s="41"/>
      <c r="R52" s="41">
        <f>AVERAGEIF(E52:Q52,"&lt;&gt;0")</f>
        <v>9.01490737875451</v>
      </c>
      <c r="S52" s="39"/>
      <c r="T52" s="39"/>
      <c r="U52" s="39"/>
      <c r="V52" s="39"/>
      <c r="W52" s="39"/>
    </row>
    <row r="53" s="19" customFormat="1" spans="3:23">
      <c r="C53" s="38" t="s">
        <v>40</v>
      </c>
      <c r="D53" s="42"/>
      <c r="E53" s="39"/>
      <c r="F53" s="41"/>
      <c r="G53" s="43">
        <f t="shared" ref="G53:P53" si="19">(G8-F8)/ABS(F8)*100</f>
        <v>84.3311462028694</v>
      </c>
      <c r="H53" s="43">
        <f t="shared" si="19"/>
        <v>-17.4112237077408</v>
      </c>
      <c r="I53" s="43">
        <f t="shared" si="19"/>
        <v>-7.68786603975914</v>
      </c>
      <c r="J53" s="43">
        <f t="shared" si="19"/>
        <v>16.0352068626575</v>
      </c>
      <c r="K53" s="43">
        <f t="shared" si="19"/>
        <v>-15.9100535212352</v>
      </c>
      <c r="L53" s="43">
        <f t="shared" si="19"/>
        <v>-7.71555474151747</v>
      </c>
      <c r="M53" s="43">
        <f t="shared" si="19"/>
        <v>69.6090106182396</v>
      </c>
      <c r="N53" s="43">
        <f t="shared" si="19"/>
        <v>8.533481555159</v>
      </c>
      <c r="O53" s="43">
        <f t="shared" si="19"/>
        <v>-2.21159029649596</v>
      </c>
      <c r="P53" s="43">
        <f t="shared" si="19"/>
        <v>-7.72750451356827</v>
      </c>
      <c r="Q53" s="41"/>
      <c r="R53" s="41">
        <f>AVERAGEIF(E53:Q53,"&lt;&gt;0")</f>
        <v>11.9845052418609</v>
      </c>
      <c r="S53" s="39"/>
      <c r="T53" s="39"/>
      <c r="U53" s="39"/>
      <c r="V53" s="39"/>
      <c r="W53" s="39"/>
    </row>
    <row r="54" s="19" customFormat="1" spans="3:23">
      <c r="C54" s="38" t="s">
        <v>41</v>
      </c>
      <c r="D54" s="42"/>
      <c r="E54" s="39"/>
      <c r="F54" s="41"/>
      <c r="G54" s="43">
        <f t="shared" ref="G54:P54" si="20">(G9-F9)/ABS(F9)*100</f>
        <v>2.55974924905315</v>
      </c>
      <c r="H54" s="43">
        <f t="shared" si="20"/>
        <v>7.78046606392462</v>
      </c>
      <c r="I54" s="43">
        <f t="shared" si="20"/>
        <v>4.7554347826087</v>
      </c>
      <c r="J54" s="43">
        <f t="shared" si="20"/>
        <v>22.5568149777251</v>
      </c>
      <c r="K54" s="43">
        <f t="shared" si="20"/>
        <v>-1.04449454746238</v>
      </c>
      <c r="L54" s="43">
        <f t="shared" si="20"/>
        <v>-0.409188133544127</v>
      </c>
      <c r="M54" s="43">
        <f t="shared" si="20"/>
        <v>32.9816042581007</v>
      </c>
      <c r="N54" s="43">
        <f t="shared" si="20"/>
        <v>-8.79502843901411</v>
      </c>
      <c r="O54" s="43">
        <f t="shared" si="20"/>
        <v>-6.62124186780614</v>
      </c>
      <c r="P54" s="43">
        <f t="shared" si="20"/>
        <v>3.27740446056808</v>
      </c>
      <c r="Q54" s="41"/>
      <c r="R54" s="41">
        <f>AVERAGEIF(E54:Q54,"&lt;&gt;0")</f>
        <v>5.70415208041536</v>
      </c>
      <c r="S54" s="39"/>
      <c r="T54" s="39"/>
      <c r="U54" s="39"/>
      <c r="V54" s="39"/>
      <c r="W54" s="39"/>
    </row>
    <row r="55" s="19" customFormat="1" spans="3:23">
      <c r="C55" s="38" t="s">
        <v>42</v>
      </c>
      <c r="D55" s="42"/>
      <c r="E55" s="39"/>
      <c r="F55" s="41"/>
      <c r="G55" s="43">
        <f t="shared" ref="G55:P55" si="21">(G10-F10)/ABS(F10)*100</f>
        <v>34.1838549075391</v>
      </c>
      <c r="H55" s="43">
        <f t="shared" si="21"/>
        <v>-9.53422116212814</v>
      </c>
      <c r="I55" s="43">
        <f t="shared" si="21"/>
        <v>11.3153654606709</v>
      </c>
      <c r="J55" s="43">
        <f t="shared" si="21"/>
        <v>14.5272715310218</v>
      </c>
      <c r="K55" s="43">
        <f t="shared" si="21"/>
        <v>2.18877463089562</v>
      </c>
      <c r="L55" s="43">
        <f t="shared" si="21"/>
        <v>10.1472903080729</v>
      </c>
      <c r="M55" s="43">
        <f t="shared" si="21"/>
        <v>34.5174296942786</v>
      </c>
      <c r="N55" s="43">
        <f t="shared" si="21"/>
        <v>11.4546972226438</v>
      </c>
      <c r="O55" s="43">
        <f t="shared" si="21"/>
        <v>0.817021276595745</v>
      </c>
      <c r="P55" s="43">
        <f t="shared" si="21"/>
        <v>3.52186392031065</v>
      </c>
      <c r="Q55" s="41"/>
      <c r="R55" s="41">
        <f>AVERAGEIF(E55:Q55,"&lt;&gt;0")</f>
        <v>11.3139347789901</v>
      </c>
      <c r="S55" s="39"/>
      <c r="T55" s="39"/>
      <c r="U55" s="39"/>
      <c r="V55" s="39"/>
      <c r="W55" s="39"/>
    </row>
    <row r="56" s="19" customFormat="1" spans="5:23">
      <c r="E56" s="39"/>
      <c r="F56" s="41"/>
      <c r="G56" s="41"/>
      <c r="H56" s="41"/>
      <c r="I56" s="41"/>
      <c r="J56" s="41"/>
      <c r="K56" s="41"/>
      <c r="L56" s="41"/>
      <c r="M56" s="41"/>
      <c r="N56" s="41"/>
      <c r="O56" s="41"/>
      <c r="P56" s="41"/>
      <c r="Q56" s="41"/>
      <c r="R56" s="41"/>
      <c r="S56" s="39"/>
      <c r="T56" s="39"/>
      <c r="U56" s="39"/>
      <c r="V56" s="39"/>
      <c r="W56" s="39"/>
    </row>
    <row r="57" ht="15.75" spans="3:4">
      <c r="C57" s="37" t="s">
        <v>58</v>
      </c>
      <c r="D57" s="38"/>
    </row>
    <row r="58" spans="3:21">
      <c r="C58" s="38" t="s">
        <v>45</v>
      </c>
      <c r="D58" s="38"/>
      <c r="F58" s="43"/>
      <c r="G58" s="43">
        <f t="shared" ref="G58:P58" si="22">(G14-F14)/ABS(F14)*100</f>
        <v>52.014393426871</v>
      </c>
      <c r="H58" s="43">
        <f t="shared" si="22"/>
        <v>-11.8297740597648</v>
      </c>
      <c r="I58" s="43">
        <f t="shared" si="22"/>
        <v>1.92904169714704</v>
      </c>
      <c r="J58" s="43">
        <f t="shared" si="22"/>
        <v>18.3375557102564</v>
      </c>
      <c r="K58" s="43">
        <f t="shared" si="22"/>
        <v>-13.6498714278783</v>
      </c>
      <c r="L58" s="43">
        <f t="shared" si="22"/>
        <v>-3.23076815024477</v>
      </c>
      <c r="M58" s="43">
        <f t="shared" si="22"/>
        <v>39.3319833649052</v>
      </c>
      <c r="N58" s="43">
        <f t="shared" si="22"/>
        <v>7.04057341396967</v>
      </c>
      <c r="O58" s="43">
        <f t="shared" si="22"/>
        <v>-2.38747572862781</v>
      </c>
      <c r="P58" s="43">
        <f t="shared" si="22"/>
        <v>0.299128041758275</v>
      </c>
      <c r="R58" s="41">
        <f t="shared" ref="R58:R63" si="23">AVERAGEIF(E58:Q58,"&lt;&gt;0")</f>
        <v>8.78547862883919</v>
      </c>
      <c r="U58" s="41" cm="1">
        <f t="array" ref="U58">_xlfn.STDEV.S(IF(E58:Q58&lt;&gt;0,E58:Q58))</f>
        <v>21.6351114882515</v>
      </c>
    </row>
    <row r="59" spans="3:21">
      <c r="C59" s="38" t="s">
        <v>46</v>
      </c>
      <c r="D59" s="38"/>
      <c r="F59" s="43"/>
      <c r="G59" s="43">
        <f t="shared" ref="G59:P59" si="24">(G15-F15)/ABS(F15)*100</f>
        <v>5.78097097055526</v>
      </c>
      <c r="H59" s="43">
        <f t="shared" si="24"/>
        <v>-10.3647285147815</v>
      </c>
      <c r="I59" s="43">
        <f t="shared" si="24"/>
        <v>11.992466383426</v>
      </c>
      <c r="J59" s="43">
        <f t="shared" si="24"/>
        <v>-1.45097579099691</v>
      </c>
      <c r="K59" s="43">
        <f t="shared" si="24"/>
        <v>2.15096436225097</v>
      </c>
      <c r="L59" s="43">
        <f t="shared" si="24"/>
        <v>11.1965811965812</v>
      </c>
      <c r="M59" s="43">
        <f t="shared" si="24"/>
        <v>22.9473831318566</v>
      </c>
      <c r="N59" s="43">
        <f t="shared" si="24"/>
        <v>14.1716396703609</v>
      </c>
      <c r="O59" s="43">
        <f t="shared" si="24"/>
        <v>-26.9308310725042</v>
      </c>
      <c r="P59" s="43">
        <f t="shared" si="24"/>
        <v>2.1357768164322</v>
      </c>
      <c r="R59" s="41">
        <f t="shared" si="23"/>
        <v>3.16292471531806</v>
      </c>
      <c r="U59" s="41" cm="1">
        <f t="array" ref="U59">_xlfn.STDEV.S(IF(E59:Q59&lt;&gt;0,E59:Q59))</f>
        <v>14.0395074395038</v>
      </c>
    </row>
    <row r="60" spans="3:21">
      <c r="C60" s="38" t="s">
        <v>47</v>
      </c>
      <c r="D60" s="38"/>
      <c r="F60" s="43"/>
      <c r="G60" s="43">
        <f t="shared" ref="G60:P60" si="25">(G16-F16)/ABS(F16)*100</f>
        <v>-23.3002014331473</v>
      </c>
      <c r="H60" s="43">
        <f t="shared" si="25"/>
        <v>-11.1895638696345</v>
      </c>
      <c r="I60" s="43">
        <f t="shared" si="25"/>
        <v>-8.85204576304053</v>
      </c>
      <c r="J60" s="43">
        <f t="shared" si="25"/>
        <v>-2.24444208062972</v>
      </c>
      <c r="K60" s="43">
        <f t="shared" si="25"/>
        <v>15.7780195865071</v>
      </c>
      <c r="L60" s="43">
        <f t="shared" si="25"/>
        <v>11.484962406015</v>
      </c>
      <c r="M60" s="43">
        <f t="shared" si="25"/>
        <v>34.3028157140448</v>
      </c>
      <c r="N60" s="43">
        <f t="shared" si="25"/>
        <v>-8.06603477496705</v>
      </c>
      <c r="O60" s="43">
        <f t="shared" si="25"/>
        <v>-3.38659019527516</v>
      </c>
      <c r="P60" s="43">
        <f t="shared" si="25"/>
        <v>-5.67491166077739</v>
      </c>
      <c r="R60" s="41">
        <f t="shared" si="23"/>
        <v>-0.114799207090467</v>
      </c>
      <c r="U60" s="41"/>
    </row>
    <row r="61" spans="3:21">
      <c r="C61" s="38" t="s">
        <v>48</v>
      </c>
      <c r="D61" s="38"/>
      <c r="F61" s="43"/>
      <c r="G61" s="43">
        <f t="shared" ref="G61:P61" si="26">(G17-F17)/ABS(F17)*100</f>
        <v>20.1456021004893</v>
      </c>
      <c r="H61" s="43">
        <f t="shared" si="26"/>
        <v>10.5791198966922</v>
      </c>
      <c r="I61" s="43">
        <f t="shared" si="26"/>
        <v>15.2173913043478</v>
      </c>
      <c r="J61" s="43">
        <f t="shared" si="26"/>
        <v>35.51380009356</v>
      </c>
      <c r="K61" s="43">
        <f t="shared" si="26"/>
        <v>40.8549565617628</v>
      </c>
      <c r="L61" s="43">
        <f t="shared" si="26"/>
        <v>25.0714810881464</v>
      </c>
      <c r="M61" s="43">
        <f t="shared" si="26"/>
        <v>25.3004572175049</v>
      </c>
      <c r="N61" s="43">
        <f t="shared" si="26"/>
        <v>7.49081241692079</v>
      </c>
      <c r="O61" s="43">
        <f t="shared" si="26"/>
        <v>-3.384980965544</v>
      </c>
      <c r="P61" s="43">
        <f t="shared" si="26"/>
        <v>-7.12761952566194</v>
      </c>
      <c r="R61" s="41">
        <f t="shared" si="23"/>
        <v>16.9661020188218</v>
      </c>
      <c r="U61" s="41"/>
    </row>
    <row r="62" spans="3:21">
      <c r="C62" s="38" t="s">
        <v>49</v>
      </c>
      <c r="D62" s="38"/>
      <c r="F62" s="43"/>
      <c r="G62" s="43">
        <f t="shared" ref="G62:P62" si="27">(G18-F18)/ABS(F18)*100</f>
        <v>10.2197863034933</v>
      </c>
      <c r="H62" s="43">
        <f t="shared" si="27"/>
        <v>22.2964488422322</v>
      </c>
      <c r="I62" s="43">
        <f t="shared" si="27"/>
        <v>34.3026121241991</v>
      </c>
      <c r="J62" s="43">
        <f t="shared" si="27"/>
        <v>21.5535168195719</v>
      </c>
      <c r="K62" s="43">
        <f t="shared" si="27"/>
        <v>16.4612055952501</v>
      </c>
      <c r="L62" s="43">
        <f t="shared" si="27"/>
        <v>16.1521678079972</v>
      </c>
      <c r="M62" s="43">
        <f t="shared" si="27"/>
        <v>27.2597083767297</v>
      </c>
      <c r="N62" s="43">
        <f t="shared" si="27"/>
        <v>14.1819510412861</v>
      </c>
      <c r="O62" s="43">
        <f t="shared" si="27"/>
        <v>9.05041661866913</v>
      </c>
      <c r="P62" s="43">
        <f t="shared" si="27"/>
        <v>12.8744131455399</v>
      </c>
      <c r="R62" s="41">
        <f t="shared" si="23"/>
        <v>18.4352226674969</v>
      </c>
      <c r="U62" s="41"/>
    </row>
    <row r="63" s="20" customFormat="1" spans="3:23">
      <c r="C63" s="44" t="s">
        <v>59</v>
      </c>
      <c r="D63" s="44"/>
      <c r="E63" s="45"/>
      <c r="F63" s="45"/>
      <c r="G63" s="45">
        <f t="shared" ref="G63:P63" si="28">(G19-F19)/ABS(F19)*100</f>
        <v>27.8563418036598</v>
      </c>
      <c r="H63" s="45">
        <f t="shared" si="28"/>
        <v>-7.73420619130137</v>
      </c>
      <c r="I63" s="45">
        <f t="shared" si="28"/>
        <v>6.30451819939807</v>
      </c>
      <c r="J63" s="45">
        <f t="shared" si="28"/>
        <v>15.8619576502613</v>
      </c>
      <c r="K63" s="45">
        <f t="shared" si="28"/>
        <v>-2.04107758052674</v>
      </c>
      <c r="L63" s="45">
        <f t="shared" si="28"/>
        <v>5.51208037697848</v>
      </c>
      <c r="M63" s="45">
        <f t="shared" si="28"/>
        <v>33.2593847330747</v>
      </c>
      <c r="N63" s="45">
        <f t="shared" si="28"/>
        <v>7.79378760418461</v>
      </c>
      <c r="O63" s="45">
        <f t="shared" si="28"/>
        <v>-2.80046053031994</v>
      </c>
      <c r="P63" s="45">
        <f t="shared" si="28"/>
        <v>2.02199407751412</v>
      </c>
      <c r="Q63" s="45"/>
      <c r="R63" s="52">
        <f t="shared" si="23"/>
        <v>8.60343201429231</v>
      </c>
      <c r="S63" s="52">
        <f>MEDIAN(E63:Q63)</f>
        <v>5.90829928818828</v>
      </c>
      <c r="T63" s="52"/>
      <c r="U63" s="52" cm="1">
        <f t="array" ref="U63">_xlfn.STDEV.S(IF(E63:Q63&lt;&gt;0,E63:Q63))</f>
        <v>13.3348408111018</v>
      </c>
      <c r="V63" s="45">
        <f>R63-U63</f>
        <v>-4.73140879680945</v>
      </c>
      <c r="W63" s="45"/>
    </row>
    <row r="64" s="21" customFormat="1" spans="5:23">
      <c r="E64" s="43"/>
      <c r="F64" s="43"/>
      <c r="G64" s="43"/>
      <c r="H64" s="43"/>
      <c r="I64" s="43"/>
      <c r="J64" s="43"/>
      <c r="K64" s="43"/>
      <c r="L64" s="43"/>
      <c r="M64" s="43"/>
      <c r="N64" s="43"/>
      <c r="O64" s="43"/>
      <c r="P64" s="43"/>
      <c r="Q64" s="43"/>
      <c r="R64" s="43"/>
      <c r="S64" s="30"/>
      <c r="T64" s="30"/>
      <c r="U64" s="30"/>
      <c r="V64" s="43"/>
      <c r="W64" s="43"/>
    </row>
    <row r="65" ht="15.75" spans="3:4">
      <c r="C65" s="37" t="s">
        <v>60</v>
      </c>
      <c r="D65" s="38"/>
    </row>
    <row r="66" spans="3:21">
      <c r="C66" s="38" t="s">
        <v>38</v>
      </c>
      <c r="D66" s="38"/>
      <c r="G66" s="43">
        <f t="shared" ref="G66:P66" si="29">(G22-F22)/ABS(F22)*100</f>
        <v>19.2216530315773</v>
      </c>
      <c r="H66" s="43">
        <f t="shared" si="29"/>
        <v>-9.66459308664144</v>
      </c>
      <c r="I66" s="43">
        <f t="shared" si="29"/>
        <v>8.91665483458753</v>
      </c>
      <c r="J66" s="43">
        <f t="shared" si="29"/>
        <v>13.6227349758832</v>
      </c>
      <c r="K66" s="43">
        <f t="shared" si="29"/>
        <v>0.674047728315741</v>
      </c>
      <c r="L66" s="43">
        <f t="shared" si="29"/>
        <v>7.47314738311633</v>
      </c>
      <c r="M66" s="43">
        <f t="shared" si="29"/>
        <v>41.5142357245109</v>
      </c>
      <c r="N66" s="43">
        <f t="shared" si="29"/>
        <v>17.4234760780788</v>
      </c>
      <c r="O66" s="43">
        <f t="shared" si="29"/>
        <v>-3.46984030757941</v>
      </c>
      <c r="P66" s="43">
        <f t="shared" si="29"/>
        <v>11.8133139419581</v>
      </c>
      <c r="R66" s="41">
        <f t="shared" ref="R66:R71" si="30">AVERAGEIF(E66:Q66,"&lt;&gt;0")</f>
        <v>10.7524830303807</v>
      </c>
      <c r="U66" s="41" cm="1">
        <f t="array" ref="U66">_xlfn.STDEV.S(IF(E66:Q66&lt;&gt;0,E66:Q66))</f>
        <v>14.1684656501197</v>
      </c>
    </row>
    <row r="67" spans="3:21">
      <c r="C67" s="38" t="s">
        <v>39</v>
      </c>
      <c r="D67" s="38"/>
      <c r="G67" s="43">
        <f t="shared" ref="G67:P67" si="31">(G23-F23)/ABS(F23)*100</f>
        <v>14.5004849660524</v>
      </c>
      <c r="H67" s="43">
        <f t="shared" si="31"/>
        <v>-7.13378108549646</v>
      </c>
      <c r="I67" s="43">
        <f t="shared" si="31"/>
        <v>7.59708105290592</v>
      </c>
      <c r="J67" s="43">
        <f t="shared" si="31"/>
        <v>20.8368656897178</v>
      </c>
      <c r="K67" s="43">
        <f t="shared" si="31"/>
        <v>-3.80856928088198</v>
      </c>
      <c r="L67" s="43">
        <f t="shared" si="31"/>
        <v>15.4988278197447</v>
      </c>
      <c r="M67" s="43">
        <f t="shared" si="31"/>
        <v>46.617050067659</v>
      </c>
      <c r="N67" s="43">
        <f t="shared" si="31"/>
        <v>8.39255499153976</v>
      </c>
      <c r="O67" s="43">
        <f t="shared" si="31"/>
        <v>2.45508472170976</v>
      </c>
      <c r="P67" s="43">
        <f t="shared" si="31"/>
        <v>15.7681866031359</v>
      </c>
      <c r="R67" s="41">
        <f t="shared" si="30"/>
        <v>12.0723785546087</v>
      </c>
      <c r="U67" s="41" cm="1">
        <f t="array" ref="U67">_xlfn.STDEV.S(IF(E67:Q67&lt;&gt;0,E67:Q67))</f>
        <v>15.0871123047182</v>
      </c>
    </row>
    <row r="68" spans="3:21">
      <c r="C68" s="38" t="s">
        <v>40</v>
      </c>
      <c r="D68" s="38"/>
      <c r="G68" s="43">
        <f t="shared" ref="G68:P68" si="32">(G24-F24)/ABS(F24)*100</f>
        <v>108.370323398859</v>
      </c>
      <c r="H68" s="43">
        <f t="shared" si="32"/>
        <v>-18.1158160159986</v>
      </c>
      <c r="I68" s="43">
        <f t="shared" si="32"/>
        <v>-9.57260419431909</v>
      </c>
      <c r="J68" s="43">
        <f t="shared" si="32"/>
        <v>15.9112259276656</v>
      </c>
      <c r="K68" s="43">
        <f t="shared" si="32"/>
        <v>-17.7793536622429</v>
      </c>
      <c r="L68" s="43">
        <f t="shared" si="32"/>
        <v>-5.98201084277969</v>
      </c>
      <c r="M68" s="43">
        <f t="shared" si="32"/>
        <v>86.7767511958587</v>
      </c>
      <c r="N68" s="43">
        <f t="shared" si="32"/>
        <v>9.29343250070166</v>
      </c>
      <c r="O68" s="43">
        <f t="shared" si="32"/>
        <v>-2.64822007511315</v>
      </c>
      <c r="P68" s="43">
        <f t="shared" si="32"/>
        <v>-10.7029807438671</v>
      </c>
      <c r="R68" s="41">
        <f t="shared" si="30"/>
        <v>15.5550747488764</v>
      </c>
      <c r="U68" s="41" cm="1">
        <f t="array" ref="U68">_xlfn.STDEV.S(IF(E68:Q68&lt;&gt;0,E68:Q68))</f>
        <v>44.8299717613895</v>
      </c>
    </row>
    <row r="69" spans="3:21">
      <c r="C69" s="38" t="s">
        <v>41</v>
      </c>
      <c r="D69" s="38"/>
      <c r="G69" s="43">
        <f t="shared" ref="G69:P69" si="33">(G25-F25)/ABS(F25)*100</f>
        <v>10.3273464658169</v>
      </c>
      <c r="H69" s="43">
        <f t="shared" si="33"/>
        <v>-5.93409478797427</v>
      </c>
      <c r="I69" s="43">
        <f t="shared" si="33"/>
        <v>13.0076762037683</v>
      </c>
      <c r="J69" s="43">
        <f t="shared" si="33"/>
        <v>17.3274052118068</v>
      </c>
      <c r="K69" s="43">
        <f t="shared" si="33"/>
        <v>-1.37894736842105</v>
      </c>
      <c r="L69" s="43">
        <f t="shared" si="33"/>
        <v>-0.96061479346782</v>
      </c>
      <c r="M69" s="43">
        <f t="shared" si="33"/>
        <v>37.9243452958293</v>
      </c>
      <c r="N69" s="43">
        <f t="shared" si="33"/>
        <v>-4.22722300359431</v>
      </c>
      <c r="O69" s="43">
        <f t="shared" si="33"/>
        <v>-3.01052459818879</v>
      </c>
      <c r="P69" s="43">
        <f t="shared" si="33"/>
        <v>4.76110363391655</v>
      </c>
      <c r="R69" s="41">
        <f t="shared" si="30"/>
        <v>6.78364722594917</v>
      </c>
      <c r="U69" s="41" cm="1">
        <f t="array" ref="U69">_xlfn.STDEV.S(IF(E69:Q69&lt;&gt;0,E69:Q69))</f>
        <v>13.5064120737257</v>
      </c>
    </row>
    <row r="70" spans="3:21">
      <c r="C70" s="38" t="s">
        <v>42</v>
      </c>
      <c r="D70" s="38"/>
      <c r="G70" s="43">
        <f t="shared" ref="G70:P70" si="34">(G26-F26)/ABS(F26)*100</f>
        <v>50.1905280348394</v>
      </c>
      <c r="H70" s="43">
        <f t="shared" si="34"/>
        <v>-13.3562885103298</v>
      </c>
      <c r="I70" s="43">
        <f t="shared" si="34"/>
        <v>10.9391340723698</v>
      </c>
      <c r="J70" s="43">
        <f t="shared" si="34"/>
        <v>16.5346907993967</v>
      </c>
      <c r="K70" s="43">
        <f t="shared" si="34"/>
        <v>-2.03850509626274</v>
      </c>
      <c r="L70" s="43">
        <f t="shared" si="34"/>
        <v>12.4360033030553</v>
      </c>
      <c r="M70" s="43">
        <f t="shared" si="34"/>
        <v>44.1980023501763</v>
      </c>
      <c r="N70" s="43">
        <f t="shared" si="34"/>
        <v>17.846592645411</v>
      </c>
      <c r="O70" s="43">
        <f t="shared" si="34"/>
        <v>4.29596335033279</v>
      </c>
      <c r="P70" s="43">
        <f t="shared" si="34"/>
        <v>8.25459970164097</v>
      </c>
      <c r="R70" s="41">
        <f t="shared" si="30"/>
        <v>14.930072065063</v>
      </c>
      <c r="U70" s="41" cm="1">
        <f t="array" ref="U70">_xlfn.STDEV.S(IF(E70:Q70&lt;&gt;0,E70:Q70))</f>
        <v>19.3759225211562</v>
      </c>
    </row>
    <row r="71" s="2" customFormat="1" spans="3:23">
      <c r="C71" s="53" t="s">
        <v>61</v>
      </c>
      <c r="D71" s="53"/>
      <c r="E71" s="54"/>
      <c r="F71" s="55"/>
      <c r="G71" s="45">
        <f t="shared" ref="G71:P71" si="35">(G27-F27)/ABS(F27)*100</f>
        <v>34.7875709302512</v>
      </c>
      <c r="H71" s="45">
        <f t="shared" si="35"/>
        <v>-11.3881932021467</v>
      </c>
      <c r="I71" s="45">
        <f t="shared" si="35"/>
        <v>4.4817700973069</v>
      </c>
      <c r="J71" s="45">
        <f t="shared" si="35"/>
        <v>16.2447991137561</v>
      </c>
      <c r="K71" s="45">
        <f t="shared" si="35"/>
        <v>-4.75610026373529</v>
      </c>
      <c r="L71" s="45">
        <f t="shared" si="35"/>
        <v>6.15474112856312</v>
      </c>
      <c r="M71" s="45">
        <f t="shared" si="35"/>
        <v>50.1600175361683</v>
      </c>
      <c r="N71" s="45">
        <f t="shared" si="35"/>
        <v>11.5973023079281</v>
      </c>
      <c r="O71" s="45">
        <f t="shared" si="35"/>
        <v>-1.3126655547925</v>
      </c>
      <c r="P71" s="45">
        <f t="shared" si="35"/>
        <v>7.39356343778167</v>
      </c>
      <c r="Q71" s="54"/>
      <c r="R71" s="52">
        <f t="shared" si="30"/>
        <v>11.3362805531081</v>
      </c>
      <c r="S71" s="52">
        <f>MEDIAN(E71:Q71)</f>
        <v>6.77415228317239</v>
      </c>
      <c r="T71" s="52"/>
      <c r="U71" s="52" cm="1">
        <f t="array" ref="U71">_xlfn.STDEV.S(IF(E71:Q71&lt;&gt;0,E71:Q71))</f>
        <v>18.5776066171557</v>
      </c>
      <c r="V71" s="55"/>
      <c r="W71" s="54"/>
    </row>
    <row r="76" ht="15.75" spans="2:6">
      <c r="B76" s="33" t="s">
        <v>62</v>
      </c>
      <c r="F76" s="56" t="s">
        <v>63</v>
      </c>
    </row>
    <row r="77" spans="2:2">
      <c r="B77" t="s">
        <v>64</v>
      </c>
    </row>
    <row r="78" spans="3:16">
      <c r="C78" t="s">
        <v>65</v>
      </c>
      <c r="D78"/>
      <c r="F78" s="36"/>
      <c r="G78" s="36"/>
      <c r="H78" s="36"/>
      <c r="I78" s="29">
        <v>196534</v>
      </c>
      <c r="J78" s="29">
        <v>225847</v>
      </c>
      <c r="K78" s="29">
        <v>213883</v>
      </c>
      <c r="L78" s="29">
        <v>220747</v>
      </c>
      <c r="M78" s="29">
        <v>297392</v>
      </c>
      <c r="N78" s="29">
        <v>316199</v>
      </c>
      <c r="O78" s="29">
        <v>298085</v>
      </c>
      <c r="P78" s="29">
        <v>294866</v>
      </c>
    </row>
    <row r="79" spans="3:16">
      <c r="C79" t="s">
        <v>49</v>
      </c>
      <c r="D79"/>
      <c r="F79" s="36"/>
      <c r="G79" s="36"/>
      <c r="H79" s="36"/>
      <c r="I79" s="29">
        <v>32700</v>
      </c>
      <c r="J79" s="29">
        <v>39748</v>
      </c>
      <c r="K79" s="29">
        <v>46291</v>
      </c>
      <c r="L79" s="29">
        <v>53768</v>
      </c>
      <c r="M79" s="29">
        <v>68425</v>
      </c>
      <c r="N79" s="29">
        <v>78129</v>
      </c>
      <c r="O79" s="29">
        <v>85200</v>
      </c>
      <c r="P79" s="29">
        <v>96169</v>
      </c>
    </row>
    <row r="80" spans="6:16">
      <c r="F80" s="35">
        <v>182795</v>
      </c>
      <c r="G80" s="35">
        <v>233715</v>
      </c>
      <c r="H80" s="35">
        <v>215639</v>
      </c>
      <c r="I80" s="35">
        <f t="shared" ref="F80:P80" si="36">SUM(I77:I79)</f>
        <v>229234</v>
      </c>
      <c r="J80" s="35">
        <f t="shared" si="36"/>
        <v>265595</v>
      </c>
      <c r="K80" s="35">
        <f t="shared" si="36"/>
        <v>260174</v>
      </c>
      <c r="L80" s="35">
        <f t="shared" si="36"/>
        <v>274515</v>
      </c>
      <c r="M80" s="35">
        <f t="shared" si="36"/>
        <v>365817</v>
      </c>
      <c r="N80" s="35">
        <f t="shared" si="36"/>
        <v>394328</v>
      </c>
      <c r="O80" s="35">
        <f t="shared" si="36"/>
        <v>383285</v>
      </c>
      <c r="P80" s="35">
        <f t="shared" si="36"/>
        <v>391035</v>
      </c>
    </row>
    <row r="81" spans="2:2">
      <c r="B81" t="s">
        <v>66</v>
      </c>
    </row>
    <row r="82" spans="3:16">
      <c r="C82" t="s">
        <v>65</v>
      </c>
      <c r="F82" s="36"/>
      <c r="G82" s="36"/>
      <c r="H82" s="36"/>
      <c r="I82" s="29">
        <v>126337</v>
      </c>
      <c r="J82" s="29">
        <v>148164</v>
      </c>
      <c r="K82" s="29">
        <v>144996</v>
      </c>
      <c r="L82" s="29">
        <v>151286</v>
      </c>
      <c r="M82" s="29">
        <v>192266</v>
      </c>
      <c r="N82" s="29">
        <v>201471</v>
      </c>
      <c r="O82" s="29">
        <v>189282</v>
      </c>
      <c r="P82" s="29">
        <v>185233</v>
      </c>
    </row>
    <row r="83" spans="3:16">
      <c r="C83" t="s">
        <v>49</v>
      </c>
      <c r="F83" s="36"/>
      <c r="G83" s="36"/>
      <c r="H83" s="36"/>
      <c r="I83" s="29">
        <v>14711</v>
      </c>
      <c r="J83" s="29">
        <v>15592</v>
      </c>
      <c r="K83" s="29">
        <v>16786</v>
      </c>
      <c r="L83" s="29">
        <v>18273</v>
      </c>
      <c r="M83" s="29">
        <v>20715</v>
      </c>
      <c r="N83" s="29">
        <v>22075</v>
      </c>
      <c r="O83" s="29">
        <v>24855</v>
      </c>
      <c r="P83" s="29">
        <v>25119</v>
      </c>
    </row>
    <row r="84" spans="6:16">
      <c r="F84" s="35">
        <v>112258</v>
      </c>
      <c r="G84" s="35">
        <v>140089</v>
      </c>
      <c r="H84" s="35">
        <v>131376</v>
      </c>
      <c r="I84" s="35">
        <f t="shared" ref="F84:P84" si="37">SUM(I81:I83)</f>
        <v>141048</v>
      </c>
      <c r="J84" s="35">
        <f t="shared" si="37"/>
        <v>163756</v>
      </c>
      <c r="K84" s="35">
        <f t="shared" si="37"/>
        <v>161782</v>
      </c>
      <c r="L84" s="35">
        <f t="shared" si="37"/>
        <v>169559</v>
      </c>
      <c r="M84" s="35">
        <f t="shared" si="37"/>
        <v>212981</v>
      </c>
      <c r="N84" s="35">
        <f t="shared" si="37"/>
        <v>223546</v>
      </c>
      <c r="O84" s="35">
        <f t="shared" si="37"/>
        <v>214137</v>
      </c>
      <c r="P84" s="35">
        <f t="shared" si="37"/>
        <v>210352</v>
      </c>
    </row>
    <row r="86" spans="2:16">
      <c r="B86" t="s">
        <v>67</v>
      </c>
      <c r="F86" s="35">
        <f t="shared" ref="F86:P86" si="38">F80-F84</f>
        <v>70537</v>
      </c>
      <c r="G86" s="35">
        <f t="shared" si="38"/>
        <v>93626</v>
      </c>
      <c r="H86" s="35">
        <f t="shared" si="38"/>
        <v>84263</v>
      </c>
      <c r="I86" s="35">
        <f t="shared" si="38"/>
        <v>88186</v>
      </c>
      <c r="J86" s="35">
        <f t="shared" si="38"/>
        <v>101839</v>
      </c>
      <c r="K86" s="35">
        <f t="shared" si="38"/>
        <v>98392</v>
      </c>
      <c r="L86" s="35">
        <f t="shared" si="38"/>
        <v>104956</v>
      </c>
      <c r="M86" s="35">
        <f t="shared" si="38"/>
        <v>152836</v>
      </c>
      <c r="N86" s="35">
        <f t="shared" si="38"/>
        <v>170782</v>
      </c>
      <c r="O86" s="35">
        <f t="shared" si="38"/>
        <v>169148</v>
      </c>
      <c r="P86" s="35">
        <f t="shared" si="38"/>
        <v>180683</v>
      </c>
    </row>
    <row r="87" s="22" customFormat="1" ht="15.75" spans="3:23">
      <c r="C87" s="57" t="s">
        <v>68</v>
      </c>
      <c r="D87" s="58"/>
      <c r="E87" s="59"/>
      <c r="F87" s="60">
        <f t="shared" ref="F87:P87" si="39">IFERROR(F86/F80*100,0)</f>
        <v>38.5880357777839</v>
      </c>
      <c r="G87" s="60">
        <f t="shared" si="39"/>
        <v>40.0599020174144</v>
      </c>
      <c r="H87" s="60">
        <f t="shared" si="39"/>
        <v>39.0759556480971</v>
      </c>
      <c r="I87" s="60">
        <f t="shared" si="39"/>
        <v>38.4698604918991</v>
      </c>
      <c r="J87" s="60">
        <f t="shared" si="39"/>
        <v>38.3437188200079</v>
      </c>
      <c r="K87" s="60">
        <f t="shared" si="39"/>
        <v>37.8177681090347</v>
      </c>
      <c r="L87" s="60">
        <f t="shared" si="39"/>
        <v>38.2332477278109</v>
      </c>
      <c r="M87" s="60">
        <f t="shared" si="39"/>
        <v>41.7793596251678</v>
      </c>
      <c r="N87" s="60">
        <f t="shared" si="39"/>
        <v>43.3096305613601</v>
      </c>
      <c r="O87" s="60">
        <f t="shared" si="39"/>
        <v>44.1311295772076</v>
      </c>
      <c r="P87" s="60">
        <f t="shared" si="39"/>
        <v>46.2063498152339</v>
      </c>
      <c r="Q87" s="59"/>
      <c r="R87" s="45">
        <f t="shared" ref="R87:R89" si="40">AVERAGE(E87:Q87)</f>
        <v>40.5468143791834</v>
      </c>
      <c r="S87" s="60"/>
      <c r="T87" s="60"/>
      <c r="U87" s="60"/>
      <c r="V87" s="60"/>
      <c r="W87" s="59"/>
    </row>
    <row r="88" ht="15.75" spans="4:18">
      <c r="D88" s="57" t="s">
        <v>69</v>
      </c>
      <c r="F88" s="60">
        <f t="shared" ref="F88:P88" si="41">IFERROR((F78-F82)/F78*100,0)</f>
        <v>0</v>
      </c>
      <c r="G88" s="60">
        <f t="shared" si="41"/>
        <v>0</v>
      </c>
      <c r="H88" s="60">
        <f t="shared" si="41"/>
        <v>0</v>
      </c>
      <c r="I88" s="60">
        <f t="shared" si="41"/>
        <v>35.7174839976798</v>
      </c>
      <c r="J88" s="60">
        <f t="shared" si="41"/>
        <v>34.39629483677</v>
      </c>
      <c r="K88" s="60">
        <f t="shared" si="41"/>
        <v>32.2077958510027</v>
      </c>
      <c r="L88" s="60">
        <f t="shared" si="41"/>
        <v>31.4663392933992</v>
      </c>
      <c r="M88" s="60">
        <f t="shared" si="41"/>
        <v>35.3493032764836</v>
      </c>
      <c r="N88" s="60">
        <f t="shared" si="41"/>
        <v>36.2834797073995</v>
      </c>
      <c r="O88" s="60">
        <f t="shared" si="41"/>
        <v>36.5006625626919</v>
      </c>
      <c r="P88" s="60">
        <f t="shared" si="41"/>
        <v>37.1806176364857</v>
      </c>
      <c r="R88" s="45">
        <f t="shared" si="40"/>
        <v>25.3729070147193</v>
      </c>
    </row>
    <row r="89" ht="15.75" spans="4:18">
      <c r="D89" s="57" t="s">
        <v>70</v>
      </c>
      <c r="F89" s="60">
        <f t="shared" ref="F89:P89" si="42">IFERROR((F79-F83)/F79*100,0)</f>
        <v>0</v>
      </c>
      <c r="G89" s="60">
        <f t="shared" si="42"/>
        <v>0</v>
      </c>
      <c r="H89" s="60">
        <f t="shared" si="42"/>
        <v>0</v>
      </c>
      <c r="I89" s="60">
        <f t="shared" si="42"/>
        <v>55.0122324159021</v>
      </c>
      <c r="J89" s="60">
        <f t="shared" si="42"/>
        <v>60.7728690751736</v>
      </c>
      <c r="K89" s="60">
        <f t="shared" si="42"/>
        <v>63.7380916376833</v>
      </c>
      <c r="L89" s="60">
        <f t="shared" si="42"/>
        <v>66.0151019193572</v>
      </c>
      <c r="M89" s="60">
        <f t="shared" si="42"/>
        <v>69.7259773474607</v>
      </c>
      <c r="N89" s="60">
        <f t="shared" si="42"/>
        <v>71.7454466331324</v>
      </c>
      <c r="O89" s="60">
        <f t="shared" si="42"/>
        <v>70.8274647887324</v>
      </c>
      <c r="P89" s="60">
        <f t="shared" si="42"/>
        <v>73.8803564558226</v>
      </c>
      <c r="R89" s="45">
        <f t="shared" si="40"/>
        <v>48.3379582066604</v>
      </c>
    </row>
    <row r="91" spans="2:18">
      <c r="B91" t="s">
        <v>71</v>
      </c>
      <c r="F91" s="29">
        <v>6041</v>
      </c>
      <c r="G91" s="29">
        <v>8067</v>
      </c>
      <c r="H91" s="29">
        <v>10045</v>
      </c>
      <c r="I91" s="29">
        <v>11581</v>
      </c>
      <c r="J91" s="29">
        <v>14236</v>
      </c>
      <c r="K91" s="29">
        <v>16217</v>
      </c>
      <c r="L91" s="29">
        <v>18752</v>
      </c>
      <c r="M91" s="29">
        <v>21914</v>
      </c>
      <c r="N91" s="29">
        <v>26251</v>
      </c>
      <c r="O91" s="29">
        <v>29915</v>
      </c>
      <c r="P91" s="29">
        <v>31370</v>
      </c>
      <c r="R91" s="30"/>
    </row>
    <row r="92" spans="2:18">
      <c r="B92" t="s">
        <v>72</v>
      </c>
      <c r="F92" s="29">
        <v>11993</v>
      </c>
      <c r="G92" s="29">
        <v>14329</v>
      </c>
      <c r="H92" s="29">
        <v>14194</v>
      </c>
      <c r="I92" s="29">
        <v>15261</v>
      </c>
      <c r="J92" s="29">
        <v>16705</v>
      </c>
      <c r="K92" s="29">
        <v>18245</v>
      </c>
      <c r="L92" s="29">
        <v>19916</v>
      </c>
      <c r="M92" s="29">
        <v>21973</v>
      </c>
      <c r="N92" s="29">
        <v>25094</v>
      </c>
      <c r="O92" s="29">
        <v>24932</v>
      </c>
      <c r="P92" s="29">
        <v>26097</v>
      </c>
      <c r="R92" s="30"/>
    </row>
    <row r="93" spans="2:16">
      <c r="B93" t="s">
        <v>73</v>
      </c>
      <c r="F93" s="35">
        <f t="shared" ref="F93:P93" si="43">SUM(F91:F92)</f>
        <v>18034</v>
      </c>
      <c r="G93" s="35">
        <f t="shared" si="43"/>
        <v>22396</v>
      </c>
      <c r="H93" s="35">
        <f t="shared" si="43"/>
        <v>24239</v>
      </c>
      <c r="I93" s="35">
        <f t="shared" si="43"/>
        <v>26842</v>
      </c>
      <c r="J93" s="35">
        <f t="shared" si="43"/>
        <v>30941</v>
      </c>
      <c r="K93" s="35">
        <f t="shared" si="43"/>
        <v>34462</v>
      </c>
      <c r="L93" s="35">
        <f t="shared" si="43"/>
        <v>38668</v>
      </c>
      <c r="M93" s="35">
        <f t="shared" si="43"/>
        <v>43887</v>
      </c>
      <c r="N93" s="35">
        <f t="shared" si="43"/>
        <v>51345</v>
      </c>
      <c r="O93" s="35">
        <f t="shared" si="43"/>
        <v>54847</v>
      </c>
      <c r="P93" s="35">
        <f t="shared" si="43"/>
        <v>57467</v>
      </c>
    </row>
    <row r="95" spans="2:16">
      <c r="B95" t="s">
        <v>74</v>
      </c>
      <c r="F95" s="35">
        <f t="shared" ref="F95:P95" si="44">F86-F93</f>
        <v>52503</v>
      </c>
      <c r="G95" s="35">
        <f t="shared" si="44"/>
        <v>71230</v>
      </c>
      <c r="H95" s="35">
        <f t="shared" si="44"/>
        <v>60024</v>
      </c>
      <c r="I95" s="35">
        <f t="shared" si="44"/>
        <v>61344</v>
      </c>
      <c r="J95" s="35">
        <f t="shared" si="44"/>
        <v>70898</v>
      </c>
      <c r="K95" s="35">
        <f t="shared" si="44"/>
        <v>63930</v>
      </c>
      <c r="L95" s="35">
        <f t="shared" si="44"/>
        <v>66288</v>
      </c>
      <c r="M95" s="35">
        <f t="shared" si="44"/>
        <v>108949</v>
      </c>
      <c r="N95" s="35">
        <f t="shared" si="44"/>
        <v>119437</v>
      </c>
      <c r="O95" s="35">
        <f t="shared" si="44"/>
        <v>114301</v>
      </c>
      <c r="P95" s="35">
        <f t="shared" si="44"/>
        <v>123216</v>
      </c>
    </row>
    <row r="96" s="22" customFormat="1" ht="15.75" spans="3:23">
      <c r="C96" s="57" t="s">
        <v>75</v>
      </c>
      <c r="D96" s="58"/>
      <c r="E96" s="59"/>
      <c r="F96" s="60">
        <f t="shared" ref="F96:P96" si="45">IFERROR(F95/F80*100,0)</f>
        <v>28.7223392324735</v>
      </c>
      <c r="G96" s="60">
        <f t="shared" si="45"/>
        <v>30.4772907173267</v>
      </c>
      <c r="H96" s="60">
        <f t="shared" si="45"/>
        <v>27.8354101067061</v>
      </c>
      <c r="I96" s="60">
        <f t="shared" si="45"/>
        <v>26.7604282087299</v>
      </c>
      <c r="J96" s="60">
        <f t="shared" si="45"/>
        <v>26.694026619477</v>
      </c>
      <c r="K96" s="60">
        <f t="shared" si="45"/>
        <v>24.5720171884969</v>
      </c>
      <c r="L96" s="60">
        <f t="shared" si="45"/>
        <v>24.1473143544069</v>
      </c>
      <c r="M96" s="60">
        <f t="shared" si="45"/>
        <v>29.7823775275616</v>
      </c>
      <c r="N96" s="60">
        <f t="shared" si="45"/>
        <v>30.2887443955286</v>
      </c>
      <c r="O96" s="60">
        <f t="shared" si="45"/>
        <v>29.8214122650247</v>
      </c>
      <c r="P96" s="60">
        <f t="shared" si="45"/>
        <v>31.5102228700756</v>
      </c>
      <c r="Q96" s="59"/>
      <c r="R96" s="45">
        <f>AVERAGE(E96:Q96)</f>
        <v>28.237416680528</v>
      </c>
      <c r="S96" s="60"/>
      <c r="T96" s="60"/>
      <c r="U96" s="60"/>
      <c r="V96" s="60"/>
      <c r="W96" s="59"/>
    </row>
    <row r="98" spans="2:18">
      <c r="B98" t="s">
        <v>76</v>
      </c>
      <c r="F98" s="29">
        <v>980</v>
      </c>
      <c r="G98" s="29">
        <v>1285</v>
      </c>
      <c r="H98" s="29">
        <v>1348</v>
      </c>
      <c r="I98" s="29">
        <v>2745</v>
      </c>
      <c r="J98" s="29">
        <v>2005</v>
      </c>
      <c r="K98" s="29">
        <v>1807</v>
      </c>
      <c r="L98" s="29">
        <v>803</v>
      </c>
      <c r="M98" s="29">
        <v>258</v>
      </c>
      <c r="N98" s="29">
        <v>-334</v>
      </c>
      <c r="O98" s="29">
        <v>-565</v>
      </c>
      <c r="P98" s="29">
        <v>269</v>
      </c>
      <c r="R98" s="30" t="e">
        <f>AVERAGE(E98:Q98)/AVERAGE(E77:Q77)*100</f>
        <v>#DIV/0!</v>
      </c>
    </row>
    <row r="100" spans="2:16">
      <c r="B100" t="s">
        <v>77</v>
      </c>
      <c r="F100" s="35">
        <f t="shared" ref="F100:P100" si="46">F95+F98</f>
        <v>53483</v>
      </c>
      <c r="G100" s="35">
        <f t="shared" si="46"/>
        <v>72515</v>
      </c>
      <c r="H100" s="35">
        <f t="shared" si="46"/>
        <v>61372</v>
      </c>
      <c r="I100" s="35">
        <f t="shared" si="46"/>
        <v>64089</v>
      </c>
      <c r="J100" s="35">
        <f t="shared" si="46"/>
        <v>72903</v>
      </c>
      <c r="K100" s="35">
        <f t="shared" si="46"/>
        <v>65737</v>
      </c>
      <c r="L100" s="35">
        <f t="shared" si="46"/>
        <v>67091</v>
      </c>
      <c r="M100" s="35">
        <f t="shared" si="46"/>
        <v>109207</v>
      </c>
      <c r="N100" s="35">
        <f t="shared" si="46"/>
        <v>119103</v>
      </c>
      <c r="O100" s="35">
        <f t="shared" si="46"/>
        <v>113736</v>
      </c>
      <c r="P100" s="35">
        <f t="shared" si="46"/>
        <v>123485</v>
      </c>
    </row>
    <row r="102" spans="2:18">
      <c r="B102" t="s">
        <v>78</v>
      </c>
      <c r="F102" s="29">
        <v>13973</v>
      </c>
      <c r="G102" s="29">
        <v>19121</v>
      </c>
      <c r="H102" s="29">
        <v>15685</v>
      </c>
      <c r="I102" s="29">
        <v>15738</v>
      </c>
      <c r="J102" s="29">
        <v>13372</v>
      </c>
      <c r="K102" s="29">
        <v>10481</v>
      </c>
      <c r="L102" s="29">
        <v>9680</v>
      </c>
      <c r="M102" s="29">
        <v>14527</v>
      </c>
      <c r="N102" s="29">
        <v>19300</v>
      </c>
      <c r="O102" s="29">
        <v>16741</v>
      </c>
      <c r="P102" s="29">
        <v>29749</v>
      </c>
      <c r="R102" s="30">
        <f>AVERAGE(E102:Q102)/AVERAGE(E100:Q100)*100</f>
        <v>19.3305452027211</v>
      </c>
    </row>
    <row r="104" spans="2:16">
      <c r="B104" t="s">
        <v>79</v>
      </c>
      <c r="F104" s="35">
        <f t="shared" ref="F104:P104" si="47">F100-F102</f>
        <v>39510</v>
      </c>
      <c r="G104" s="35">
        <f t="shared" si="47"/>
        <v>53394</v>
      </c>
      <c r="H104" s="35">
        <f t="shared" si="47"/>
        <v>45687</v>
      </c>
      <c r="I104" s="35">
        <f t="shared" si="47"/>
        <v>48351</v>
      </c>
      <c r="J104" s="35">
        <f t="shared" si="47"/>
        <v>59531</v>
      </c>
      <c r="K104" s="35">
        <f t="shared" si="47"/>
        <v>55256</v>
      </c>
      <c r="L104" s="35">
        <f t="shared" si="47"/>
        <v>57411</v>
      </c>
      <c r="M104" s="35">
        <f t="shared" si="47"/>
        <v>94680</v>
      </c>
      <c r="N104" s="35">
        <f t="shared" si="47"/>
        <v>99803</v>
      </c>
      <c r="O104" s="35">
        <f t="shared" si="47"/>
        <v>96995</v>
      </c>
      <c r="P104" s="35">
        <f t="shared" si="47"/>
        <v>93736</v>
      </c>
    </row>
    <row r="105" ht="15.75" spans="3:18">
      <c r="C105" s="57" t="s">
        <v>80</v>
      </c>
      <c r="D105" s="38"/>
      <c r="F105" s="60">
        <f t="shared" ref="F105:P105" si="48">IFERROR(F104/F80*100,0)</f>
        <v>21.6143767608523</v>
      </c>
      <c r="G105" s="60">
        <f t="shared" si="48"/>
        <v>22.8457736987356</v>
      </c>
      <c r="H105" s="60">
        <f t="shared" si="48"/>
        <v>21.1867983064288</v>
      </c>
      <c r="I105" s="60">
        <f t="shared" si="48"/>
        <v>21.0924208450753</v>
      </c>
      <c r="J105" s="60">
        <f t="shared" si="48"/>
        <v>22.4142020745872</v>
      </c>
      <c r="K105" s="60">
        <f t="shared" si="48"/>
        <v>21.2380945059845</v>
      </c>
      <c r="L105" s="60">
        <f t="shared" si="48"/>
        <v>20.9136112780722</v>
      </c>
      <c r="M105" s="60">
        <f t="shared" si="48"/>
        <v>25.8817933556942</v>
      </c>
      <c r="N105" s="60">
        <f t="shared" si="48"/>
        <v>25.3096407051997</v>
      </c>
      <c r="O105" s="60">
        <f t="shared" si="48"/>
        <v>25.3062342643203</v>
      </c>
      <c r="P105" s="60">
        <f t="shared" si="48"/>
        <v>23.9712557699439</v>
      </c>
      <c r="R105" s="45">
        <f>AVERAGE(E105:Q105)</f>
        <v>22.8885637786267</v>
      </c>
    </row>
    <row r="109" customFormat="1" ht="15.75" spans="3:23">
      <c r="C109" s="37" t="s">
        <v>81</v>
      </c>
      <c r="D109" s="38"/>
      <c r="E109" s="28"/>
      <c r="F109" s="29"/>
      <c r="G109" s="29"/>
      <c r="H109" s="29"/>
      <c r="I109" s="29"/>
      <c r="J109" s="29"/>
      <c r="K109" s="29"/>
      <c r="L109" s="29"/>
      <c r="M109" s="29"/>
      <c r="N109" s="29"/>
      <c r="O109" s="29"/>
      <c r="P109" s="29"/>
      <c r="Q109" s="28"/>
      <c r="R109" s="29"/>
      <c r="S109" s="30"/>
      <c r="T109" s="30"/>
      <c r="U109" s="30"/>
      <c r="V109" s="29"/>
      <c r="W109" s="28"/>
    </row>
    <row r="110" customFormat="1" spans="3:23">
      <c r="C110" s="61" t="s">
        <v>82</v>
      </c>
      <c r="D110" s="38"/>
      <c r="E110" s="28"/>
      <c r="F110" s="62">
        <v>5866.161</v>
      </c>
      <c r="G110" s="62">
        <v>5578.753</v>
      </c>
      <c r="H110" s="62">
        <v>5336.166</v>
      </c>
      <c r="I110" s="62">
        <v>5126.201</v>
      </c>
      <c r="J110" s="62">
        <v>4754.986</v>
      </c>
      <c r="K110" s="62">
        <v>17772.945</v>
      </c>
      <c r="L110" s="62">
        <v>16976.763</v>
      </c>
      <c r="M110" s="62">
        <v>16426.786</v>
      </c>
      <c r="N110" s="62">
        <v>15943.425</v>
      </c>
      <c r="O110" s="62">
        <v>15550.061</v>
      </c>
      <c r="P110" s="62">
        <v>15116.786</v>
      </c>
      <c r="Q110" s="28"/>
      <c r="R110" s="29"/>
      <c r="S110" s="30"/>
      <c r="T110" s="30"/>
      <c r="U110" s="30"/>
      <c r="V110" s="29"/>
      <c r="W110" s="28"/>
    </row>
    <row r="111" s="23" customFormat="1" spans="3:23">
      <c r="C111" s="61" t="s">
        <v>83</v>
      </c>
      <c r="D111" s="61"/>
      <c r="E111" s="63"/>
      <c r="F111" s="62">
        <f t="shared" ref="F111:J111" si="49">F110*4</f>
        <v>23464.644</v>
      </c>
      <c r="G111" s="62">
        <f t="shared" si="49"/>
        <v>22315.012</v>
      </c>
      <c r="H111" s="62">
        <f t="shared" si="49"/>
        <v>21344.664</v>
      </c>
      <c r="I111" s="62">
        <f t="shared" si="49"/>
        <v>20504.804</v>
      </c>
      <c r="J111" s="62">
        <f t="shared" si="49"/>
        <v>19019.944</v>
      </c>
      <c r="K111" s="62">
        <f t="shared" ref="K111:P111" si="50">K110</f>
        <v>17772.945</v>
      </c>
      <c r="L111" s="62">
        <f t="shared" si="50"/>
        <v>16976.763</v>
      </c>
      <c r="M111" s="62">
        <f t="shared" si="50"/>
        <v>16426.786</v>
      </c>
      <c r="N111" s="62">
        <f t="shared" si="50"/>
        <v>15943.425</v>
      </c>
      <c r="O111" s="62">
        <f t="shared" si="50"/>
        <v>15550.061</v>
      </c>
      <c r="P111" s="62">
        <f t="shared" si="50"/>
        <v>15116.786</v>
      </c>
      <c r="Q111" s="63"/>
      <c r="R111" s="62"/>
      <c r="S111" s="39"/>
      <c r="T111" s="39"/>
      <c r="U111" s="39"/>
      <c r="V111" s="62"/>
      <c r="W111" s="63"/>
    </row>
    <row r="112" s="24" customFormat="1" spans="3:23">
      <c r="C112" s="42" t="s">
        <v>84</v>
      </c>
      <c r="D112" s="64"/>
      <c r="E112" s="30"/>
      <c r="F112" s="30">
        <v>27</v>
      </c>
      <c r="G112" s="30">
        <v>29.88</v>
      </c>
      <c r="H112" s="30">
        <v>28.39</v>
      </c>
      <c r="I112" s="30">
        <v>42.26</v>
      </c>
      <c r="J112" s="30">
        <v>54.72</v>
      </c>
      <c r="K112" s="30">
        <v>62.19</v>
      </c>
      <c r="L112" s="30">
        <v>108.86</v>
      </c>
      <c r="M112" s="30">
        <v>149.8</v>
      </c>
      <c r="N112" s="30">
        <v>153.34</v>
      </c>
      <c r="O112" s="30">
        <v>170.77</v>
      </c>
      <c r="P112" s="30">
        <v>225.91</v>
      </c>
      <c r="Q112" s="30"/>
      <c r="R112" s="30"/>
      <c r="S112" s="30"/>
      <c r="T112" s="30">
        <f>((P112/F112)^(1/(P3-F3))-1)*100</f>
        <v>23.6679521185062</v>
      </c>
      <c r="U112" s="30"/>
      <c r="V112" s="30"/>
      <c r="W112" s="30"/>
    </row>
    <row r="113" s="19" customFormat="1" spans="3:23">
      <c r="C113" s="42" t="s">
        <v>12</v>
      </c>
      <c r="D113" s="42"/>
      <c r="E113" s="39"/>
      <c r="F113" s="39">
        <f t="shared" ref="F113:P113" si="51">IFERROR(F104/F111,0)</f>
        <v>1.68380990566062</v>
      </c>
      <c r="G113" s="39">
        <f t="shared" si="51"/>
        <v>2.39273902250198</v>
      </c>
      <c r="H113" s="39">
        <f t="shared" si="51"/>
        <v>2.1404412831235</v>
      </c>
      <c r="I113" s="39">
        <f t="shared" si="51"/>
        <v>2.35803278100098</v>
      </c>
      <c r="J113" s="39">
        <f t="shared" si="51"/>
        <v>3.12992509336515</v>
      </c>
      <c r="K113" s="39">
        <f t="shared" si="51"/>
        <v>3.10899516090327</v>
      </c>
      <c r="L113" s="39">
        <f t="shared" si="51"/>
        <v>3.38174008790722</v>
      </c>
      <c r="M113" s="39">
        <f t="shared" si="51"/>
        <v>5.76375682985095</v>
      </c>
      <c r="N113" s="39">
        <f t="shared" si="51"/>
        <v>6.25982183878307</v>
      </c>
      <c r="O113" s="39">
        <f t="shared" si="51"/>
        <v>6.2375961097516</v>
      </c>
      <c r="P113" s="39">
        <f t="shared" si="51"/>
        <v>6.20078897723365</v>
      </c>
      <c r="Q113" s="39"/>
      <c r="R113" s="39"/>
      <c r="S113" s="39"/>
      <c r="T113" s="39"/>
      <c r="U113" s="39"/>
      <c r="V113" s="39"/>
      <c r="W113" s="39"/>
    </row>
    <row r="114" s="25" customFormat="1" spans="3:23">
      <c r="C114" s="65" t="s">
        <v>85</v>
      </c>
      <c r="D114" s="66"/>
      <c r="E114" s="55"/>
      <c r="F114" s="55">
        <f t="shared" ref="F114:P114" si="52">F112/F113</f>
        <v>16.035064236902</v>
      </c>
      <c r="G114" s="55">
        <f t="shared" si="52"/>
        <v>12.4877806225419</v>
      </c>
      <c r="H114" s="55">
        <f t="shared" si="52"/>
        <v>13.26362008799</v>
      </c>
      <c r="I114" s="55">
        <f t="shared" si="52"/>
        <v>17.9217186209179</v>
      </c>
      <c r="J114" s="55">
        <f t="shared" si="52"/>
        <v>17.4828465115654</v>
      </c>
      <c r="K114" s="55">
        <f t="shared" si="52"/>
        <v>20.0032476029752</v>
      </c>
      <c r="L114" s="55">
        <f t="shared" si="52"/>
        <v>32.1905282991064</v>
      </c>
      <c r="M114" s="55">
        <f t="shared" si="52"/>
        <v>25.9899930587241</v>
      </c>
      <c r="N114" s="55">
        <f t="shared" si="52"/>
        <v>24.4959048275102</v>
      </c>
      <c r="O114" s="55">
        <f t="shared" si="52"/>
        <v>27.3775340684571</v>
      </c>
      <c r="P114" s="55">
        <f t="shared" si="52"/>
        <v>36.4324605835538</v>
      </c>
      <c r="Q114" s="55"/>
      <c r="R114" s="55">
        <f>AVERAGE(E114:Q114)</f>
        <v>22.1527907745677</v>
      </c>
      <c r="S114" s="52"/>
      <c r="T114" s="52"/>
      <c r="U114" s="52">
        <f>_xlfn.STDEV.S(E114:Q114)</f>
        <v>7.78694184738713</v>
      </c>
      <c r="V114" s="52">
        <f>R114-U114</f>
        <v>14.3658489271806</v>
      </c>
      <c r="W114" s="55"/>
    </row>
    <row r="115" s="26" customFormat="1" spans="3:23">
      <c r="C115" s="42" t="s">
        <v>86</v>
      </c>
      <c r="D115" s="67"/>
      <c r="E115" s="41"/>
      <c r="F115" s="41">
        <f t="shared" ref="F115:P115" si="53">F80/F111</f>
        <v>7.79023112389858</v>
      </c>
      <c r="G115" s="41">
        <f t="shared" si="53"/>
        <v>10.4734427209808</v>
      </c>
      <c r="H115" s="41">
        <f t="shared" si="53"/>
        <v>10.102712321918</v>
      </c>
      <c r="I115" s="41">
        <f t="shared" si="53"/>
        <v>11.1795265148596</v>
      </c>
      <c r="J115" s="41">
        <f t="shared" si="53"/>
        <v>13.9640263925067</v>
      </c>
      <c r="K115" s="41">
        <f t="shared" si="53"/>
        <v>14.638766957305</v>
      </c>
      <c r="L115" s="41">
        <f t="shared" si="53"/>
        <v>16.1700437238831</v>
      </c>
      <c r="M115" s="41">
        <f t="shared" si="53"/>
        <v>22.2695419542204</v>
      </c>
      <c r="N115" s="41">
        <f t="shared" si="53"/>
        <v>24.7329541801715</v>
      </c>
      <c r="O115" s="41">
        <f t="shared" si="53"/>
        <v>24.6484563629686</v>
      </c>
      <c r="P115" s="41">
        <f t="shared" si="53"/>
        <v>25.8676017507954</v>
      </c>
      <c r="Q115" s="41"/>
      <c r="R115" s="41"/>
      <c r="S115" s="41"/>
      <c r="T115" s="41"/>
      <c r="U115" s="41"/>
      <c r="V115" s="41"/>
      <c r="W115" s="41"/>
    </row>
    <row r="116" s="25" customFormat="1" spans="3:23">
      <c r="C116" s="65" t="s">
        <v>87</v>
      </c>
      <c r="D116" s="66"/>
      <c r="E116" s="55"/>
      <c r="F116" s="55">
        <f t="shared" ref="F116:P116" si="54">F112/F115</f>
        <v>3.4658791980087</v>
      </c>
      <c r="G116" s="55">
        <f t="shared" si="54"/>
        <v>2.85293010102047</v>
      </c>
      <c r="H116" s="55">
        <f t="shared" si="54"/>
        <v>2.81013643617342</v>
      </c>
      <c r="I116" s="55">
        <f t="shared" si="54"/>
        <v>3.78012431419423</v>
      </c>
      <c r="J116" s="55">
        <f t="shared" si="54"/>
        <v>3.9186405454922</v>
      </c>
      <c r="K116" s="55">
        <f t="shared" si="54"/>
        <v>4.24830863018595</v>
      </c>
      <c r="L116" s="55">
        <f t="shared" si="54"/>
        <v>6.73220195683296</v>
      </c>
      <c r="M116" s="55">
        <f t="shared" si="54"/>
        <v>6.72667629661825</v>
      </c>
      <c r="N116" s="55">
        <f t="shared" si="54"/>
        <v>6.19982549933051</v>
      </c>
      <c r="O116" s="55">
        <f t="shared" si="54"/>
        <v>6.92822290715786</v>
      </c>
      <c r="P116" s="55">
        <f t="shared" si="54"/>
        <v>8.73331830976767</v>
      </c>
      <c r="Q116" s="55"/>
      <c r="R116" s="55">
        <f t="shared" ref="R116:R121" si="55">AVERAGE(E116:Q116)</f>
        <v>5.12693310861657</v>
      </c>
      <c r="S116" s="52"/>
      <c r="T116" s="52"/>
      <c r="U116" s="52">
        <f>_xlfn.STDEV.S(E116:Q116)</f>
        <v>1.99703294907601</v>
      </c>
      <c r="V116" s="52">
        <f>R116-U116</f>
        <v>3.12990015954056</v>
      </c>
      <c r="W116" s="55"/>
    </row>
    <row r="117" s="27" customFormat="1" spans="3:23">
      <c r="C117" s="62"/>
      <c r="D117" s="29"/>
      <c r="E117" s="29"/>
      <c r="F117" s="29"/>
      <c r="G117" s="29"/>
      <c r="H117" s="29"/>
      <c r="I117" s="29"/>
      <c r="J117" s="29"/>
      <c r="K117" s="29"/>
      <c r="L117" s="29"/>
      <c r="M117" s="29"/>
      <c r="N117" s="29"/>
      <c r="O117" s="29"/>
      <c r="P117" s="29"/>
      <c r="Q117" s="29"/>
      <c r="R117" s="72"/>
      <c r="S117" s="30"/>
      <c r="T117" s="30"/>
      <c r="U117" s="30"/>
      <c r="V117" s="29"/>
      <c r="W117" s="29"/>
    </row>
    <row r="118" s="27" customFormat="1" spans="3:23">
      <c r="C118" s="68" t="s">
        <v>88</v>
      </c>
      <c r="D118" s="69"/>
      <c r="E118" s="29"/>
      <c r="F118" s="29">
        <f t="shared" ref="F118:P118" si="56">F111*F112</f>
        <v>633545.388</v>
      </c>
      <c r="G118" s="29">
        <f t="shared" si="56"/>
        <v>666772.55856</v>
      </c>
      <c r="H118" s="29">
        <f t="shared" si="56"/>
        <v>605975.01096</v>
      </c>
      <c r="I118" s="29">
        <f t="shared" si="56"/>
        <v>866533.01704</v>
      </c>
      <c r="J118" s="29">
        <f t="shared" si="56"/>
        <v>1040771.33568</v>
      </c>
      <c r="K118" s="29">
        <f t="shared" si="56"/>
        <v>1105299.44955</v>
      </c>
      <c r="L118" s="29">
        <f t="shared" si="56"/>
        <v>1848090.42018</v>
      </c>
      <c r="M118" s="29">
        <f t="shared" si="56"/>
        <v>2460732.5428</v>
      </c>
      <c r="N118" s="29">
        <f t="shared" si="56"/>
        <v>2444764.7895</v>
      </c>
      <c r="O118" s="29">
        <f t="shared" si="56"/>
        <v>2655483.91697</v>
      </c>
      <c r="P118" s="29">
        <f t="shared" si="56"/>
        <v>3415033.12526</v>
      </c>
      <c r="Q118" s="29"/>
      <c r="R118" s="29"/>
      <c r="S118" s="30"/>
      <c r="T118" s="30"/>
      <c r="U118" s="30"/>
      <c r="V118" s="29"/>
      <c r="W118" s="29"/>
    </row>
    <row r="119" s="27" customFormat="1" spans="3:23">
      <c r="C119" s="68" t="s">
        <v>89</v>
      </c>
      <c r="D119" s="69"/>
      <c r="E119" s="29"/>
      <c r="F119" s="29">
        <f>F118+(F151+F155)-(F130+F131)</f>
        <v>637455.388</v>
      </c>
      <c r="G119" s="29">
        <f t="shared" ref="G119:P119" si="57">G118+(G151+G155)-(G130+G131)</f>
        <v>681000.55856</v>
      </c>
      <c r="H119" s="29">
        <f t="shared" si="57"/>
        <v>617747.01096</v>
      </c>
      <c r="I119" s="29">
        <f t="shared" si="57"/>
        <v>896055.01704</v>
      </c>
      <c r="J119" s="29">
        <f t="shared" si="57"/>
        <v>1076989.33568</v>
      </c>
      <c r="K119" s="29">
        <f t="shared" si="57"/>
        <v>1106809.44955</v>
      </c>
      <c r="L119" s="29">
        <f t="shared" si="57"/>
        <v>1864587.42018</v>
      </c>
      <c r="M119" s="29">
        <f t="shared" si="57"/>
        <v>2516812.5428</v>
      </c>
      <c r="N119" s="29">
        <f t="shared" si="57"/>
        <v>2506547.7895</v>
      </c>
      <c r="O119" s="29">
        <f t="shared" si="57"/>
        <v>2699031.91697</v>
      </c>
      <c r="P119" s="29">
        <f t="shared" si="57"/>
        <v>3446524.12526</v>
      </c>
      <c r="Q119" s="29"/>
      <c r="R119" s="29"/>
      <c r="S119" s="29"/>
      <c r="T119" s="29"/>
      <c r="U119" s="29"/>
      <c r="V119" s="29"/>
      <c r="W119" s="29"/>
    </row>
    <row r="120" s="2" customFormat="1" spans="3:23">
      <c r="C120" s="70" t="s">
        <v>90</v>
      </c>
      <c r="D120" s="71"/>
      <c r="E120" s="54"/>
      <c r="F120" s="55">
        <f>F119/(F183+F184+F102)</f>
        <v>10.3771083364535</v>
      </c>
      <c r="G120" s="55">
        <f t="shared" ref="G120:P120" si="58">G119/(G183+G184+G102)</f>
        <v>8.12921451749988</v>
      </c>
      <c r="H120" s="55">
        <f t="shared" si="58"/>
        <v>8.59450187069577</v>
      </c>
      <c r="I120" s="55">
        <f t="shared" si="58"/>
        <v>12.0687312049134</v>
      </c>
      <c r="J120" s="55">
        <f t="shared" si="58"/>
        <v>12.8509812624394</v>
      </c>
      <c r="K120" s="55">
        <f t="shared" si="58"/>
        <v>14.1383865100148</v>
      </c>
      <c r="L120" s="55">
        <f t="shared" si="58"/>
        <v>23.8600000023034</v>
      </c>
      <c r="M120" s="55">
        <f t="shared" si="58"/>
        <v>20.8879712410056</v>
      </c>
      <c r="N120" s="55">
        <f t="shared" si="58"/>
        <v>19.2504841483177</v>
      </c>
      <c r="O120" s="55">
        <f t="shared" si="58"/>
        <v>21.5482968102671</v>
      </c>
      <c r="P120" s="55">
        <f t="shared" si="58"/>
        <v>25.5430528811977</v>
      </c>
      <c r="Q120" s="54"/>
      <c r="R120" s="55">
        <f t="shared" si="55"/>
        <v>16.1135207986462</v>
      </c>
      <c r="S120" s="52"/>
      <c r="T120" s="52"/>
      <c r="U120" s="52"/>
      <c r="V120" s="55"/>
      <c r="W120" s="54"/>
    </row>
    <row r="121" s="2" customFormat="1" spans="3:23">
      <c r="C121" s="70" t="s">
        <v>91</v>
      </c>
      <c r="D121" s="71"/>
      <c r="E121" s="54"/>
      <c r="F121" s="55">
        <f t="shared" ref="F121:P121" si="59">F119/F80</f>
        <v>3.48726927979431</v>
      </c>
      <c r="G121" s="55">
        <f t="shared" si="59"/>
        <v>2.91380766557559</v>
      </c>
      <c r="H121" s="55">
        <f t="shared" si="59"/>
        <v>2.86472767430752</v>
      </c>
      <c r="I121" s="55">
        <f t="shared" si="59"/>
        <v>3.90890974741967</v>
      </c>
      <c r="J121" s="55">
        <f t="shared" si="59"/>
        <v>4.05500606442139</v>
      </c>
      <c r="K121" s="55">
        <f t="shared" si="59"/>
        <v>4.2541124384066</v>
      </c>
      <c r="L121" s="55">
        <f t="shared" si="59"/>
        <v>6.79229703360472</v>
      </c>
      <c r="M121" s="55">
        <f t="shared" si="59"/>
        <v>6.87997699068113</v>
      </c>
      <c r="N121" s="55">
        <f t="shared" si="59"/>
        <v>6.35650471054554</v>
      </c>
      <c r="O121" s="55">
        <f t="shared" si="59"/>
        <v>7.04184071114184</v>
      </c>
      <c r="P121" s="55">
        <f t="shared" si="59"/>
        <v>8.81385074292583</v>
      </c>
      <c r="Q121" s="54"/>
      <c r="R121" s="55">
        <f t="shared" si="55"/>
        <v>5.21530027807492</v>
      </c>
      <c r="S121" s="52"/>
      <c r="T121" s="52"/>
      <c r="U121" s="52"/>
      <c r="V121" s="55"/>
      <c r="W121" s="54"/>
    </row>
    <row r="123" spans="3:19">
      <c r="C123" s="42" t="s">
        <v>92</v>
      </c>
      <c r="D123" s="64"/>
      <c r="E123" s="30"/>
      <c r="F123" s="39">
        <f>ABS(F200/F110)</f>
        <v>1.8966407502283</v>
      </c>
      <c r="G123" s="39">
        <f t="shared" ref="G123:P123" si="60">ABS(G200/G110)</f>
        <v>2.07232691606888</v>
      </c>
      <c r="H123" s="39">
        <f t="shared" si="60"/>
        <v>2.27691567316309</v>
      </c>
      <c r="I123" s="39">
        <f t="shared" si="60"/>
        <v>2.49092846729966</v>
      </c>
      <c r="J123" s="39">
        <f t="shared" si="60"/>
        <v>2.88370985740021</v>
      </c>
      <c r="K123" s="39">
        <f t="shared" si="60"/>
        <v>0.794409705313329</v>
      </c>
      <c r="L123" s="39">
        <f t="shared" si="60"/>
        <v>0.82942784793544</v>
      </c>
      <c r="M123" s="39">
        <f t="shared" si="60"/>
        <v>0.880695712478387</v>
      </c>
      <c r="N123" s="39">
        <f t="shared" si="60"/>
        <v>0.930853941358272</v>
      </c>
      <c r="O123" s="39">
        <f t="shared" si="60"/>
        <v>0.966234151750273</v>
      </c>
      <c r="P123" s="39">
        <f t="shared" si="60"/>
        <v>1.00775389689316</v>
      </c>
      <c r="Q123" s="30"/>
      <c r="R123" s="30">
        <f>AVERAGE(E123:Q123)</f>
        <v>1.54817244726264</v>
      </c>
      <c r="S123" s="30">
        <f>MEDIAN(E123:Q123)</f>
        <v>1.00775389689316</v>
      </c>
    </row>
    <row r="124" spans="3:19">
      <c r="C124" s="42" t="s">
        <v>93</v>
      </c>
      <c r="D124" s="64"/>
      <c r="E124" s="30"/>
      <c r="F124" s="39">
        <f t="shared" ref="F124:P124" si="61">F123/F112</f>
        <v>0.0702459537121593</v>
      </c>
      <c r="G124" s="39">
        <f t="shared" si="61"/>
        <v>0.0693549838041793</v>
      </c>
      <c r="H124" s="39">
        <f t="shared" si="61"/>
        <v>0.0802013269870761</v>
      </c>
      <c r="I124" s="39">
        <f t="shared" si="61"/>
        <v>0.0589429358092679</v>
      </c>
      <c r="J124" s="39">
        <f t="shared" si="61"/>
        <v>0.0526993760489805</v>
      </c>
      <c r="K124" s="39">
        <f t="shared" si="61"/>
        <v>0.0127739138979471</v>
      </c>
      <c r="L124" s="39">
        <f t="shared" si="61"/>
        <v>0.00761921594649495</v>
      </c>
      <c r="M124" s="39">
        <f t="shared" si="61"/>
        <v>0.00587914360799992</v>
      </c>
      <c r="N124" s="39">
        <f t="shared" si="61"/>
        <v>0.0060705226383088</v>
      </c>
      <c r="O124" s="39">
        <f t="shared" si="61"/>
        <v>0.00565810242870687</v>
      </c>
      <c r="P124" s="39">
        <f t="shared" si="61"/>
        <v>0.00446086448981082</v>
      </c>
      <c r="Q124" s="30"/>
      <c r="R124" s="30">
        <f>AVERAGE(E124:Q124)</f>
        <v>0.0339914853973574</v>
      </c>
      <c r="S124" s="30">
        <f>MEDIAN(E124:Q124)</f>
        <v>0.0127739138979471</v>
      </c>
    </row>
    <row r="128" ht="15.75" spans="2:2">
      <c r="B128" s="33" t="s">
        <v>94</v>
      </c>
    </row>
    <row r="129" spans="2:2">
      <c r="B129" t="s">
        <v>95</v>
      </c>
    </row>
    <row r="130" spans="3:16">
      <c r="C130" t="s">
        <v>96</v>
      </c>
      <c r="F130" s="29">
        <v>13844</v>
      </c>
      <c r="G130" s="29">
        <v>21120</v>
      </c>
      <c r="H130" s="29">
        <v>20484</v>
      </c>
      <c r="I130" s="29">
        <v>20289</v>
      </c>
      <c r="J130" s="29">
        <v>25913</v>
      </c>
      <c r="K130" s="29">
        <v>48844</v>
      </c>
      <c r="L130" s="29">
        <v>38016</v>
      </c>
      <c r="M130" s="29">
        <v>34940</v>
      </c>
      <c r="N130" s="29">
        <v>23646</v>
      </c>
      <c r="O130" s="29">
        <v>29965</v>
      </c>
      <c r="P130" s="29">
        <v>29943</v>
      </c>
    </row>
    <row r="131" spans="3:16">
      <c r="C131" t="s">
        <v>97</v>
      </c>
      <c r="F131" s="29">
        <v>11233</v>
      </c>
      <c r="G131" s="29">
        <v>20481</v>
      </c>
      <c r="H131" s="29">
        <v>46671</v>
      </c>
      <c r="I131" s="29">
        <v>53892</v>
      </c>
      <c r="J131" s="29">
        <v>40388</v>
      </c>
      <c r="K131" s="29">
        <v>51713</v>
      </c>
      <c r="L131" s="29">
        <v>52927</v>
      </c>
      <c r="M131" s="29">
        <v>27699</v>
      </c>
      <c r="N131" s="29">
        <v>24658</v>
      </c>
      <c r="O131" s="29">
        <v>31590</v>
      </c>
      <c r="P131" s="29">
        <v>35228</v>
      </c>
    </row>
    <row r="132" spans="3:16">
      <c r="C132" t="s">
        <v>98</v>
      </c>
      <c r="F132" s="29">
        <v>17460</v>
      </c>
      <c r="G132" s="29">
        <v>16849</v>
      </c>
      <c r="H132" s="29">
        <v>15754</v>
      </c>
      <c r="I132" s="29">
        <v>17874</v>
      </c>
      <c r="J132" s="29">
        <v>23186</v>
      </c>
      <c r="K132" s="29">
        <v>22926</v>
      </c>
      <c r="L132" s="29">
        <v>16120</v>
      </c>
      <c r="M132" s="29">
        <v>26278</v>
      </c>
      <c r="N132" s="29">
        <v>28184</v>
      </c>
      <c r="O132" s="29">
        <v>29508</v>
      </c>
      <c r="P132" s="29">
        <v>33410</v>
      </c>
    </row>
    <row r="133" spans="3:16">
      <c r="C133" t="s">
        <v>99</v>
      </c>
      <c r="F133" s="29">
        <v>9759</v>
      </c>
      <c r="G133" s="29">
        <v>13494</v>
      </c>
      <c r="H133" s="29">
        <v>13545</v>
      </c>
      <c r="I133" s="29">
        <v>17799</v>
      </c>
      <c r="J133" s="29">
        <v>25809</v>
      </c>
      <c r="K133" s="29">
        <v>22878</v>
      </c>
      <c r="L133" s="29">
        <v>21325</v>
      </c>
      <c r="M133" s="29">
        <v>25228</v>
      </c>
      <c r="N133" s="29">
        <v>32748</v>
      </c>
      <c r="O133" s="29">
        <v>31477</v>
      </c>
      <c r="P133" s="29">
        <v>32833</v>
      </c>
    </row>
    <row r="134" spans="3:16">
      <c r="C134" t="s">
        <v>100</v>
      </c>
      <c r="F134" s="29">
        <v>2111</v>
      </c>
      <c r="G134" s="29">
        <v>2349</v>
      </c>
      <c r="H134" s="29">
        <v>2132</v>
      </c>
      <c r="I134" s="29">
        <v>4855</v>
      </c>
      <c r="J134" s="29">
        <v>3956</v>
      </c>
      <c r="K134" s="29">
        <v>4106</v>
      </c>
      <c r="L134" s="29">
        <v>4061</v>
      </c>
      <c r="M134" s="29">
        <v>6580</v>
      </c>
      <c r="N134" s="29">
        <v>4946</v>
      </c>
      <c r="O134" s="29">
        <v>6331</v>
      </c>
      <c r="P134" s="29">
        <v>7286</v>
      </c>
    </row>
    <row r="135" spans="3:16">
      <c r="C135" t="s">
        <v>101</v>
      </c>
      <c r="F135" s="29">
        <f>4318+9806</f>
        <v>14124</v>
      </c>
      <c r="G135" s="29">
        <v>15085</v>
      </c>
      <c r="H135" s="29">
        <v>8283</v>
      </c>
      <c r="I135" s="29">
        <v>13936</v>
      </c>
      <c r="J135" s="29">
        <v>12087</v>
      </c>
      <c r="K135" s="29">
        <v>12352</v>
      </c>
      <c r="L135" s="29">
        <v>11264</v>
      </c>
      <c r="M135" s="29">
        <v>14111</v>
      </c>
      <c r="N135" s="29">
        <v>21223</v>
      </c>
      <c r="O135" s="29">
        <v>14695</v>
      </c>
      <c r="P135" s="29">
        <v>14287</v>
      </c>
    </row>
    <row r="136" spans="2:16">
      <c r="B136" t="s">
        <v>102</v>
      </c>
      <c r="F136" s="35">
        <f t="shared" ref="F136:P136" si="62">SUM(F130:F135)</f>
        <v>68531</v>
      </c>
      <c r="G136" s="35">
        <f t="shared" si="62"/>
        <v>89378</v>
      </c>
      <c r="H136" s="35">
        <f t="shared" si="62"/>
        <v>106869</v>
      </c>
      <c r="I136" s="35">
        <f t="shared" si="62"/>
        <v>128645</v>
      </c>
      <c r="J136" s="35">
        <f t="shared" si="62"/>
        <v>131339</v>
      </c>
      <c r="K136" s="35">
        <f t="shared" si="62"/>
        <v>162819</v>
      </c>
      <c r="L136" s="35">
        <f t="shared" si="62"/>
        <v>143713</v>
      </c>
      <c r="M136" s="35">
        <f t="shared" si="62"/>
        <v>134836</v>
      </c>
      <c r="N136" s="35">
        <f t="shared" si="62"/>
        <v>135405</v>
      </c>
      <c r="O136" s="35">
        <f t="shared" si="62"/>
        <v>143566</v>
      </c>
      <c r="P136" s="35">
        <f t="shared" si="62"/>
        <v>152987</v>
      </c>
    </row>
    <row r="138" spans="2:2">
      <c r="B138" t="s">
        <v>103</v>
      </c>
    </row>
    <row r="139" spans="3:16">
      <c r="C139" t="s">
        <v>97</v>
      </c>
      <c r="F139" s="29">
        <v>130162</v>
      </c>
      <c r="G139" s="29">
        <v>164065</v>
      </c>
      <c r="H139" s="29">
        <v>170430</v>
      </c>
      <c r="I139" s="29">
        <v>194714</v>
      </c>
      <c r="J139" s="29">
        <v>170799</v>
      </c>
      <c r="K139" s="29">
        <v>105341</v>
      </c>
      <c r="L139" s="29">
        <v>100887</v>
      </c>
      <c r="M139" s="29">
        <v>127877</v>
      </c>
      <c r="N139" s="29">
        <v>120805</v>
      </c>
      <c r="O139" s="29">
        <v>100544</v>
      </c>
      <c r="P139" s="29">
        <v>91479</v>
      </c>
    </row>
    <row r="140" spans="3:16">
      <c r="C140" t="s">
        <v>104</v>
      </c>
      <c r="F140" s="29">
        <v>20624</v>
      </c>
      <c r="G140" s="29">
        <v>22471</v>
      </c>
      <c r="H140" s="29">
        <v>27010</v>
      </c>
      <c r="I140" s="29">
        <v>33783</v>
      </c>
      <c r="J140" s="29">
        <v>41304</v>
      </c>
      <c r="K140" s="29">
        <v>37378</v>
      </c>
      <c r="L140" s="29">
        <v>36766</v>
      </c>
      <c r="M140" s="29">
        <v>39440</v>
      </c>
      <c r="N140" s="29">
        <v>42117</v>
      </c>
      <c r="O140" s="29">
        <v>43715</v>
      </c>
      <c r="P140" s="29">
        <v>45680</v>
      </c>
    </row>
    <row r="141" spans="3:16">
      <c r="C141" t="s">
        <v>105</v>
      </c>
      <c r="F141" s="29">
        <f>4616+4142+3764</f>
        <v>12522</v>
      </c>
      <c r="G141" s="29">
        <f>5116+3893+5422</f>
        <v>14431</v>
      </c>
      <c r="H141" s="29">
        <f>5414+3206+8757</f>
        <v>17377</v>
      </c>
      <c r="I141" s="29">
        <v>18177</v>
      </c>
      <c r="J141" s="29">
        <v>22283</v>
      </c>
      <c r="K141" s="29">
        <v>32978</v>
      </c>
      <c r="L141" s="29">
        <v>42522</v>
      </c>
      <c r="M141" s="29">
        <v>48849</v>
      </c>
      <c r="N141" s="29">
        <v>54428</v>
      </c>
      <c r="O141" s="29">
        <v>64758</v>
      </c>
      <c r="P141" s="29">
        <v>74834</v>
      </c>
    </row>
    <row r="142" spans="2:16">
      <c r="B142" t="s">
        <v>106</v>
      </c>
      <c r="F142" s="35">
        <f t="shared" ref="F142:P142" si="63">SUM(F139:F141)</f>
        <v>163308</v>
      </c>
      <c r="G142" s="35">
        <f t="shared" si="63"/>
        <v>200967</v>
      </c>
      <c r="H142" s="35">
        <f t="shared" si="63"/>
        <v>214817</v>
      </c>
      <c r="I142" s="35">
        <f t="shared" si="63"/>
        <v>246674</v>
      </c>
      <c r="J142" s="35">
        <f t="shared" si="63"/>
        <v>234386</v>
      </c>
      <c r="K142" s="35">
        <f t="shared" si="63"/>
        <v>175697</v>
      </c>
      <c r="L142" s="35">
        <f t="shared" si="63"/>
        <v>180175</v>
      </c>
      <c r="M142" s="35">
        <f t="shared" si="63"/>
        <v>216166</v>
      </c>
      <c r="N142" s="35">
        <f t="shared" si="63"/>
        <v>217350</v>
      </c>
      <c r="O142" s="35">
        <f t="shared" si="63"/>
        <v>209017</v>
      </c>
      <c r="P142" s="35">
        <f t="shared" si="63"/>
        <v>211993</v>
      </c>
    </row>
    <row r="144" spans="2:16">
      <c r="B144" t="s">
        <v>107</v>
      </c>
      <c r="F144" s="35">
        <f t="shared" ref="F144:L144" si="64">F136+F142</f>
        <v>231839</v>
      </c>
      <c r="G144" s="35">
        <f t="shared" si="64"/>
        <v>290345</v>
      </c>
      <c r="H144" s="35">
        <f t="shared" si="64"/>
        <v>321686</v>
      </c>
      <c r="I144" s="35">
        <f t="shared" si="64"/>
        <v>375319</v>
      </c>
      <c r="J144" s="35">
        <f t="shared" si="64"/>
        <v>365725</v>
      </c>
      <c r="K144" s="35">
        <f t="shared" si="64"/>
        <v>338516</v>
      </c>
      <c r="L144" s="35">
        <f t="shared" si="64"/>
        <v>323888</v>
      </c>
      <c r="M144" s="35">
        <f t="shared" ref="L144:P144" si="65">M136+M142</f>
        <v>351002</v>
      </c>
      <c r="N144" s="35">
        <f t="shared" si="65"/>
        <v>352755</v>
      </c>
      <c r="O144" s="35">
        <f t="shared" si="65"/>
        <v>352583</v>
      </c>
      <c r="P144" s="35">
        <f t="shared" si="65"/>
        <v>364980</v>
      </c>
    </row>
    <row r="146" spans="2:2">
      <c r="B146" t="s">
        <v>108</v>
      </c>
    </row>
    <row r="147" spans="3:16">
      <c r="C147" t="s">
        <v>109</v>
      </c>
      <c r="F147" s="29">
        <v>30196</v>
      </c>
      <c r="G147" s="29">
        <v>35490</v>
      </c>
      <c r="H147" s="29">
        <v>37294</v>
      </c>
      <c r="I147" s="29">
        <v>44242</v>
      </c>
      <c r="J147" s="29">
        <v>55888</v>
      </c>
      <c r="K147" s="29">
        <v>46236</v>
      </c>
      <c r="L147" s="29">
        <v>42296</v>
      </c>
      <c r="M147" s="29">
        <v>54763</v>
      </c>
      <c r="N147" s="29">
        <v>64115</v>
      </c>
      <c r="O147" s="29">
        <v>62611</v>
      </c>
      <c r="P147" s="29">
        <v>68960</v>
      </c>
    </row>
    <row r="148" spans="3:16">
      <c r="C148" t="s">
        <v>110</v>
      </c>
      <c r="F148" s="29">
        <v>18453</v>
      </c>
      <c r="G148" s="29">
        <v>25181</v>
      </c>
      <c r="H148" s="29">
        <v>22027</v>
      </c>
      <c r="I148" s="29">
        <v>30551</v>
      </c>
      <c r="J148" s="29">
        <v>33327</v>
      </c>
      <c r="K148" s="29">
        <v>37720</v>
      </c>
      <c r="L148" s="29">
        <v>42684</v>
      </c>
      <c r="M148" s="29">
        <v>47493</v>
      </c>
      <c r="N148" s="29">
        <v>60845</v>
      </c>
      <c r="O148" s="29">
        <v>58829</v>
      </c>
      <c r="P148" s="29">
        <v>78304</v>
      </c>
    </row>
    <row r="149" spans="3:16">
      <c r="C149" t="s">
        <v>111</v>
      </c>
      <c r="F149" s="29">
        <v>8491</v>
      </c>
      <c r="G149" s="29">
        <v>8940</v>
      </c>
      <c r="H149" s="29">
        <v>8080</v>
      </c>
      <c r="I149" s="29">
        <v>7548</v>
      </c>
      <c r="J149" s="29">
        <v>5966</v>
      </c>
      <c r="K149" s="29">
        <v>5522</v>
      </c>
      <c r="L149" s="29">
        <v>6643</v>
      </c>
      <c r="M149" s="29">
        <v>7612</v>
      </c>
      <c r="N149" s="29">
        <v>7912</v>
      </c>
      <c r="O149" s="29">
        <v>8061</v>
      </c>
      <c r="P149" s="29">
        <v>8249</v>
      </c>
    </row>
    <row r="150" spans="3:16">
      <c r="C150" t="s">
        <v>112</v>
      </c>
      <c r="F150" s="29">
        <v>6308</v>
      </c>
      <c r="G150" s="29">
        <v>8499</v>
      </c>
      <c r="H150" s="29">
        <v>8105</v>
      </c>
      <c r="I150" s="29">
        <v>11977</v>
      </c>
      <c r="J150" s="29">
        <v>11964</v>
      </c>
      <c r="K150" s="29">
        <v>5980</v>
      </c>
      <c r="L150" s="29">
        <v>4996</v>
      </c>
      <c r="M150" s="29">
        <v>6000</v>
      </c>
      <c r="N150" s="29">
        <v>9982</v>
      </c>
      <c r="O150" s="29">
        <v>5985</v>
      </c>
      <c r="P150" s="29">
        <v>9967</v>
      </c>
    </row>
    <row r="151" spans="3:16">
      <c r="C151" t="s">
        <v>113</v>
      </c>
      <c r="F151" s="29">
        <v>0</v>
      </c>
      <c r="G151" s="29">
        <v>2500</v>
      </c>
      <c r="H151" s="29">
        <v>3500</v>
      </c>
      <c r="I151" s="29">
        <v>6496</v>
      </c>
      <c r="J151" s="29">
        <v>8784</v>
      </c>
      <c r="K151" s="29">
        <v>10260</v>
      </c>
      <c r="L151" s="29">
        <v>8773</v>
      </c>
      <c r="M151" s="29">
        <v>9613</v>
      </c>
      <c r="N151" s="29">
        <v>11128</v>
      </c>
      <c r="O151" s="29">
        <v>9822</v>
      </c>
      <c r="P151" s="29">
        <v>10912</v>
      </c>
    </row>
    <row r="152" spans="2:16">
      <c r="B152" t="s">
        <v>114</v>
      </c>
      <c r="F152" s="35">
        <f t="shared" ref="F152:P152" si="66">SUM(F147:F151)</f>
        <v>63448</v>
      </c>
      <c r="G152" s="35">
        <f t="shared" si="66"/>
        <v>80610</v>
      </c>
      <c r="H152" s="35">
        <f t="shared" si="66"/>
        <v>79006</v>
      </c>
      <c r="I152" s="35">
        <f t="shared" si="66"/>
        <v>100814</v>
      </c>
      <c r="J152" s="35">
        <f t="shared" si="66"/>
        <v>115929</v>
      </c>
      <c r="K152" s="35">
        <f t="shared" si="66"/>
        <v>105718</v>
      </c>
      <c r="L152" s="35">
        <f t="shared" si="66"/>
        <v>105392</v>
      </c>
      <c r="M152" s="35">
        <f t="shared" si="66"/>
        <v>125481</v>
      </c>
      <c r="N152" s="35">
        <f t="shared" si="66"/>
        <v>153982</v>
      </c>
      <c r="O152" s="35">
        <f t="shared" si="66"/>
        <v>145308</v>
      </c>
      <c r="P152" s="35">
        <f t="shared" si="66"/>
        <v>176392</v>
      </c>
    </row>
    <row r="154" spans="2:2">
      <c r="B154" t="s">
        <v>115</v>
      </c>
    </row>
    <row r="155" spans="3:16">
      <c r="C155" t="s">
        <v>116</v>
      </c>
      <c r="F155" s="29">
        <v>28987</v>
      </c>
      <c r="G155" s="29">
        <v>53329</v>
      </c>
      <c r="H155" s="29">
        <v>75427</v>
      </c>
      <c r="I155" s="29">
        <v>97207</v>
      </c>
      <c r="J155" s="29">
        <v>93735</v>
      </c>
      <c r="K155" s="29">
        <v>91807</v>
      </c>
      <c r="L155" s="29">
        <v>98667</v>
      </c>
      <c r="M155" s="29">
        <v>109106</v>
      </c>
      <c r="N155" s="29">
        <v>98959</v>
      </c>
      <c r="O155" s="29">
        <v>95281</v>
      </c>
      <c r="P155" s="29">
        <v>85750</v>
      </c>
    </row>
    <row r="156" spans="3:16">
      <c r="C156" t="s">
        <v>117</v>
      </c>
      <c r="F156" s="29">
        <f>3031+24826</f>
        <v>27857</v>
      </c>
      <c r="G156" s="29">
        <f>3624+33427</f>
        <v>37051</v>
      </c>
      <c r="H156" s="29">
        <f>2930+36074</f>
        <v>39004</v>
      </c>
      <c r="I156" s="29">
        <f>2836+40415</f>
        <v>43251</v>
      </c>
      <c r="J156" s="29">
        <v>48914</v>
      </c>
      <c r="K156" s="29">
        <v>50503</v>
      </c>
      <c r="L156" s="29">
        <v>54490</v>
      </c>
      <c r="M156" s="29">
        <v>53325</v>
      </c>
      <c r="N156" s="29">
        <v>49142</v>
      </c>
      <c r="O156" s="29">
        <v>49848</v>
      </c>
      <c r="P156" s="29">
        <v>45888</v>
      </c>
    </row>
    <row r="157" spans="2:16">
      <c r="B157" t="s">
        <v>118</v>
      </c>
      <c r="F157" s="35">
        <f t="shared" ref="F157:P157" si="67">SUM(F155:F156)</f>
        <v>56844</v>
      </c>
      <c r="G157" s="35">
        <f t="shared" si="67"/>
        <v>90380</v>
      </c>
      <c r="H157" s="35">
        <f t="shared" si="67"/>
        <v>114431</v>
      </c>
      <c r="I157" s="35">
        <f t="shared" si="67"/>
        <v>140458</v>
      </c>
      <c r="J157" s="35">
        <f t="shared" si="67"/>
        <v>142649</v>
      </c>
      <c r="K157" s="35">
        <f t="shared" si="67"/>
        <v>142310</v>
      </c>
      <c r="L157" s="35">
        <f t="shared" si="67"/>
        <v>153157</v>
      </c>
      <c r="M157" s="35">
        <f t="shared" si="67"/>
        <v>162431</v>
      </c>
      <c r="N157" s="35">
        <f t="shared" si="67"/>
        <v>148101</v>
      </c>
      <c r="O157" s="35">
        <f t="shared" si="67"/>
        <v>145129</v>
      </c>
      <c r="P157" s="35">
        <f t="shared" si="67"/>
        <v>131638</v>
      </c>
    </row>
    <row r="159" spans="2:16">
      <c r="B159" t="s">
        <v>119</v>
      </c>
      <c r="F159" s="35">
        <f t="shared" ref="F159:L159" si="68">F152+F157</f>
        <v>120292</v>
      </c>
      <c r="G159" s="35">
        <f t="shared" si="68"/>
        <v>170990</v>
      </c>
      <c r="H159" s="35">
        <f t="shared" si="68"/>
        <v>193437</v>
      </c>
      <c r="I159" s="35">
        <f t="shared" si="68"/>
        <v>241272</v>
      </c>
      <c r="J159" s="35">
        <f t="shared" si="68"/>
        <v>258578</v>
      </c>
      <c r="K159" s="35">
        <f t="shared" si="68"/>
        <v>248028</v>
      </c>
      <c r="L159" s="35">
        <f t="shared" si="68"/>
        <v>258549</v>
      </c>
      <c r="M159" s="35">
        <f t="shared" ref="L159:P159" si="69">M152+M157</f>
        <v>287912</v>
      </c>
      <c r="N159" s="35">
        <f t="shared" si="69"/>
        <v>302083</v>
      </c>
      <c r="O159" s="35">
        <f t="shared" si="69"/>
        <v>290437</v>
      </c>
      <c r="P159" s="35">
        <f t="shared" si="69"/>
        <v>308030</v>
      </c>
    </row>
    <row r="161" spans="2:2">
      <c r="B161" t="s">
        <v>120</v>
      </c>
    </row>
    <row r="162" spans="3:16">
      <c r="C162" t="s">
        <v>121</v>
      </c>
      <c r="F162" s="29">
        <v>23313</v>
      </c>
      <c r="G162" s="29">
        <v>27416</v>
      </c>
      <c r="H162" s="29">
        <v>31251</v>
      </c>
      <c r="I162" s="29">
        <v>35867</v>
      </c>
      <c r="J162" s="29">
        <v>40201</v>
      </c>
      <c r="K162" s="29">
        <v>45174</v>
      </c>
      <c r="L162" s="29">
        <v>50779</v>
      </c>
      <c r="M162" s="29">
        <v>57365</v>
      </c>
      <c r="N162" s="29">
        <v>64849</v>
      </c>
      <c r="O162" s="29">
        <v>73812</v>
      </c>
      <c r="P162" s="29">
        <v>83276</v>
      </c>
    </row>
    <row r="163" spans="3:16">
      <c r="C163" t="s">
        <v>122</v>
      </c>
      <c r="F163" s="29">
        <v>87152</v>
      </c>
      <c r="G163" s="29">
        <v>92284</v>
      </c>
      <c r="H163" s="29">
        <v>96364</v>
      </c>
      <c r="I163" s="29">
        <v>98330</v>
      </c>
      <c r="J163" s="29">
        <v>70400</v>
      </c>
      <c r="K163" s="29">
        <v>45898</v>
      </c>
      <c r="L163" s="29">
        <v>14966</v>
      </c>
      <c r="M163" s="29">
        <v>5562</v>
      </c>
      <c r="N163" s="29">
        <v>-3068</v>
      </c>
      <c r="O163" s="29">
        <v>-214</v>
      </c>
      <c r="P163" s="29">
        <v>-19154</v>
      </c>
    </row>
    <row r="164" spans="3:16">
      <c r="C164" t="s">
        <v>123</v>
      </c>
      <c r="F164" s="29">
        <v>1082</v>
      </c>
      <c r="G164" s="29">
        <v>-345</v>
      </c>
      <c r="H164" s="29">
        <v>634</v>
      </c>
      <c r="I164" s="29">
        <v>-150</v>
      </c>
      <c r="J164" s="29">
        <v>-3454</v>
      </c>
      <c r="K164" s="29">
        <v>-584</v>
      </c>
      <c r="L164" s="29">
        <v>-406</v>
      </c>
      <c r="M164" s="29">
        <v>163</v>
      </c>
      <c r="N164" s="29">
        <v>-11109</v>
      </c>
      <c r="O164" s="29">
        <v>-11452</v>
      </c>
      <c r="P164" s="29">
        <v>-7172</v>
      </c>
    </row>
    <row r="165" spans="2:16">
      <c r="B165" t="s">
        <v>124</v>
      </c>
      <c r="F165" s="35">
        <f>SUM(F162:F164)</f>
        <v>111547</v>
      </c>
      <c r="G165" s="35">
        <f t="shared" ref="G165:P165" si="70">SUM(G162:G164)</f>
        <v>119355</v>
      </c>
      <c r="H165" s="35">
        <f t="shared" si="70"/>
        <v>128249</v>
      </c>
      <c r="I165" s="35">
        <f t="shared" si="70"/>
        <v>134047</v>
      </c>
      <c r="J165" s="35">
        <f t="shared" si="70"/>
        <v>107147</v>
      </c>
      <c r="K165" s="35">
        <f t="shared" si="70"/>
        <v>90488</v>
      </c>
      <c r="L165" s="35">
        <f t="shared" si="70"/>
        <v>65339</v>
      </c>
      <c r="M165" s="35">
        <f t="shared" si="70"/>
        <v>63090</v>
      </c>
      <c r="N165" s="35">
        <f t="shared" si="70"/>
        <v>50672</v>
      </c>
      <c r="O165" s="35">
        <f t="shared" si="70"/>
        <v>62146</v>
      </c>
      <c r="P165" s="35">
        <f t="shared" si="70"/>
        <v>56950</v>
      </c>
    </row>
    <row r="167" spans="2:16">
      <c r="B167" t="s">
        <v>125</v>
      </c>
      <c r="F167" s="35">
        <f t="shared" ref="F167:L167" si="71">F159+F165</f>
        <v>231839</v>
      </c>
      <c r="G167" s="35">
        <f t="shared" si="71"/>
        <v>290345</v>
      </c>
      <c r="H167" s="35">
        <f t="shared" si="71"/>
        <v>321686</v>
      </c>
      <c r="I167" s="35">
        <f t="shared" si="71"/>
        <v>375319</v>
      </c>
      <c r="J167" s="35">
        <f t="shared" si="71"/>
        <v>365725</v>
      </c>
      <c r="K167" s="35">
        <f t="shared" si="71"/>
        <v>338516</v>
      </c>
      <c r="L167" s="35">
        <f t="shared" si="71"/>
        <v>323888</v>
      </c>
      <c r="M167" s="35">
        <f t="shared" ref="L167:P167" si="72">M159+M165</f>
        <v>351002</v>
      </c>
      <c r="N167" s="35">
        <f t="shared" si="72"/>
        <v>352755</v>
      </c>
      <c r="O167" s="35">
        <f t="shared" si="72"/>
        <v>352583</v>
      </c>
      <c r="P167" s="35">
        <f t="shared" si="72"/>
        <v>364980</v>
      </c>
    </row>
    <row r="169" ht="15.75" spans="3:4">
      <c r="C169" s="37" t="s">
        <v>4</v>
      </c>
      <c r="D169" s="38"/>
    </row>
    <row r="170" s="24" customFormat="1" spans="3:23">
      <c r="C170" s="42" t="s">
        <v>126</v>
      </c>
      <c r="D170" s="64"/>
      <c r="E170" s="30"/>
      <c r="F170" s="30">
        <f t="shared" ref="F170:P170" si="73">F159/F144</f>
        <v>0.518860070997546</v>
      </c>
      <c r="G170" s="30">
        <f t="shared" si="73"/>
        <v>0.588920077838434</v>
      </c>
      <c r="H170" s="30">
        <f t="shared" si="73"/>
        <v>0.601322407565141</v>
      </c>
      <c r="I170" s="30">
        <f t="shared" si="73"/>
        <v>0.642845153056467</v>
      </c>
      <c r="J170" s="30">
        <f t="shared" si="73"/>
        <v>0.707028505024267</v>
      </c>
      <c r="K170" s="30">
        <f t="shared" si="73"/>
        <v>0.732692103179761</v>
      </c>
      <c r="L170" s="30">
        <f t="shared" si="73"/>
        <v>0.798266684779924</v>
      </c>
      <c r="M170" s="30">
        <f t="shared" si="73"/>
        <v>0.820257434430573</v>
      </c>
      <c r="N170" s="30">
        <f t="shared" si="73"/>
        <v>0.856353559836147</v>
      </c>
      <c r="O170" s="30">
        <f t="shared" si="73"/>
        <v>0.823740792948043</v>
      </c>
      <c r="P170" s="30">
        <f t="shared" si="73"/>
        <v>0.843964052824812</v>
      </c>
      <c r="Q170" s="30"/>
      <c r="R170" s="73">
        <f>AVERAGE(E170:Q170)</f>
        <v>0.721295531134647</v>
      </c>
      <c r="S170" s="30"/>
      <c r="T170" s="30"/>
      <c r="U170" s="30"/>
      <c r="V170" s="30"/>
      <c r="W170" s="30"/>
    </row>
    <row r="171" s="24" customFormat="1" spans="3:23">
      <c r="C171" s="42" t="s">
        <v>127</v>
      </c>
      <c r="D171" s="64"/>
      <c r="E171" s="30"/>
      <c r="F171" s="30">
        <f t="shared" ref="F171:P171" si="74">F159/F165</f>
        <v>1.07839744681614</v>
      </c>
      <c r="G171" s="30">
        <f t="shared" si="74"/>
        <v>1.43261698295002</v>
      </c>
      <c r="H171" s="30">
        <f t="shared" si="74"/>
        <v>1.50829246231939</v>
      </c>
      <c r="I171" s="30">
        <f t="shared" si="74"/>
        <v>1.79990600311831</v>
      </c>
      <c r="J171" s="30">
        <f t="shared" si="74"/>
        <v>2.41330135234771</v>
      </c>
      <c r="K171" s="30">
        <f t="shared" si="74"/>
        <v>2.74100433206613</v>
      </c>
      <c r="L171" s="30">
        <f t="shared" si="74"/>
        <v>3.95703944045669</v>
      </c>
      <c r="M171" s="30">
        <f t="shared" si="74"/>
        <v>4.5635124425424</v>
      </c>
      <c r="N171" s="30">
        <f t="shared" si="74"/>
        <v>5.96153694347963</v>
      </c>
      <c r="O171" s="30">
        <f t="shared" si="74"/>
        <v>4.67346249155215</v>
      </c>
      <c r="P171" s="30">
        <f t="shared" si="74"/>
        <v>5.40877963125549</v>
      </c>
      <c r="Q171" s="30"/>
      <c r="R171" s="73">
        <f>AVERAGE(E171:Q171)</f>
        <v>3.23071359353673</v>
      </c>
      <c r="S171" s="30"/>
      <c r="T171" s="30"/>
      <c r="U171" s="30"/>
      <c r="V171" s="30"/>
      <c r="W171" s="30"/>
    </row>
    <row r="172" s="24" customFormat="1" spans="3:23">
      <c r="C172" s="42" t="s">
        <v>128</v>
      </c>
      <c r="D172" s="64"/>
      <c r="E172" s="30"/>
      <c r="F172" s="30">
        <f t="shared" ref="F172:P172" si="75">F159/F80</f>
        <v>0.658070516151974</v>
      </c>
      <c r="G172" s="30">
        <f t="shared" si="75"/>
        <v>0.731617568405964</v>
      </c>
      <c r="H172" s="30">
        <f t="shared" si="75"/>
        <v>0.89704088778004</v>
      </c>
      <c r="I172" s="30">
        <f t="shared" si="75"/>
        <v>1.05251402497012</v>
      </c>
      <c r="J172" s="30">
        <f t="shared" si="75"/>
        <v>0.973580074926109</v>
      </c>
      <c r="K172" s="30">
        <f t="shared" si="75"/>
        <v>0.953315857848978</v>
      </c>
      <c r="L172" s="30">
        <f t="shared" si="75"/>
        <v>0.941839243757172</v>
      </c>
      <c r="M172" s="30">
        <f t="shared" si="75"/>
        <v>0.787038327907123</v>
      </c>
      <c r="N172" s="30">
        <f t="shared" si="75"/>
        <v>0.766070377959465</v>
      </c>
      <c r="O172" s="30">
        <f t="shared" si="75"/>
        <v>0.75775728243996</v>
      </c>
      <c r="P172" s="30">
        <f t="shared" si="75"/>
        <v>0.787729998593476</v>
      </c>
      <c r="Q172" s="30"/>
      <c r="R172" s="73">
        <f>AVERAGE(E172:Q172)</f>
        <v>0.846052196430944</v>
      </c>
      <c r="S172" s="30"/>
      <c r="T172" s="30"/>
      <c r="U172" s="30"/>
      <c r="V172" s="30"/>
      <c r="W172" s="30"/>
    </row>
    <row r="174" customFormat="1" ht="15.75" spans="3:22">
      <c r="C174" s="37" t="s">
        <v>5</v>
      </c>
      <c r="D174" s="38"/>
      <c r="E174" s="28"/>
      <c r="F174" s="29"/>
      <c r="G174" s="29"/>
      <c r="H174" s="29"/>
      <c r="I174" s="29"/>
      <c r="J174" s="29"/>
      <c r="K174" s="29"/>
      <c r="L174" s="29"/>
      <c r="M174" s="29"/>
      <c r="N174" s="29"/>
      <c r="O174" s="29"/>
      <c r="P174" s="29"/>
      <c r="Q174" s="28"/>
      <c r="R174" s="29"/>
      <c r="S174" s="30"/>
      <c r="T174" s="30"/>
      <c r="U174" s="30"/>
      <c r="V174" s="29"/>
    </row>
    <row r="175" customFormat="1" spans="3:22">
      <c r="C175" s="42" t="s">
        <v>129</v>
      </c>
      <c r="D175" s="64"/>
      <c r="E175" s="30"/>
      <c r="F175" s="30">
        <f t="shared" ref="F175:P175" si="76">F82/F134</f>
        <v>0</v>
      </c>
      <c r="G175" s="30">
        <f t="shared" si="76"/>
        <v>0</v>
      </c>
      <c r="H175" s="30">
        <f t="shared" si="76"/>
        <v>0</v>
      </c>
      <c r="I175" s="30">
        <f t="shared" si="76"/>
        <v>26.0220391349125</v>
      </c>
      <c r="J175" s="30">
        <f t="shared" si="76"/>
        <v>37.4529828109201</v>
      </c>
      <c r="K175" s="30">
        <f t="shared" si="76"/>
        <v>35.3132001948368</v>
      </c>
      <c r="L175" s="30">
        <f t="shared" si="76"/>
        <v>37.2533858655504</v>
      </c>
      <c r="M175" s="30">
        <f t="shared" si="76"/>
        <v>29.2197568389058</v>
      </c>
      <c r="N175" s="30">
        <f t="shared" si="76"/>
        <v>40.7341285887586</v>
      </c>
      <c r="O175" s="30">
        <f t="shared" si="76"/>
        <v>29.8976465013426</v>
      </c>
      <c r="P175" s="30">
        <f t="shared" si="76"/>
        <v>25.4231402690091</v>
      </c>
      <c r="Q175" s="30"/>
      <c r="R175" s="73">
        <f>AVERAGE(E175:Q175)</f>
        <v>23.7560254731123</v>
      </c>
      <c r="S175" s="30"/>
      <c r="T175" s="30"/>
      <c r="U175" s="30"/>
      <c r="V175" s="29"/>
    </row>
    <row r="176" s="24" customFormat="1" spans="3:22">
      <c r="C176" s="42" t="s">
        <v>130</v>
      </c>
      <c r="D176" s="64"/>
      <c r="E176" s="30"/>
      <c r="F176" s="30">
        <f t="shared" ref="F176:P176" si="77">F80/F132</f>
        <v>10.4693585337915</v>
      </c>
      <c r="G176" s="30">
        <f t="shared" si="77"/>
        <v>13.871149623123</v>
      </c>
      <c r="H176" s="30">
        <f t="shared" si="77"/>
        <v>13.6878887901485</v>
      </c>
      <c r="I176" s="30">
        <f t="shared" si="77"/>
        <v>12.8249972026407</v>
      </c>
      <c r="J176" s="30">
        <f t="shared" si="77"/>
        <v>11.454972828431</v>
      </c>
      <c r="K176" s="30">
        <f t="shared" si="77"/>
        <v>11.3484253685772</v>
      </c>
      <c r="L176" s="30">
        <f t="shared" si="77"/>
        <v>17.0294665012407</v>
      </c>
      <c r="M176" s="30">
        <f t="shared" si="77"/>
        <v>13.9210366085699</v>
      </c>
      <c r="N176" s="30">
        <f t="shared" si="77"/>
        <v>13.9912006812376</v>
      </c>
      <c r="O176" s="30">
        <f t="shared" si="77"/>
        <v>12.9891893723736</v>
      </c>
      <c r="P176" s="30">
        <f t="shared" si="77"/>
        <v>11.7041304998503</v>
      </c>
      <c r="Q176" s="30"/>
      <c r="R176" s="73">
        <f>AVERAGE(E176:Q176)</f>
        <v>13.0265287281804</v>
      </c>
      <c r="V176" s="30"/>
    </row>
    <row r="177" s="24" customFormat="1" spans="3:22">
      <c r="C177" s="42" t="s">
        <v>131</v>
      </c>
      <c r="D177" s="64"/>
      <c r="E177" s="30"/>
      <c r="F177" s="30">
        <f t="shared" ref="F177:P177" si="78">F84/F147</f>
        <v>3.71764472115512</v>
      </c>
      <c r="G177" s="30">
        <f t="shared" si="78"/>
        <v>3.947280924204</v>
      </c>
      <c r="H177" s="30">
        <f t="shared" si="78"/>
        <v>3.52271142811176</v>
      </c>
      <c r="I177" s="30">
        <f t="shared" si="78"/>
        <v>3.18810180371593</v>
      </c>
      <c r="J177" s="30">
        <f t="shared" si="78"/>
        <v>2.93007443458345</v>
      </c>
      <c r="K177" s="30">
        <f t="shared" si="78"/>
        <v>3.49904836058483</v>
      </c>
      <c r="L177" s="30">
        <f t="shared" si="78"/>
        <v>4.00886608662758</v>
      </c>
      <c r="M177" s="30">
        <f t="shared" si="78"/>
        <v>3.88914047806</v>
      </c>
      <c r="N177" s="30">
        <f t="shared" si="78"/>
        <v>3.48664119160883</v>
      </c>
      <c r="O177" s="30">
        <f t="shared" si="78"/>
        <v>3.4201178706617</v>
      </c>
      <c r="P177" s="30">
        <f t="shared" si="78"/>
        <v>3.05034802784223</v>
      </c>
      <c r="Q177" s="30"/>
      <c r="R177" s="73">
        <f>AVERAGE(E177:Q177)</f>
        <v>3.51454321155958</v>
      </c>
      <c r="V177" s="30"/>
    </row>
    <row r="181" ht="15.75" spans="2:16">
      <c r="B181" s="33" t="s">
        <v>132</v>
      </c>
      <c r="F181" s="36">
        <f t="shared" ref="F181:P181" si="79">F104</f>
        <v>39510</v>
      </c>
      <c r="G181" s="36">
        <f t="shared" si="79"/>
        <v>53394</v>
      </c>
      <c r="H181" s="36">
        <f t="shared" si="79"/>
        <v>45687</v>
      </c>
      <c r="I181" s="36">
        <f t="shared" si="79"/>
        <v>48351</v>
      </c>
      <c r="J181" s="36">
        <f t="shared" si="79"/>
        <v>59531</v>
      </c>
      <c r="K181" s="36">
        <f t="shared" si="79"/>
        <v>55256</v>
      </c>
      <c r="L181" s="36">
        <f t="shared" si="79"/>
        <v>57411</v>
      </c>
      <c r="M181" s="36">
        <f t="shared" si="79"/>
        <v>94680</v>
      </c>
      <c r="N181" s="36">
        <f t="shared" si="79"/>
        <v>99803</v>
      </c>
      <c r="O181" s="36">
        <f t="shared" si="79"/>
        <v>96995</v>
      </c>
      <c r="P181" s="36">
        <f t="shared" si="79"/>
        <v>93736</v>
      </c>
    </row>
    <row r="182" spans="2:2">
      <c r="B182" t="s">
        <v>133</v>
      </c>
    </row>
    <row r="183" spans="3:16">
      <c r="C183" t="s">
        <v>79</v>
      </c>
      <c r="F183" s="29">
        <v>39510</v>
      </c>
      <c r="G183" s="29">
        <v>53394</v>
      </c>
      <c r="H183" s="29">
        <v>45687</v>
      </c>
      <c r="I183" s="29">
        <v>48351</v>
      </c>
      <c r="J183" s="29">
        <v>59531</v>
      </c>
      <c r="K183" s="29">
        <v>55256</v>
      </c>
      <c r="L183" s="29">
        <v>57411</v>
      </c>
      <c r="M183" s="29">
        <v>94680</v>
      </c>
      <c r="N183" s="29">
        <v>99803</v>
      </c>
      <c r="O183" s="29">
        <v>96995</v>
      </c>
      <c r="P183" s="29">
        <v>93736</v>
      </c>
    </row>
    <row r="184" spans="3:16">
      <c r="C184" t="s">
        <v>134</v>
      </c>
      <c r="F184" s="29">
        <v>7946</v>
      </c>
      <c r="G184" s="29">
        <v>11257</v>
      </c>
      <c r="H184" s="29">
        <v>10505</v>
      </c>
      <c r="I184" s="29">
        <v>10157</v>
      </c>
      <c r="J184" s="29">
        <v>10903</v>
      </c>
      <c r="K184" s="29">
        <v>12547</v>
      </c>
      <c r="L184" s="29">
        <v>11056</v>
      </c>
      <c r="M184" s="29">
        <v>11284</v>
      </c>
      <c r="N184" s="29">
        <v>11104</v>
      </c>
      <c r="O184" s="29">
        <v>11519</v>
      </c>
      <c r="P184" s="29">
        <v>11445</v>
      </c>
    </row>
    <row r="185" spans="3:16">
      <c r="C185" t="s">
        <v>135</v>
      </c>
      <c r="F185" s="29">
        <v>2863</v>
      </c>
      <c r="G185" s="29">
        <v>3586</v>
      </c>
      <c r="H185" s="29">
        <v>4210</v>
      </c>
      <c r="I185" s="29">
        <v>4840</v>
      </c>
      <c r="J185" s="29">
        <v>5340</v>
      </c>
      <c r="K185" s="29">
        <v>6068</v>
      </c>
      <c r="L185" s="29">
        <v>6829</v>
      </c>
      <c r="M185" s="29">
        <v>7906</v>
      </c>
      <c r="N185" s="29">
        <v>9038</v>
      </c>
      <c r="O185" s="29">
        <v>10833</v>
      </c>
      <c r="P185" s="29">
        <v>11688</v>
      </c>
    </row>
    <row r="186" spans="3:16">
      <c r="C186" t="s">
        <v>136</v>
      </c>
      <c r="F186" s="29">
        <v>2347</v>
      </c>
      <c r="G186" s="29">
        <f>1382+385</f>
        <v>1767</v>
      </c>
      <c r="H186" s="29">
        <f>4938+486</f>
        <v>5424</v>
      </c>
      <c r="I186" s="29">
        <f>5966-166</f>
        <v>5800</v>
      </c>
      <c r="J186" s="29">
        <f>-32590-444</f>
        <v>-33034</v>
      </c>
      <c r="K186" s="29">
        <f>-340-652</f>
        <v>-992</v>
      </c>
      <c r="L186" s="29">
        <f>-215-97</f>
        <v>-312</v>
      </c>
      <c r="M186" s="29">
        <v>-4921</v>
      </c>
      <c r="N186" s="29">
        <v>1006</v>
      </c>
      <c r="O186" s="29">
        <v>-2227</v>
      </c>
      <c r="P186" s="29">
        <v>-2266</v>
      </c>
    </row>
    <row r="187" spans="3:16">
      <c r="C187" t="s">
        <v>137</v>
      </c>
      <c r="F187" s="29">
        <f>-4232-76-2220+167+5938+1460+6010</f>
        <v>7047</v>
      </c>
      <c r="G187" s="29">
        <f>417-238-3735-283+5001+1042+9058</f>
        <v>11262</v>
      </c>
      <c r="H187" s="29">
        <f>527+217-51+1055+2117-1554-1906</f>
        <v>405</v>
      </c>
      <c r="I187" s="29">
        <f>-2093-2723-4254-5318+8966-593+1092</f>
        <v>-4923</v>
      </c>
      <c r="J187" s="29">
        <f>-5322+828-8010-423+9175-3+38449</f>
        <v>34694</v>
      </c>
      <c r="K187" s="29">
        <f>245-289+2931+873-1923-625-4700</f>
        <v>-3488</v>
      </c>
      <c r="L187" s="29">
        <f>6917-127+1553-9588-4062+2081+8916</f>
        <v>5690</v>
      </c>
      <c r="M187" s="29">
        <f>-10125-3903-2642-8042+12326+7475</f>
        <v>-4911</v>
      </c>
      <c r="N187" s="29">
        <f>-1823-7520+1484-6499+9448+6110</f>
        <v>1200</v>
      </c>
      <c r="O187" s="29">
        <f>-1688+1271-1618-5684-1889+3031</f>
        <v>-6577</v>
      </c>
      <c r="P187" s="29">
        <f>-3788-1356-1046-11731+6020+15552</f>
        <v>3651</v>
      </c>
    </row>
    <row r="188" spans="2:16">
      <c r="B188" t="s">
        <v>138</v>
      </c>
      <c r="F188" s="35">
        <f t="shared" ref="F188:P188" si="80">SUM(F183:F187)</f>
        <v>59713</v>
      </c>
      <c r="G188" s="35">
        <f t="shared" si="80"/>
        <v>81266</v>
      </c>
      <c r="H188" s="35">
        <f t="shared" si="80"/>
        <v>66231</v>
      </c>
      <c r="I188" s="35">
        <f t="shared" si="80"/>
        <v>64225</v>
      </c>
      <c r="J188" s="35">
        <f t="shared" si="80"/>
        <v>77434</v>
      </c>
      <c r="K188" s="35">
        <f t="shared" si="80"/>
        <v>69391</v>
      </c>
      <c r="L188" s="35">
        <f t="shared" si="80"/>
        <v>80674</v>
      </c>
      <c r="M188" s="35">
        <f t="shared" si="80"/>
        <v>104038</v>
      </c>
      <c r="N188" s="35">
        <f t="shared" si="80"/>
        <v>122151</v>
      </c>
      <c r="O188" s="35">
        <f t="shared" si="80"/>
        <v>110543</v>
      </c>
      <c r="P188" s="35">
        <f t="shared" si="80"/>
        <v>118254</v>
      </c>
    </row>
    <row r="190" spans="2:2">
      <c r="B190" t="s">
        <v>139</v>
      </c>
    </row>
    <row r="191" spans="3:16">
      <c r="C191" t="s">
        <v>140</v>
      </c>
      <c r="F191" s="29">
        <v>-217128</v>
      </c>
      <c r="G191" s="29">
        <v>-166402</v>
      </c>
      <c r="H191" s="29">
        <v>-142428</v>
      </c>
      <c r="I191" s="29">
        <v>-159486</v>
      </c>
      <c r="J191" s="29">
        <v>-71356</v>
      </c>
      <c r="K191" s="29">
        <v>-39630</v>
      </c>
      <c r="L191" s="29">
        <v>-114938</v>
      </c>
      <c r="M191" s="29">
        <v>-109558</v>
      </c>
      <c r="N191" s="29">
        <v>-76923</v>
      </c>
      <c r="O191" s="29">
        <v>-29513</v>
      </c>
      <c r="P191" s="29">
        <v>-48656</v>
      </c>
    </row>
    <row r="192" spans="3:16">
      <c r="C192" t="s">
        <v>141</v>
      </c>
      <c r="F192" s="29">
        <v>18810</v>
      </c>
      <c r="G192" s="29">
        <v>14538</v>
      </c>
      <c r="H192" s="29">
        <v>21258</v>
      </c>
      <c r="I192" s="29">
        <v>31775</v>
      </c>
      <c r="J192" s="29">
        <v>55881</v>
      </c>
      <c r="K192" s="29">
        <v>40102</v>
      </c>
      <c r="L192" s="29">
        <v>69918</v>
      </c>
      <c r="M192" s="29">
        <v>59023</v>
      </c>
      <c r="N192" s="29">
        <v>29917</v>
      </c>
      <c r="O192" s="29">
        <v>39686</v>
      </c>
      <c r="P192" s="29">
        <v>51211</v>
      </c>
    </row>
    <row r="193" spans="3:16">
      <c r="C193" t="s">
        <v>142</v>
      </c>
      <c r="F193" s="29">
        <v>189301</v>
      </c>
      <c r="G193" s="29">
        <v>107447</v>
      </c>
      <c r="H193" s="29">
        <v>90536</v>
      </c>
      <c r="I193" s="29">
        <v>94564</v>
      </c>
      <c r="J193" s="29">
        <v>47838</v>
      </c>
      <c r="K193" s="29">
        <v>56988</v>
      </c>
      <c r="L193" s="29">
        <v>50473</v>
      </c>
      <c r="M193" s="29">
        <v>47460</v>
      </c>
      <c r="N193" s="29">
        <v>37446</v>
      </c>
      <c r="O193" s="29">
        <v>5828</v>
      </c>
      <c r="P193" s="29">
        <v>11135</v>
      </c>
    </row>
    <row r="194" spans="3:16">
      <c r="C194" t="s">
        <v>143</v>
      </c>
      <c r="F194" s="29">
        <v>-9571</v>
      </c>
      <c r="G194" s="29">
        <v>-11247</v>
      </c>
      <c r="H194" s="29">
        <v>-12734</v>
      </c>
      <c r="I194" s="29">
        <v>-12451</v>
      </c>
      <c r="J194" s="29">
        <v>-13313</v>
      </c>
      <c r="K194" s="29">
        <v>-10495</v>
      </c>
      <c r="L194" s="29">
        <v>-7309</v>
      </c>
      <c r="M194" s="29">
        <v>-11085</v>
      </c>
      <c r="N194" s="29">
        <v>-10708</v>
      </c>
      <c r="O194" s="29">
        <v>-10959</v>
      </c>
      <c r="P194" s="29">
        <v>-9447</v>
      </c>
    </row>
    <row r="195" spans="3:16">
      <c r="C195" t="s">
        <v>136</v>
      </c>
      <c r="F195" s="29">
        <f>-3765-242-10+26</f>
        <v>-3991</v>
      </c>
      <c r="G195" s="29">
        <f>-343-241-26</f>
        <v>-610</v>
      </c>
      <c r="H195" s="29">
        <f>-297-1388-924</f>
        <v>-2609</v>
      </c>
      <c r="I195" s="29">
        <f>-329-521+126-124</f>
        <v>-848</v>
      </c>
      <c r="J195" s="29">
        <f>-721-1871+353-745</f>
        <v>-2984</v>
      </c>
      <c r="K195" s="29">
        <f>-624-1001+1634-1078</f>
        <v>-1069</v>
      </c>
      <c r="L195" s="29">
        <f>-1524-909</f>
        <v>-2433</v>
      </c>
      <c r="M195" s="29">
        <v>-385</v>
      </c>
      <c r="N195" s="29">
        <v>-2086</v>
      </c>
      <c r="O195" s="29">
        <v>-1337</v>
      </c>
      <c r="P195" s="29">
        <v>-1308</v>
      </c>
    </row>
    <row r="196" spans="2:16">
      <c r="B196" t="s">
        <v>144</v>
      </c>
      <c r="F196" s="35">
        <f t="shared" ref="F196:P196" si="81">SUM(F191:F195)</f>
        <v>-22579</v>
      </c>
      <c r="G196" s="35">
        <f t="shared" si="81"/>
        <v>-56274</v>
      </c>
      <c r="H196" s="35">
        <f t="shared" si="81"/>
        <v>-45977</v>
      </c>
      <c r="I196" s="35">
        <f t="shared" si="81"/>
        <v>-46446</v>
      </c>
      <c r="J196" s="35">
        <f t="shared" si="81"/>
        <v>16066</v>
      </c>
      <c r="K196" s="35">
        <f t="shared" si="81"/>
        <v>45896</v>
      </c>
      <c r="L196" s="35">
        <f t="shared" si="81"/>
        <v>-4289</v>
      </c>
      <c r="M196" s="35">
        <f t="shared" si="81"/>
        <v>-14545</v>
      </c>
      <c r="N196" s="35">
        <f t="shared" si="81"/>
        <v>-22354</v>
      </c>
      <c r="O196" s="35">
        <f t="shared" si="81"/>
        <v>3705</v>
      </c>
      <c r="P196" s="35">
        <f t="shared" si="81"/>
        <v>2935</v>
      </c>
    </row>
    <row r="198" spans="2:2">
      <c r="B198" t="s">
        <v>145</v>
      </c>
    </row>
    <row r="199" spans="3:16">
      <c r="C199" t="s">
        <v>146</v>
      </c>
      <c r="F199" s="29">
        <v>-1158</v>
      </c>
      <c r="G199" s="29">
        <v>-1499</v>
      </c>
      <c r="H199" s="29">
        <v>-1570</v>
      </c>
      <c r="I199" s="29">
        <v>-1874</v>
      </c>
      <c r="J199" s="29">
        <v>-2527</v>
      </c>
      <c r="K199" s="29">
        <v>-2817</v>
      </c>
      <c r="L199" s="29">
        <v>-3634</v>
      </c>
      <c r="M199" s="29">
        <v>-6556</v>
      </c>
      <c r="N199" s="29">
        <v>-6223</v>
      </c>
      <c r="O199" s="29">
        <v>-5431</v>
      </c>
      <c r="P199" s="29">
        <v>-5441</v>
      </c>
    </row>
    <row r="200" spans="3:16">
      <c r="C200" t="s">
        <v>147</v>
      </c>
      <c r="F200" s="29">
        <v>-11126</v>
      </c>
      <c r="G200" s="29">
        <v>-11561</v>
      </c>
      <c r="H200" s="29">
        <v>-12150</v>
      </c>
      <c r="I200" s="29">
        <v>-12769</v>
      </c>
      <c r="J200" s="29">
        <v>-13712</v>
      </c>
      <c r="K200" s="29">
        <v>-14119</v>
      </c>
      <c r="L200" s="29">
        <v>-14081</v>
      </c>
      <c r="M200" s="29">
        <v>-14467</v>
      </c>
      <c r="N200" s="29">
        <v>-14841</v>
      </c>
      <c r="O200" s="29">
        <v>-15025</v>
      </c>
      <c r="P200" s="29">
        <v>-15234</v>
      </c>
    </row>
    <row r="201" spans="3:16">
      <c r="C201" t="s">
        <v>148</v>
      </c>
      <c r="F201" s="29">
        <v>-45000</v>
      </c>
      <c r="G201" s="29">
        <v>-35253</v>
      </c>
      <c r="H201" s="29">
        <v>-29722</v>
      </c>
      <c r="I201" s="29">
        <v>-32900</v>
      </c>
      <c r="J201" s="29">
        <v>-72738</v>
      </c>
      <c r="K201" s="29">
        <v>-66897</v>
      </c>
      <c r="L201" s="29">
        <v>-72358</v>
      </c>
      <c r="M201" s="29">
        <v>-85971</v>
      </c>
      <c r="N201" s="29">
        <v>-89402</v>
      </c>
      <c r="O201" s="29">
        <v>-77550</v>
      </c>
      <c r="P201" s="29">
        <v>-94949</v>
      </c>
    </row>
    <row r="202" spans="3:16">
      <c r="C202" t="s">
        <v>149</v>
      </c>
      <c r="F202" s="29">
        <v>11960</v>
      </c>
      <c r="G202" s="29">
        <v>27114</v>
      </c>
      <c r="H202" s="29">
        <v>24954</v>
      </c>
      <c r="I202" s="29">
        <v>28662</v>
      </c>
      <c r="J202" s="29">
        <v>6969</v>
      </c>
      <c r="K202" s="29">
        <v>6963</v>
      </c>
      <c r="L202" s="29">
        <v>16091</v>
      </c>
      <c r="M202" s="29">
        <v>20393</v>
      </c>
      <c r="N202" s="29">
        <v>5465</v>
      </c>
      <c r="O202" s="29">
        <v>5228</v>
      </c>
      <c r="P202" s="29">
        <v>0</v>
      </c>
    </row>
    <row r="203" spans="3:16">
      <c r="C203" t="s">
        <v>150</v>
      </c>
      <c r="F203" s="29">
        <v>0</v>
      </c>
      <c r="G203" s="29">
        <v>0</v>
      </c>
      <c r="H203" s="29">
        <v>-2500</v>
      </c>
      <c r="I203" s="29">
        <v>-3500</v>
      </c>
      <c r="J203" s="29">
        <v>-6500</v>
      </c>
      <c r="K203" s="29">
        <v>-8805</v>
      </c>
      <c r="L203" s="29">
        <v>-12629</v>
      </c>
      <c r="M203" s="29">
        <v>-8750</v>
      </c>
      <c r="N203" s="29">
        <v>-9543</v>
      </c>
      <c r="O203" s="29">
        <v>-11151</v>
      </c>
      <c r="P203" s="29">
        <v>-9958</v>
      </c>
    </row>
    <row r="204" spans="3:16">
      <c r="C204" t="s">
        <v>151</v>
      </c>
      <c r="F204" s="29">
        <v>6306</v>
      </c>
      <c r="G204" s="29">
        <v>2191</v>
      </c>
      <c r="H204" s="29">
        <v>-397</v>
      </c>
      <c r="I204" s="29">
        <v>3852</v>
      </c>
      <c r="J204" s="29">
        <v>-37</v>
      </c>
      <c r="K204" s="29">
        <v>-5977</v>
      </c>
      <c r="L204" s="29">
        <v>-963</v>
      </c>
      <c r="M204" s="29">
        <v>1022</v>
      </c>
      <c r="N204" s="29">
        <v>3955</v>
      </c>
      <c r="O204" s="29">
        <v>-3978</v>
      </c>
      <c r="P204" s="29">
        <v>3960</v>
      </c>
    </row>
    <row r="205" spans="3:16">
      <c r="C205" t="s">
        <v>136</v>
      </c>
      <c r="F205" s="29">
        <f>730+739</f>
        <v>1469</v>
      </c>
      <c r="G205" s="29">
        <f>543+749</f>
        <v>1292</v>
      </c>
      <c r="H205" s="29">
        <f>495</f>
        <v>495</v>
      </c>
      <c r="I205" s="29">
        <f>555</f>
        <v>555</v>
      </c>
      <c r="J205" s="29">
        <f>669</f>
        <v>669</v>
      </c>
      <c r="K205" s="29">
        <f>781+105</f>
        <v>886</v>
      </c>
      <c r="L205" s="29">
        <v>754</v>
      </c>
      <c r="M205" s="29">
        <v>976</v>
      </c>
      <c r="N205" s="29">
        <v>-160</v>
      </c>
      <c r="O205" s="29">
        <v>-581</v>
      </c>
      <c r="P205" s="29">
        <v>-361</v>
      </c>
    </row>
    <row r="206" spans="2:16">
      <c r="B206" t="s">
        <v>152</v>
      </c>
      <c r="F206" s="35">
        <f t="shared" ref="F206:P206" si="82">SUM(F199:F205)</f>
        <v>-37549</v>
      </c>
      <c r="G206" s="35">
        <f t="shared" si="82"/>
        <v>-17716</v>
      </c>
      <c r="H206" s="35">
        <f t="shared" si="82"/>
        <v>-20890</v>
      </c>
      <c r="I206" s="35">
        <f t="shared" si="82"/>
        <v>-17974</v>
      </c>
      <c r="J206" s="35">
        <f t="shared" si="82"/>
        <v>-87876</v>
      </c>
      <c r="K206" s="35">
        <f t="shared" si="82"/>
        <v>-90766</v>
      </c>
      <c r="L206" s="35">
        <f t="shared" si="82"/>
        <v>-86820</v>
      </c>
      <c r="M206" s="35">
        <f t="shared" si="82"/>
        <v>-93353</v>
      </c>
      <c r="N206" s="35">
        <f t="shared" si="82"/>
        <v>-110749</v>
      </c>
      <c r="O206" s="35">
        <f t="shared" si="82"/>
        <v>-108488</v>
      </c>
      <c r="P206" s="35">
        <f t="shared" si="82"/>
        <v>-121983</v>
      </c>
    </row>
    <row r="208" spans="2:16">
      <c r="B208" t="s">
        <v>153</v>
      </c>
      <c r="F208" s="29">
        <v>0</v>
      </c>
      <c r="G208" s="29">
        <v>0</v>
      </c>
      <c r="H208" s="29">
        <v>0</v>
      </c>
      <c r="I208" s="29">
        <v>0</v>
      </c>
      <c r="J208" s="29">
        <v>0</v>
      </c>
      <c r="K208" s="29">
        <v>0</v>
      </c>
      <c r="L208" s="29">
        <v>0</v>
      </c>
      <c r="M208" s="29">
        <v>0</v>
      </c>
      <c r="N208" s="29">
        <v>0</v>
      </c>
      <c r="O208" s="29">
        <v>0</v>
      </c>
      <c r="P208" s="29">
        <v>0</v>
      </c>
    </row>
    <row r="210" spans="2:16">
      <c r="B210" t="s">
        <v>154</v>
      </c>
      <c r="F210" s="35">
        <f t="shared" ref="F210:P210" si="83">F188+F196+F206+F208</f>
        <v>-415</v>
      </c>
      <c r="G210" s="35">
        <f t="shared" si="83"/>
        <v>7276</v>
      </c>
      <c r="H210" s="35">
        <f t="shared" si="83"/>
        <v>-636</v>
      </c>
      <c r="I210" s="35">
        <f t="shared" si="83"/>
        <v>-195</v>
      </c>
      <c r="J210" s="35">
        <f t="shared" si="83"/>
        <v>5624</v>
      </c>
      <c r="K210" s="35">
        <f t="shared" si="83"/>
        <v>24521</v>
      </c>
      <c r="L210" s="35">
        <f t="shared" si="83"/>
        <v>-10435</v>
      </c>
      <c r="M210" s="35">
        <f t="shared" si="83"/>
        <v>-3860</v>
      </c>
      <c r="N210" s="35">
        <f t="shared" si="83"/>
        <v>-10952</v>
      </c>
      <c r="O210" s="35">
        <f t="shared" si="83"/>
        <v>5760</v>
      </c>
      <c r="P210" s="35">
        <f t="shared" si="83"/>
        <v>-794</v>
      </c>
    </row>
    <row r="211" spans="2:16">
      <c r="B211" t="s">
        <v>155</v>
      </c>
      <c r="F211" s="29">
        <v>14259</v>
      </c>
      <c r="G211" s="29">
        <v>13844</v>
      </c>
      <c r="H211" s="29">
        <v>21120</v>
      </c>
      <c r="I211" s="29">
        <v>20484</v>
      </c>
      <c r="J211" s="29">
        <v>20289</v>
      </c>
      <c r="K211" s="29">
        <v>25913</v>
      </c>
      <c r="L211" s="29">
        <v>50224</v>
      </c>
      <c r="M211" s="29">
        <v>39789</v>
      </c>
      <c r="N211" s="29">
        <v>35929</v>
      </c>
      <c r="O211" s="29">
        <v>24977</v>
      </c>
      <c r="P211" s="29">
        <v>30737</v>
      </c>
    </row>
    <row r="212" spans="2:16">
      <c r="B212" t="s">
        <v>156</v>
      </c>
      <c r="F212" s="35">
        <f t="shared" ref="F212:P212" si="84">SUM(F210:F211)</f>
        <v>13844</v>
      </c>
      <c r="G212" s="35">
        <f t="shared" si="84"/>
        <v>21120</v>
      </c>
      <c r="H212" s="35">
        <f t="shared" si="84"/>
        <v>20484</v>
      </c>
      <c r="I212" s="35">
        <f t="shared" si="84"/>
        <v>20289</v>
      </c>
      <c r="J212" s="35">
        <f t="shared" si="84"/>
        <v>25913</v>
      </c>
      <c r="K212" s="35">
        <f t="shared" si="84"/>
        <v>50434</v>
      </c>
      <c r="L212" s="35">
        <f t="shared" si="84"/>
        <v>39789</v>
      </c>
      <c r="M212" s="35">
        <f t="shared" si="84"/>
        <v>35929</v>
      </c>
      <c r="N212" s="35">
        <f t="shared" si="84"/>
        <v>24977</v>
      </c>
      <c r="O212" s="35">
        <f t="shared" si="84"/>
        <v>30737</v>
      </c>
      <c r="P212" s="35">
        <f t="shared" si="84"/>
        <v>29943</v>
      </c>
    </row>
    <row r="214" spans="2:16">
      <c r="B214" t="s">
        <v>157</v>
      </c>
      <c r="G214" s="29">
        <v>13252</v>
      </c>
      <c r="H214" s="29">
        <v>10444</v>
      </c>
      <c r="I214" s="29">
        <v>11591</v>
      </c>
      <c r="J214" s="29">
        <v>10417</v>
      </c>
      <c r="K214" s="29">
        <v>15263</v>
      </c>
      <c r="L214" s="29">
        <v>9501</v>
      </c>
      <c r="M214" s="29">
        <v>25385</v>
      </c>
      <c r="N214" s="29">
        <v>24977</v>
      </c>
      <c r="O214" s="29">
        <v>30737</v>
      </c>
      <c r="P214" s="29">
        <v>26102</v>
      </c>
    </row>
    <row r="215" spans="2:16">
      <c r="B215" t="s">
        <v>158</v>
      </c>
      <c r="G215" s="29">
        <v>514</v>
      </c>
      <c r="H215" s="29">
        <v>1316</v>
      </c>
      <c r="I215" s="29">
        <v>2092</v>
      </c>
      <c r="J215" s="29">
        <v>3022</v>
      </c>
      <c r="K215" s="29">
        <v>3423</v>
      </c>
      <c r="L215" s="29">
        <v>3002</v>
      </c>
      <c r="M215" s="29">
        <v>2687</v>
      </c>
      <c r="N215" s="29">
        <v>2865</v>
      </c>
      <c r="O215" s="29">
        <v>3803</v>
      </c>
      <c r="P215" s="56" t="s">
        <v>63</v>
      </c>
    </row>
    <row r="217" ht="15.75" spans="3:4">
      <c r="C217" s="37" t="s">
        <v>132</v>
      </c>
      <c r="D217" s="38"/>
    </row>
    <row r="218" s="23" customFormat="1" spans="3:23">
      <c r="C218" s="61" t="s">
        <v>159</v>
      </c>
      <c r="D218" s="61"/>
      <c r="E218" s="63"/>
      <c r="F218" s="62">
        <f t="shared" ref="F218:P218" si="85">F188+F194</f>
        <v>50142</v>
      </c>
      <c r="G218" s="62">
        <f t="shared" si="85"/>
        <v>70019</v>
      </c>
      <c r="H218" s="62">
        <f t="shared" si="85"/>
        <v>53497</v>
      </c>
      <c r="I218" s="62">
        <f t="shared" si="85"/>
        <v>51774</v>
      </c>
      <c r="J218" s="62">
        <f t="shared" si="85"/>
        <v>64121</v>
      </c>
      <c r="K218" s="62">
        <f t="shared" si="85"/>
        <v>58896</v>
      </c>
      <c r="L218" s="62">
        <f t="shared" si="85"/>
        <v>73365</v>
      </c>
      <c r="M218" s="62">
        <f t="shared" si="85"/>
        <v>92953</v>
      </c>
      <c r="N218" s="62">
        <f t="shared" si="85"/>
        <v>111443</v>
      </c>
      <c r="O218" s="62">
        <f t="shared" si="85"/>
        <v>99584</v>
      </c>
      <c r="P218" s="62">
        <f t="shared" si="85"/>
        <v>108807</v>
      </c>
      <c r="Q218" s="63"/>
      <c r="R218" s="74">
        <f>AVERAGE(E218:Q218)</f>
        <v>75872.8181818182</v>
      </c>
      <c r="S218" s="39"/>
      <c r="T218" s="39"/>
      <c r="U218" s="39"/>
      <c r="V218" s="62"/>
      <c r="W218" s="63"/>
    </row>
    <row r="219" spans="3:22">
      <c r="C219" s="61" t="s">
        <v>160</v>
      </c>
      <c r="D219" s="38"/>
      <c r="F219" s="30">
        <f t="shared" ref="F219:P219" si="86">IFERROR(F218/F111,0)</f>
        <v>2.13691714223323</v>
      </c>
      <c r="G219" s="30">
        <f t="shared" si="86"/>
        <v>3.13775318606147</v>
      </c>
      <c r="H219" s="30">
        <f t="shared" si="86"/>
        <v>2.50634069479847</v>
      </c>
      <c r="I219" s="30">
        <f t="shared" si="86"/>
        <v>2.5249692706158</v>
      </c>
      <c r="J219" s="30">
        <f t="shared" si="86"/>
        <v>3.37125072502842</v>
      </c>
      <c r="K219" s="30">
        <f t="shared" si="86"/>
        <v>3.31380083604602</v>
      </c>
      <c r="L219" s="30">
        <f t="shared" si="86"/>
        <v>4.32149521083613</v>
      </c>
      <c r="M219" s="30">
        <f t="shared" si="86"/>
        <v>5.658623665031</v>
      </c>
      <c r="N219" s="30">
        <f t="shared" si="86"/>
        <v>6.98990336141701</v>
      </c>
      <c r="O219" s="30">
        <f t="shared" si="86"/>
        <v>6.40409063347083</v>
      </c>
      <c r="P219" s="30">
        <f t="shared" si="86"/>
        <v>7.19776015880624</v>
      </c>
      <c r="R219" s="73">
        <f>AVERAGE(E219:Q219)</f>
        <v>4.32390044403133</v>
      </c>
      <c r="V219" s="30"/>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Z142"/>
  <sheetViews>
    <sheetView workbookViewId="0">
      <selection activeCell="R14" sqref="R14"/>
    </sheetView>
    <sheetView topLeftCell="A8" workbookViewId="1">
      <selection activeCell="S28" sqref="S28"/>
    </sheetView>
  </sheetViews>
  <sheetFormatPr defaultColWidth="9.14285714285714" defaultRowHeight="15"/>
  <cols>
    <col min="1" max="1" width="7.14285714285714" customWidth="1"/>
    <col min="2" max="2" width="9.71428571428571"/>
    <col min="7" max="7" width="9.57142857142857"/>
    <col min="8" max="8" width="10.5714285714286"/>
    <col min="9" max="9" width="4.28571428571429" customWidth="1"/>
    <col min="10" max="10" width="10.5714285714286" customWidth="1"/>
    <col min="12" max="13" width="12.8571428571429"/>
    <col min="14" max="14" width="18.8571428571429" customWidth="1"/>
    <col min="15" max="15" width="10.5714285714286"/>
    <col min="18" max="18" width="12.8571428571429"/>
    <col min="19" max="19" width="9.71428571428571" customWidth="1"/>
    <col min="20" max="20" width="6.85714285714286" customWidth="1"/>
    <col min="21" max="22" width="10.7142857142857" customWidth="1"/>
    <col min="24" max="24" width="9.85714285714286" customWidth="1"/>
    <col min="25" max="25" width="10.7142857142857" customWidth="1"/>
    <col min="26" max="26" width="10.2857142857143" customWidth="1"/>
  </cols>
  <sheetData>
    <row r="3" spans="2:12">
      <c r="B3" t="s">
        <v>161</v>
      </c>
      <c r="G3" s="1"/>
      <c r="L3" t="s">
        <v>162</v>
      </c>
    </row>
    <row r="4" spans="2:12">
      <c r="B4" s="83" t="s">
        <v>163</v>
      </c>
      <c r="L4" s="83" t="s">
        <v>164</v>
      </c>
    </row>
    <row r="5" spans="2:19">
      <c r="B5" t="s">
        <v>165</v>
      </c>
      <c r="L5" t="s">
        <v>166</v>
      </c>
      <c r="O5" s="9">
        <f>[1]Sheet1!$E$6</f>
        <v>0.0246945</v>
      </c>
      <c r="S5" t="s">
        <v>167</v>
      </c>
    </row>
    <row r="6" spans="2:15">
      <c r="B6" s="2"/>
      <c r="O6" s="8"/>
    </row>
    <row r="7" spans="6:24">
      <c r="F7" s="3" t="s">
        <v>168</v>
      </c>
      <c r="G7" s="3" t="s">
        <v>169</v>
      </c>
      <c r="H7" s="3" t="s">
        <v>170</v>
      </c>
      <c r="J7" s="3" t="s">
        <v>170</v>
      </c>
      <c r="S7" s="11" t="s">
        <v>171</v>
      </c>
      <c r="X7" s="11" t="s">
        <v>172</v>
      </c>
    </row>
    <row r="8" ht="75" spans="2:26">
      <c r="B8" t="s">
        <v>173</v>
      </c>
      <c r="C8" t="s">
        <v>174</v>
      </c>
      <c r="D8" t="s">
        <v>175</v>
      </c>
      <c r="F8" t="s">
        <v>176</v>
      </c>
      <c r="G8" s="4" t="s">
        <v>177</v>
      </c>
      <c r="H8" s="4" t="s">
        <v>178</v>
      </c>
      <c r="J8" s="4" t="s">
        <v>179</v>
      </c>
      <c r="M8" s="10"/>
      <c r="R8" s="4"/>
      <c r="S8" s="4" t="s">
        <v>180</v>
      </c>
      <c r="U8" s="4" t="s">
        <v>181</v>
      </c>
      <c r="V8" s="10" t="s">
        <v>182</v>
      </c>
      <c r="X8" s="4" t="s">
        <v>183</v>
      </c>
      <c r="Y8" s="4" t="s">
        <v>181</v>
      </c>
      <c r="Z8" s="10" t="s">
        <v>182</v>
      </c>
    </row>
    <row r="9" spans="1:26">
      <c r="A9">
        <v>1</v>
      </c>
      <c r="B9" s="5">
        <v>45536</v>
      </c>
      <c r="C9" s="6">
        <v>233</v>
      </c>
      <c r="D9" s="7">
        <v>0.0175</v>
      </c>
      <c r="F9" s="8">
        <f t="shared" ref="F9:F68" si="0">D9</f>
        <v>0.0175</v>
      </c>
      <c r="G9" s="8">
        <f>O$5/12</f>
        <v>0.002057875</v>
      </c>
      <c r="H9" s="8">
        <f t="shared" ref="H9:H68" si="1">F9-G9</f>
        <v>0.015442125</v>
      </c>
      <c r="J9" s="8" t="str">
        <f t="shared" ref="J9:J68" si="2">IF(H9&lt;0,H9,"")</f>
        <v/>
      </c>
      <c r="L9" s="11" t="s">
        <v>20</v>
      </c>
      <c r="O9" s="12" t="s">
        <v>184</v>
      </c>
      <c r="P9" s="12" t="s">
        <v>185</v>
      </c>
      <c r="Q9" s="12" t="s">
        <v>186</v>
      </c>
      <c r="R9" s="8"/>
      <c r="S9" s="8">
        <f>AVERAGE(H9:H68)</f>
        <v>0.0254287916666667</v>
      </c>
      <c r="T9">
        <v>1</v>
      </c>
      <c r="U9" s="8">
        <f t="shared" ref="U9:U68" si="3">(H9-S$9)^2</f>
        <v>9.97335111111111e-5</v>
      </c>
      <c r="V9" s="8">
        <f>(U70/T68)^(1/2)</f>
        <v>0.0838587512162896</v>
      </c>
      <c r="X9" s="8">
        <f>AVERAGE(J9:J68)</f>
        <v>-0.0615037083333333</v>
      </c>
      <c r="Y9" s="8" t="str">
        <f t="shared" ref="Y9:Y68" si="4">IF(J9="","",(J9-X$9)^2)</f>
        <v/>
      </c>
      <c r="Z9" s="8">
        <f>(Y70/(COUNT(Y9:Y69)-1))^(1/2)</f>
        <v>0.0365528798504621</v>
      </c>
    </row>
    <row r="10" spans="1:25">
      <c r="A10">
        <v>2</v>
      </c>
      <c r="B10" s="5">
        <v>45505</v>
      </c>
      <c r="C10" s="6">
        <v>229</v>
      </c>
      <c r="D10" s="7">
        <v>0.0312</v>
      </c>
      <c r="F10" s="8">
        <f t="shared" si="0"/>
        <v>0.0312</v>
      </c>
      <c r="G10" s="8">
        <f>O$5/12</f>
        <v>0.002057875</v>
      </c>
      <c r="H10" s="8">
        <f t="shared" si="1"/>
        <v>0.029142125</v>
      </c>
      <c r="J10" s="8" t="str">
        <f t="shared" si="2"/>
        <v/>
      </c>
      <c r="T10">
        <v>2</v>
      </c>
      <c r="U10" s="8">
        <f t="shared" si="3"/>
        <v>1.37888444444444e-5</v>
      </c>
      <c r="Y10" s="8" t="str">
        <f t="shared" si="4"/>
        <v/>
      </c>
    </row>
    <row r="11" spans="1:25">
      <c r="A11">
        <v>3</v>
      </c>
      <c r="B11" s="5">
        <v>45474</v>
      </c>
      <c r="C11" s="6">
        <v>222.08</v>
      </c>
      <c r="D11" s="7">
        <v>0.0544</v>
      </c>
      <c r="F11" s="8">
        <f t="shared" si="0"/>
        <v>0.0544</v>
      </c>
      <c r="G11" s="8">
        <f>O$5/12</f>
        <v>0.002057875</v>
      </c>
      <c r="H11" s="8">
        <f t="shared" si="1"/>
        <v>0.052342125</v>
      </c>
      <c r="J11" s="8" t="str">
        <f t="shared" si="2"/>
        <v/>
      </c>
      <c r="L11" s="13" t="s">
        <v>182</v>
      </c>
      <c r="O11" s="9">
        <f>STDEV.P(H9:H20)</f>
        <v>0.0566281946609245</v>
      </c>
      <c r="P11" s="9">
        <f>STDEV.P(H9:H44)</f>
        <v>0.0765029949284647</v>
      </c>
      <c r="Q11" s="9">
        <f>STDEV.P(H9:H68)</f>
        <v>0.0838587512162896</v>
      </c>
      <c r="T11">
        <v>3</v>
      </c>
      <c r="U11" s="8">
        <f t="shared" si="3"/>
        <v>0.000724327511111111</v>
      </c>
      <c r="Y11" s="8" t="str">
        <f t="shared" si="4"/>
        <v/>
      </c>
    </row>
    <row r="12" spans="1:25">
      <c r="A12">
        <v>4</v>
      </c>
      <c r="B12" s="5">
        <v>45444</v>
      </c>
      <c r="C12" s="6">
        <v>210.62</v>
      </c>
      <c r="D12" s="7">
        <v>0.0956</v>
      </c>
      <c r="F12" s="8">
        <f t="shared" si="0"/>
        <v>0.0956</v>
      </c>
      <c r="G12" s="8">
        <f>O$5/12</f>
        <v>0.002057875</v>
      </c>
      <c r="H12" s="8">
        <f t="shared" si="1"/>
        <v>0.093542125</v>
      </c>
      <c r="J12" s="8" t="str">
        <f t="shared" si="2"/>
        <v/>
      </c>
      <c r="L12" s="14" t="s">
        <v>187</v>
      </c>
      <c r="O12" s="8">
        <f t="shared" ref="O12:Q12" si="5">(1+O19)^(1/12)-1</f>
        <v>0.0262315490676723</v>
      </c>
      <c r="P12" s="8">
        <f t="shared" si="5"/>
        <v>0.0123460740853087</v>
      </c>
      <c r="Q12" s="8">
        <f t="shared" si="5"/>
        <v>0.022258168196766</v>
      </c>
      <c r="T12">
        <v>4</v>
      </c>
      <c r="U12" s="8">
        <f t="shared" si="3"/>
        <v>0.00463942617777778</v>
      </c>
      <c r="Y12" s="8" t="str">
        <f t="shared" si="4"/>
        <v/>
      </c>
    </row>
    <row r="13" spans="1:25">
      <c r="A13">
        <v>5</v>
      </c>
      <c r="B13" s="5">
        <v>45413</v>
      </c>
      <c r="C13" s="6">
        <v>192.25</v>
      </c>
      <c r="D13" s="7">
        <v>0.1287</v>
      </c>
      <c r="F13" s="8">
        <f t="shared" si="0"/>
        <v>0.1287</v>
      </c>
      <c r="G13" s="8">
        <f>O$5/12</f>
        <v>0.002057875</v>
      </c>
      <c r="H13" s="8">
        <f t="shared" si="1"/>
        <v>0.126642125</v>
      </c>
      <c r="J13" s="8" t="str">
        <f t="shared" si="2"/>
        <v/>
      </c>
      <c r="L13" s="14" t="s">
        <v>188</v>
      </c>
      <c r="O13" s="15">
        <f t="shared" ref="O13:Q13" si="6">O20/12</f>
        <v>0.002057875</v>
      </c>
      <c r="P13" s="15">
        <f t="shared" si="6"/>
        <v>0.002057875</v>
      </c>
      <c r="Q13" s="15">
        <f t="shared" si="6"/>
        <v>0.002057875</v>
      </c>
      <c r="T13">
        <v>5</v>
      </c>
      <c r="U13" s="8">
        <f t="shared" si="3"/>
        <v>0.0102441388444444</v>
      </c>
      <c r="Y13" s="8" t="str">
        <f t="shared" si="4"/>
        <v/>
      </c>
    </row>
    <row r="14" spans="1:25">
      <c r="A14">
        <v>6</v>
      </c>
      <c r="B14" s="5">
        <v>45383</v>
      </c>
      <c r="C14" s="6">
        <v>170.33</v>
      </c>
      <c r="D14" s="7">
        <v>-0.0067</v>
      </c>
      <c r="F14" s="8">
        <f t="shared" si="0"/>
        <v>-0.0067</v>
      </c>
      <c r="G14" s="8">
        <f>O$5/12</f>
        <v>0.002057875</v>
      </c>
      <c r="H14" s="8">
        <f t="shared" si="1"/>
        <v>-0.008757875</v>
      </c>
      <c r="J14" s="8">
        <f t="shared" si="2"/>
        <v>-0.008757875</v>
      </c>
      <c r="L14" s="13" t="s">
        <v>189</v>
      </c>
      <c r="O14" s="8">
        <f t="shared" ref="O14:Q14" si="7">O12-O13</f>
        <v>0.0241736740676723</v>
      </c>
      <c r="P14" s="8">
        <f t="shared" si="7"/>
        <v>0.0102881990853087</v>
      </c>
      <c r="Q14" s="8">
        <f t="shared" si="7"/>
        <v>0.020200293196766</v>
      </c>
      <c r="T14">
        <v>6</v>
      </c>
      <c r="U14" s="8">
        <f t="shared" si="3"/>
        <v>0.00116872817777778</v>
      </c>
      <c r="Y14" s="8">
        <f t="shared" si="4"/>
        <v>0.00278212293402778</v>
      </c>
    </row>
    <row r="15" spans="1:25">
      <c r="A15">
        <v>7</v>
      </c>
      <c r="B15" s="5">
        <v>45352</v>
      </c>
      <c r="C15" s="6">
        <v>171.48</v>
      </c>
      <c r="D15" s="7">
        <v>-0.0513</v>
      </c>
      <c r="F15" s="8">
        <f t="shared" si="0"/>
        <v>-0.0513</v>
      </c>
      <c r="G15" s="8">
        <f>O$5/12</f>
        <v>0.002057875</v>
      </c>
      <c r="H15" s="8">
        <f t="shared" si="1"/>
        <v>-0.053357875</v>
      </c>
      <c r="J15" s="8">
        <f t="shared" si="2"/>
        <v>-0.053357875</v>
      </c>
      <c r="T15">
        <v>7</v>
      </c>
      <c r="U15" s="8">
        <f t="shared" si="3"/>
        <v>0.00620733884444445</v>
      </c>
      <c r="Y15" s="8">
        <f t="shared" si="4"/>
        <v>6.63546006944446e-5</v>
      </c>
    </row>
    <row r="16" spans="1:25">
      <c r="A16">
        <v>8</v>
      </c>
      <c r="B16" s="5">
        <v>45323</v>
      </c>
      <c r="C16" s="6">
        <v>180.75</v>
      </c>
      <c r="D16" s="7">
        <v>-0.0198</v>
      </c>
      <c r="F16" s="8">
        <f t="shared" si="0"/>
        <v>-0.0198</v>
      </c>
      <c r="G16" s="8">
        <f>O$5/12</f>
        <v>0.002057875</v>
      </c>
      <c r="H16" s="8">
        <f t="shared" si="1"/>
        <v>-0.021857875</v>
      </c>
      <c r="J16" s="8">
        <f t="shared" si="2"/>
        <v>-0.021857875</v>
      </c>
      <c r="L16" s="13" t="s">
        <v>190</v>
      </c>
      <c r="O16" s="16">
        <f t="shared" ref="O16:Q16" si="8">O14/O11</f>
        <v>0.42688406742292</v>
      </c>
      <c r="P16" s="16">
        <f t="shared" si="8"/>
        <v>0.134480997703801</v>
      </c>
      <c r="Q16" s="16">
        <f t="shared" si="8"/>
        <v>0.24088473658122</v>
      </c>
      <c r="T16">
        <v>8</v>
      </c>
      <c r="U16" s="8">
        <f t="shared" si="3"/>
        <v>0.00223602884444445</v>
      </c>
      <c r="Y16" s="8">
        <f t="shared" si="4"/>
        <v>0.00157179210069445</v>
      </c>
    </row>
    <row r="17" spans="1:25">
      <c r="A17">
        <v>9</v>
      </c>
      <c r="B17" s="5">
        <v>45292</v>
      </c>
      <c r="C17" s="6">
        <v>184.4</v>
      </c>
      <c r="D17" s="7">
        <v>-0.0422</v>
      </c>
      <c r="F17" s="8">
        <f t="shared" si="0"/>
        <v>-0.0422</v>
      </c>
      <c r="G17" s="8">
        <f>O$5/12</f>
        <v>0.002057875</v>
      </c>
      <c r="H17" s="8">
        <f t="shared" si="1"/>
        <v>-0.044257875</v>
      </c>
      <c r="J17" s="8">
        <f t="shared" si="2"/>
        <v>-0.044257875</v>
      </c>
      <c r="T17">
        <v>9</v>
      </c>
      <c r="U17" s="8">
        <f t="shared" si="3"/>
        <v>0.00485623151111111</v>
      </c>
      <c r="Y17" s="8">
        <f t="shared" si="4"/>
        <v>0.000297418767361112</v>
      </c>
    </row>
    <row r="18" spans="1:25">
      <c r="A18">
        <v>10</v>
      </c>
      <c r="B18" s="5">
        <v>45261</v>
      </c>
      <c r="C18" s="6">
        <v>192.53</v>
      </c>
      <c r="D18" s="7">
        <v>0.0136</v>
      </c>
      <c r="F18" s="8">
        <f t="shared" si="0"/>
        <v>0.0136</v>
      </c>
      <c r="G18" s="8">
        <f>O$5/12</f>
        <v>0.002057875</v>
      </c>
      <c r="H18" s="8">
        <f t="shared" si="1"/>
        <v>0.011542125</v>
      </c>
      <c r="J18" s="8" t="str">
        <f t="shared" si="2"/>
        <v/>
      </c>
      <c r="L18" s="13" t="s">
        <v>191</v>
      </c>
      <c r="O18" s="8">
        <f t="shared" ref="O18:Q18" si="9">O11*12^(1/2)</f>
        <v>0.196165820587244</v>
      </c>
      <c r="P18" s="8">
        <f t="shared" si="9"/>
        <v>0.26501414829457</v>
      </c>
      <c r="Q18" s="8">
        <f t="shared" si="9"/>
        <v>0.290495235531784</v>
      </c>
      <c r="T18">
        <v>10</v>
      </c>
      <c r="U18" s="8">
        <f t="shared" si="3"/>
        <v>0.000192839511111111</v>
      </c>
      <c r="Y18" s="8" t="str">
        <f t="shared" si="4"/>
        <v/>
      </c>
    </row>
    <row r="19" spans="1:25">
      <c r="A19">
        <v>11</v>
      </c>
      <c r="B19" s="5">
        <v>45231</v>
      </c>
      <c r="C19" s="6">
        <v>189.95</v>
      </c>
      <c r="D19" s="7">
        <v>0.1123</v>
      </c>
      <c r="F19" s="8">
        <f t="shared" si="0"/>
        <v>0.1123</v>
      </c>
      <c r="G19" s="8">
        <f>O$5/12</f>
        <v>0.002057875</v>
      </c>
      <c r="H19" s="8">
        <f t="shared" si="1"/>
        <v>0.110242125</v>
      </c>
      <c r="J19" s="8" t="str">
        <f t="shared" si="2"/>
        <v/>
      </c>
      <c r="L19" s="14" t="s">
        <v>192</v>
      </c>
      <c r="O19" s="8">
        <f>($C$9/$C$20)^(1/($A$20/12))-1</f>
        <v>0.364408268431223</v>
      </c>
      <c r="P19" s="8">
        <f>($C$9/$C$44)^(1/($A$44/12))-1</f>
        <v>0.158638714663888</v>
      </c>
      <c r="Q19" s="8">
        <f>($C$9/$C$68)^(1/($A$68/12))-1</f>
        <v>0.302348076201482</v>
      </c>
      <c r="T19">
        <v>11</v>
      </c>
      <c r="U19" s="8">
        <f t="shared" si="3"/>
        <v>0.00719330151111111</v>
      </c>
      <c r="Y19" s="8" t="str">
        <f t="shared" si="4"/>
        <v/>
      </c>
    </row>
    <row r="20" spans="1:25">
      <c r="A20">
        <v>12</v>
      </c>
      <c r="B20" s="5">
        <v>45200</v>
      </c>
      <c r="C20" s="6">
        <v>170.77</v>
      </c>
      <c r="D20" s="7">
        <v>-0.0026</v>
      </c>
      <c r="F20" s="8">
        <f t="shared" si="0"/>
        <v>-0.0026</v>
      </c>
      <c r="G20" s="8">
        <f>O$5/12</f>
        <v>0.002057875</v>
      </c>
      <c r="H20" s="8">
        <f t="shared" si="1"/>
        <v>-0.004657875</v>
      </c>
      <c r="J20" s="8">
        <f t="shared" si="2"/>
        <v>-0.004657875</v>
      </c>
      <c r="L20" s="14" t="s">
        <v>193</v>
      </c>
      <c r="O20" s="15">
        <f t="shared" ref="O20:Q20" si="10">$O$5</f>
        <v>0.0246945</v>
      </c>
      <c r="P20" s="15">
        <f t="shared" si="10"/>
        <v>0.0246945</v>
      </c>
      <c r="Q20" s="15">
        <f t="shared" si="10"/>
        <v>0.0246945</v>
      </c>
      <c r="T20">
        <v>12</v>
      </c>
      <c r="U20" s="8">
        <f t="shared" si="3"/>
        <v>0.000905207511111111</v>
      </c>
      <c r="Y20" s="8">
        <f t="shared" si="4"/>
        <v>0.00323144876736111</v>
      </c>
    </row>
    <row r="21" spans="1:25">
      <c r="A21">
        <v>13</v>
      </c>
      <c r="B21" s="5">
        <v>45170</v>
      </c>
      <c r="C21" s="6">
        <v>171.21</v>
      </c>
      <c r="D21" s="7">
        <v>-0.0887</v>
      </c>
      <c r="F21" s="8">
        <f t="shared" si="0"/>
        <v>-0.0887</v>
      </c>
      <c r="G21" s="8">
        <f>O$5/12</f>
        <v>0.002057875</v>
      </c>
      <c r="H21" s="8">
        <f t="shared" si="1"/>
        <v>-0.090757875</v>
      </c>
      <c r="J21" s="8">
        <f t="shared" si="2"/>
        <v>-0.090757875</v>
      </c>
      <c r="L21" s="13" t="s">
        <v>189</v>
      </c>
      <c r="O21" s="8">
        <f t="shared" ref="O21:Q21" si="11">O19-O20</f>
        <v>0.339713768431223</v>
      </c>
      <c r="P21" s="8">
        <f t="shared" si="11"/>
        <v>0.133944214663888</v>
      </c>
      <c r="Q21" s="8">
        <f t="shared" si="11"/>
        <v>0.277653576201482</v>
      </c>
      <c r="T21">
        <v>13</v>
      </c>
      <c r="U21" s="8">
        <f t="shared" si="3"/>
        <v>0.0134993415111111</v>
      </c>
      <c r="Y21" s="8">
        <f t="shared" si="4"/>
        <v>0.00085580626736111</v>
      </c>
    </row>
    <row r="22" spans="1:25">
      <c r="A22">
        <v>14</v>
      </c>
      <c r="B22" s="5">
        <v>45139</v>
      </c>
      <c r="C22" s="6">
        <v>187.87</v>
      </c>
      <c r="D22" s="7">
        <v>-0.0437</v>
      </c>
      <c r="F22" s="8">
        <f t="shared" si="0"/>
        <v>-0.0437</v>
      </c>
      <c r="G22" s="8">
        <f>O$5/12</f>
        <v>0.002057875</v>
      </c>
      <c r="H22" s="8">
        <f t="shared" si="1"/>
        <v>-0.045757875</v>
      </c>
      <c r="J22" s="8">
        <f t="shared" si="2"/>
        <v>-0.045757875</v>
      </c>
      <c r="T22">
        <v>14</v>
      </c>
      <c r="U22" s="8">
        <f t="shared" si="3"/>
        <v>0.00506754151111111</v>
      </c>
      <c r="Y22" s="8">
        <f t="shared" si="4"/>
        <v>0.000247931267361111</v>
      </c>
    </row>
    <row r="23" spans="1:25">
      <c r="A23">
        <v>15</v>
      </c>
      <c r="B23" s="5">
        <v>45108</v>
      </c>
      <c r="C23" s="6">
        <v>196.45</v>
      </c>
      <c r="D23" s="7">
        <v>0.0128</v>
      </c>
      <c r="F23" s="8">
        <f t="shared" si="0"/>
        <v>0.0128</v>
      </c>
      <c r="G23" s="8">
        <f>O$5/12</f>
        <v>0.002057875</v>
      </c>
      <c r="H23" s="8">
        <f t="shared" si="1"/>
        <v>0.010742125</v>
      </c>
      <c r="J23" s="8" t="str">
        <f t="shared" si="2"/>
        <v/>
      </c>
      <c r="L23" s="13" t="s">
        <v>194</v>
      </c>
      <c r="O23" s="16">
        <f t="shared" ref="O23:Q23" si="12">O21/O18</f>
        <v>1.73176839581051</v>
      </c>
      <c r="P23" s="16">
        <f t="shared" si="12"/>
        <v>0.505422882234219</v>
      </c>
      <c r="Q23" s="16">
        <f t="shared" si="12"/>
        <v>0.955793907232958</v>
      </c>
      <c r="T23">
        <v>15</v>
      </c>
      <c r="U23" s="8">
        <f t="shared" si="3"/>
        <v>0.000215698177777778</v>
      </c>
      <c r="Y23" s="8" t="str">
        <f t="shared" si="4"/>
        <v/>
      </c>
    </row>
    <row r="24" ht="15.75" spans="1:25">
      <c r="A24">
        <v>16</v>
      </c>
      <c r="B24" s="5">
        <v>45078</v>
      </c>
      <c r="C24" s="6">
        <v>193.97</v>
      </c>
      <c r="D24" s="7">
        <v>0.0943</v>
      </c>
      <c r="F24" s="8">
        <f t="shared" si="0"/>
        <v>0.0943</v>
      </c>
      <c r="G24" s="8">
        <f>O$5/12</f>
        <v>0.002057875</v>
      </c>
      <c r="H24" s="8">
        <f t="shared" si="1"/>
        <v>0.092242125</v>
      </c>
      <c r="J24" s="8" t="str">
        <f t="shared" si="2"/>
        <v/>
      </c>
      <c r="T24">
        <v>16</v>
      </c>
      <c r="U24" s="8">
        <f t="shared" si="3"/>
        <v>0.00446402151111111</v>
      </c>
      <c r="Y24" s="8" t="str">
        <f t="shared" si="4"/>
        <v/>
      </c>
    </row>
    <row r="25" ht="15.75" spans="1:25">
      <c r="A25">
        <v>17</v>
      </c>
      <c r="B25" s="5">
        <v>45047</v>
      </c>
      <c r="C25" s="6">
        <v>177.25</v>
      </c>
      <c r="D25" s="7">
        <v>0.0446</v>
      </c>
      <c r="F25" s="8">
        <f t="shared" si="0"/>
        <v>0.0446</v>
      </c>
      <c r="G25" s="8">
        <f>O$5/12</f>
        <v>0.002057875</v>
      </c>
      <c r="H25" s="8">
        <f t="shared" si="1"/>
        <v>0.042542125</v>
      </c>
      <c r="J25" s="8" t="str">
        <f t="shared" si="2"/>
        <v/>
      </c>
      <c r="L25" s="17"/>
      <c r="M25" s="17"/>
      <c r="N25" s="17"/>
      <c r="O25" s="17"/>
      <c r="P25" s="17"/>
      <c r="Q25" s="17"/>
      <c r="T25">
        <v>17</v>
      </c>
      <c r="U25" s="8">
        <f t="shared" si="3"/>
        <v>0.000292866177777778</v>
      </c>
      <c r="Y25" s="8" t="str">
        <f t="shared" si="4"/>
        <v/>
      </c>
    </row>
    <row r="26" spans="1:25">
      <c r="A26">
        <v>18</v>
      </c>
      <c r="B26" s="5">
        <v>45017</v>
      </c>
      <c r="C26" s="6">
        <v>169.68</v>
      </c>
      <c r="D26" s="7">
        <v>0.029</v>
      </c>
      <c r="F26" s="8">
        <f t="shared" si="0"/>
        <v>0.029</v>
      </c>
      <c r="G26" s="8">
        <f>O$5/12</f>
        <v>0.002057875</v>
      </c>
      <c r="H26" s="8">
        <f t="shared" si="1"/>
        <v>0.026942125</v>
      </c>
      <c r="J26" s="8" t="str">
        <f t="shared" si="2"/>
        <v/>
      </c>
      <c r="L26" s="11" t="s">
        <v>21</v>
      </c>
      <c r="O26" s="12" t="s">
        <v>184</v>
      </c>
      <c r="P26" s="12" t="s">
        <v>185</v>
      </c>
      <c r="Q26" s="12" t="s">
        <v>186</v>
      </c>
      <c r="T26">
        <v>18</v>
      </c>
      <c r="U26" s="8">
        <f t="shared" si="3"/>
        <v>2.29017777777776e-6</v>
      </c>
      <c r="Y26" s="8" t="str">
        <f t="shared" si="4"/>
        <v/>
      </c>
    </row>
    <row r="27" spans="1:25">
      <c r="A27">
        <v>19</v>
      </c>
      <c r="B27" s="5">
        <v>44986</v>
      </c>
      <c r="C27" s="6">
        <v>164.9</v>
      </c>
      <c r="D27" s="7">
        <v>0.1186</v>
      </c>
      <c r="F27" s="8">
        <f t="shared" si="0"/>
        <v>0.1186</v>
      </c>
      <c r="G27" s="8">
        <f>O$5/12</f>
        <v>0.002057875</v>
      </c>
      <c r="H27" s="8">
        <f t="shared" si="1"/>
        <v>0.116542125</v>
      </c>
      <c r="J27" s="8" t="str">
        <f t="shared" si="2"/>
        <v/>
      </c>
      <c r="T27">
        <v>19</v>
      </c>
      <c r="U27" s="8">
        <f t="shared" si="3"/>
        <v>0.00830163951111111</v>
      </c>
      <c r="Y27" s="8" t="str">
        <f t="shared" si="4"/>
        <v/>
      </c>
    </row>
    <row r="28" ht="18.75" spans="1:25">
      <c r="A28">
        <v>20</v>
      </c>
      <c r="B28" s="5">
        <v>44958</v>
      </c>
      <c r="C28" s="6">
        <v>147.41</v>
      </c>
      <c r="D28" s="7">
        <v>0.0216</v>
      </c>
      <c r="F28" s="8">
        <f t="shared" si="0"/>
        <v>0.0216</v>
      </c>
      <c r="G28" s="8">
        <f>O$5/12</f>
        <v>0.002057875</v>
      </c>
      <c r="H28" s="8">
        <f t="shared" si="1"/>
        <v>0.019542125</v>
      </c>
      <c r="J28" s="8" t="str">
        <f t="shared" si="2"/>
        <v/>
      </c>
      <c r="L28" s="13" t="s">
        <v>195</v>
      </c>
      <c r="O28" s="9">
        <f>_xlfn.STDEV.S(J9:J20)</f>
        <v>0.0215062084059464</v>
      </c>
      <c r="P28" s="9">
        <f>_xlfn.STDEV.S(J9:J44)</f>
        <v>0.0379221961169621</v>
      </c>
      <c r="Q28" s="9">
        <f>_xlfn.STDEV.S(J9:J68)</f>
        <v>0.0365528798504621</v>
      </c>
      <c r="T28">
        <v>20</v>
      </c>
      <c r="U28" s="8">
        <f t="shared" si="3"/>
        <v>3.46528444444445e-5</v>
      </c>
      <c r="Y28" s="8" t="str">
        <f t="shared" si="4"/>
        <v/>
      </c>
    </row>
    <row r="29" spans="1:25">
      <c r="A29">
        <v>21</v>
      </c>
      <c r="B29" s="5">
        <v>44927</v>
      </c>
      <c r="C29" s="6">
        <v>144.29</v>
      </c>
      <c r="D29" s="7">
        <v>0.1105</v>
      </c>
      <c r="F29" s="8">
        <f t="shared" si="0"/>
        <v>0.1105</v>
      </c>
      <c r="G29" s="8">
        <f>O$5/12</f>
        <v>0.002057875</v>
      </c>
      <c r="H29" s="8">
        <f t="shared" si="1"/>
        <v>0.108442125</v>
      </c>
      <c r="J29" s="8" t="str">
        <f t="shared" si="2"/>
        <v/>
      </c>
      <c r="L29" s="14" t="s">
        <v>187</v>
      </c>
      <c r="O29" s="8">
        <f t="shared" ref="O29:Q29" si="13">(1+O36)^(1/12)-1</f>
        <v>0.0262315490676723</v>
      </c>
      <c r="P29" s="8">
        <f t="shared" si="13"/>
        <v>0.0123460740853087</v>
      </c>
      <c r="Q29" s="8">
        <f t="shared" si="13"/>
        <v>0.022258168196766</v>
      </c>
      <c r="T29">
        <v>21</v>
      </c>
      <c r="U29" s="8">
        <f t="shared" si="3"/>
        <v>0.00689121351111111</v>
      </c>
      <c r="Y29" s="8" t="str">
        <f t="shared" si="4"/>
        <v/>
      </c>
    </row>
    <row r="30" spans="1:25">
      <c r="A30">
        <v>22</v>
      </c>
      <c r="B30" s="5">
        <v>44896</v>
      </c>
      <c r="C30" s="6">
        <v>129.93</v>
      </c>
      <c r="D30" s="7">
        <v>-0.1223</v>
      </c>
      <c r="F30" s="8">
        <f t="shared" si="0"/>
        <v>-0.1223</v>
      </c>
      <c r="G30" s="8">
        <f>O$5/12</f>
        <v>0.002057875</v>
      </c>
      <c r="H30" s="8">
        <f t="shared" si="1"/>
        <v>-0.124357875</v>
      </c>
      <c r="J30" s="8">
        <f t="shared" si="2"/>
        <v>-0.124357875</v>
      </c>
      <c r="L30" s="14" t="s">
        <v>188</v>
      </c>
      <c r="O30" s="15">
        <f t="shared" ref="O30:Q30" si="14">O37/12</f>
        <v>0.002057875</v>
      </c>
      <c r="P30" s="15">
        <f t="shared" si="14"/>
        <v>0.002057875</v>
      </c>
      <c r="Q30" s="15">
        <f t="shared" si="14"/>
        <v>0.002057875</v>
      </c>
      <c r="T30">
        <v>22</v>
      </c>
      <c r="U30" s="8">
        <f t="shared" si="3"/>
        <v>0.0224360455111111</v>
      </c>
      <c r="Y30" s="8">
        <f t="shared" si="4"/>
        <v>0.00395064626736111</v>
      </c>
    </row>
    <row r="31" spans="1:25">
      <c r="A31">
        <v>23</v>
      </c>
      <c r="B31" s="5">
        <v>44866</v>
      </c>
      <c r="C31" s="6">
        <v>148.03</v>
      </c>
      <c r="D31" s="7">
        <v>-0.0346</v>
      </c>
      <c r="F31" s="8">
        <f t="shared" si="0"/>
        <v>-0.0346</v>
      </c>
      <c r="G31" s="8">
        <f>O$5/12</f>
        <v>0.002057875</v>
      </c>
      <c r="H31" s="8">
        <f t="shared" si="1"/>
        <v>-0.036657875</v>
      </c>
      <c r="J31" s="8">
        <f t="shared" si="2"/>
        <v>-0.036657875</v>
      </c>
      <c r="L31" s="13" t="s">
        <v>189</v>
      </c>
      <c r="O31" s="8">
        <f t="shared" ref="O31:Q31" si="15">O29-O30</f>
        <v>0.0241736740676723</v>
      </c>
      <c r="P31" s="8">
        <f t="shared" si="15"/>
        <v>0.0102881990853087</v>
      </c>
      <c r="Q31" s="8">
        <f t="shared" si="15"/>
        <v>0.020200293196766</v>
      </c>
      <c r="T31">
        <v>23</v>
      </c>
      <c r="U31" s="8">
        <f t="shared" si="3"/>
        <v>0.00385475417777778</v>
      </c>
      <c r="Y31" s="8">
        <f t="shared" si="4"/>
        <v>0.000617315434027778</v>
      </c>
    </row>
    <row r="32" spans="1:25">
      <c r="A32">
        <v>24</v>
      </c>
      <c r="B32" s="5">
        <v>44835</v>
      </c>
      <c r="C32" s="6">
        <v>153.34</v>
      </c>
      <c r="D32" s="7">
        <v>0.1096</v>
      </c>
      <c r="F32" s="8">
        <f t="shared" si="0"/>
        <v>0.1096</v>
      </c>
      <c r="G32" s="8">
        <f>O$5/12</f>
        <v>0.002057875</v>
      </c>
      <c r="H32" s="8">
        <f t="shared" si="1"/>
        <v>0.107542125</v>
      </c>
      <c r="J32" s="8" t="str">
        <f t="shared" si="2"/>
        <v/>
      </c>
      <c r="T32">
        <v>24</v>
      </c>
      <c r="U32" s="8">
        <f t="shared" si="3"/>
        <v>0.00674259951111111</v>
      </c>
      <c r="Y32" s="8" t="str">
        <f t="shared" si="4"/>
        <v/>
      </c>
    </row>
    <row r="33" spans="1:25">
      <c r="A33">
        <v>25</v>
      </c>
      <c r="B33" s="5">
        <v>44805</v>
      </c>
      <c r="C33" s="6">
        <v>138.2</v>
      </c>
      <c r="D33" s="7">
        <v>-0.121</v>
      </c>
      <c r="F33" s="8">
        <f t="shared" si="0"/>
        <v>-0.121</v>
      </c>
      <c r="G33" s="8">
        <f>O$5/12</f>
        <v>0.002057875</v>
      </c>
      <c r="H33" s="8">
        <f t="shared" si="1"/>
        <v>-0.123057875</v>
      </c>
      <c r="J33" s="8">
        <f t="shared" si="2"/>
        <v>-0.123057875</v>
      </c>
      <c r="L33" s="13" t="s">
        <v>196</v>
      </c>
      <c r="O33" s="16">
        <f t="shared" ref="O33:Q33" si="16">O31/O28</f>
        <v>1.12403235434975</v>
      </c>
      <c r="P33" s="16">
        <f t="shared" si="16"/>
        <v>0.27129755496167</v>
      </c>
      <c r="Q33" s="16">
        <f t="shared" si="16"/>
        <v>0.552632057430369</v>
      </c>
      <c r="T33">
        <v>25</v>
      </c>
      <c r="U33" s="8">
        <f t="shared" si="3"/>
        <v>0.0220482901777778</v>
      </c>
      <c r="Y33" s="8">
        <f t="shared" si="4"/>
        <v>0.00378891543402778</v>
      </c>
    </row>
    <row r="34" spans="1:25">
      <c r="A34">
        <v>26</v>
      </c>
      <c r="B34" s="5">
        <v>44774</v>
      </c>
      <c r="C34" s="6">
        <v>157.22</v>
      </c>
      <c r="D34" s="7">
        <v>-0.0326</v>
      </c>
      <c r="F34" s="8">
        <f t="shared" si="0"/>
        <v>-0.0326</v>
      </c>
      <c r="G34" s="8">
        <f>O$5/12</f>
        <v>0.002057875</v>
      </c>
      <c r="H34" s="8">
        <f t="shared" si="1"/>
        <v>-0.034657875</v>
      </c>
      <c r="J34" s="8">
        <f t="shared" si="2"/>
        <v>-0.034657875</v>
      </c>
      <c r="T34">
        <v>26</v>
      </c>
      <c r="U34" s="8">
        <f t="shared" si="3"/>
        <v>0.00361040751111111</v>
      </c>
      <c r="Y34" s="8">
        <f t="shared" si="4"/>
        <v>0.000720698767361112</v>
      </c>
    </row>
    <row r="35" spans="1:25">
      <c r="A35">
        <v>27</v>
      </c>
      <c r="B35" s="5">
        <v>44743</v>
      </c>
      <c r="C35" s="6">
        <v>162.51</v>
      </c>
      <c r="D35" s="7">
        <v>0.1886</v>
      </c>
      <c r="F35" s="8">
        <f t="shared" si="0"/>
        <v>0.1886</v>
      </c>
      <c r="G35" s="8">
        <f>O$5/12</f>
        <v>0.002057875</v>
      </c>
      <c r="H35" s="8">
        <f t="shared" si="1"/>
        <v>0.186542125</v>
      </c>
      <c r="J35" s="8" t="str">
        <f t="shared" si="2"/>
        <v/>
      </c>
      <c r="L35" s="13" t="s">
        <v>197</v>
      </c>
      <c r="O35" s="8">
        <f t="shared" ref="O35:Q35" si="17">O28*12^(1/2)</f>
        <v>0.0744996912745281</v>
      </c>
      <c r="P35" s="8">
        <f t="shared" si="17"/>
        <v>0.131366340818339</v>
      </c>
      <c r="Q35" s="8">
        <f t="shared" si="17"/>
        <v>0.126622890127922</v>
      </c>
      <c r="T35">
        <v>27</v>
      </c>
      <c r="U35" s="8">
        <f t="shared" si="3"/>
        <v>0.0259575061777778</v>
      </c>
      <c r="Y35" s="8" t="str">
        <f t="shared" si="4"/>
        <v/>
      </c>
    </row>
    <row r="36" spans="1:25">
      <c r="A36">
        <v>28</v>
      </c>
      <c r="B36" s="5">
        <v>44713</v>
      </c>
      <c r="C36" s="6">
        <v>136.72</v>
      </c>
      <c r="D36" s="7">
        <v>-0.0814</v>
      </c>
      <c r="F36" s="8">
        <f t="shared" si="0"/>
        <v>-0.0814</v>
      </c>
      <c r="G36" s="8">
        <f>O$5/12</f>
        <v>0.002057875</v>
      </c>
      <c r="H36" s="8">
        <f t="shared" si="1"/>
        <v>-0.083457875</v>
      </c>
      <c r="J36" s="8">
        <f t="shared" si="2"/>
        <v>-0.083457875</v>
      </c>
      <c r="L36" s="14" t="s">
        <v>192</v>
      </c>
      <c r="O36" s="8">
        <f>($C$9/$C$20)^(1/($A$20/12))-1</f>
        <v>0.364408268431223</v>
      </c>
      <c r="P36" s="8">
        <f>($C$9/$C$44)^(1/($A$44/12))-1</f>
        <v>0.158638714663888</v>
      </c>
      <c r="Q36" s="8">
        <f>($C$9/$C$68)^(1/($A$68/12))-1</f>
        <v>0.302348076201482</v>
      </c>
      <c r="T36">
        <v>28</v>
      </c>
      <c r="U36" s="8">
        <f t="shared" si="3"/>
        <v>0.0118563061777778</v>
      </c>
      <c r="Y36" s="8">
        <f t="shared" si="4"/>
        <v>0.000481985434027777</v>
      </c>
    </row>
    <row r="37" spans="1:25">
      <c r="A37">
        <v>29</v>
      </c>
      <c r="B37" s="5">
        <v>44682</v>
      </c>
      <c r="C37" s="6">
        <v>148.84</v>
      </c>
      <c r="D37" s="7">
        <v>-0.0559</v>
      </c>
      <c r="F37" s="8">
        <f t="shared" si="0"/>
        <v>-0.0559</v>
      </c>
      <c r="G37" s="8">
        <f>O$5/12</f>
        <v>0.002057875</v>
      </c>
      <c r="H37" s="8">
        <f t="shared" si="1"/>
        <v>-0.057957875</v>
      </c>
      <c r="J37" s="8">
        <f t="shared" si="2"/>
        <v>-0.057957875</v>
      </c>
      <c r="L37" s="14" t="s">
        <v>193</v>
      </c>
      <c r="O37" s="15">
        <f t="shared" ref="O37:Q37" si="18">$O$5</f>
        <v>0.0246945</v>
      </c>
      <c r="P37" s="15">
        <f t="shared" si="18"/>
        <v>0.0246945</v>
      </c>
      <c r="Q37" s="15">
        <f t="shared" si="18"/>
        <v>0.0246945</v>
      </c>
      <c r="T37">
        <v>29</v>
      </c>
      <c r="U37" s="8">
        <f t="shared" si="3"/>
        <v>0.00695333617777778</v>
      </c>
      <c r="Y37" s="8">
        <f t="shared" si="4"/>
        <v>1.25729340277779e-5</v>
      </c>
    </row>
    <row r="38" spans="1:25">
      <c r="A38">
        <v>30</v>
      </c>
      <c r="B38" s="5">
        <v>44652</v>
      </c>
      <c r="C38" s="6">
        <v>157.65</v>
      </c>
      <c r="D38" s="7">
        <v>-0.0971</v>
      </c>
      <c r="F38" s="8">
        <f t="shared" si="0"/>
        <v>-0.0971</v>
      </c>
      <c r="G38" s="8">
        <f>O$5/12</f>
        <v>0.002057875</v>
      </c>
      <c r="H38" s="8">
        <f t="shared" si="1"/>
        <v>-0.099157875</v>
      </c>
      <c r="J38" s="8">
        <f t="shared" si="2"/>
        <v>-0.099157875</v>
      </c>
      <c r="L38" s="13" t="s">
        <v>189</v>
      </c>
      <c r="O38" s="8">
        <f t="shared" ref="O38:Q38" si="19">O36-O37</f>
        <v>0.339713768431223</v>
      </c>
      <c r="P38" s="8">
        <f t="shared" si="19"/>
        <v>0.133944214663888</v>
      </c>
      <c r="Q38" s="8">
        <f t="shared" si="19"/>
        <v>0.277653576201482</v>
      </c>
      <c r="T38">
        <v>30</v>
      </c>
      <c r="U38" s="8">
        <f t="shared" si="3"/>
        <v>0.0155218375111111</v>
      </c>
      <c r="Y38" s="8">
        <f t="shared" si="4"/>
        <v>0.00141783626736111</v>
      </c>
    </row>
    <row r="39" spans="1:25">
      <c r="A39">
        <v>31</v>
      </c>
      <c r="B39" s="5">
        <v>44621</v>
      </c>
      <c r="C39" s="6">
        <v>174.61</v>
      </c>
      <c r="D39" s="7">
        <v>0.0575</v>
      </c>
      <c r="F39" s="8">
        <f t="shared" si="0"/>
        <v>0.0575</v>
      </c>
      <c r="G39" s="8">
        <f>O$5/12</f>
        <v>0.002057875</v>
      </c>
      <c r="H39" s="8">
        <f t="shared" si="1"/>
        <v>0.055442125</v>
      </c>
      <c r="J39" s="8" t="str">
        <f t="shared" si="2"/>
        <v/>
      </c>
      <c r="T39">
        <v>31</v>
      </c>
      <c r="U39" s="8">
        <f t="shared" si="3"/>
        <v>0.000900800177777778</v>
      </c>
      <c r="Y39" s="8" t="str">
        <f t="shared" si="4"/>
        <v/>
      </c>
    </row>
    <row r="40" ht="18.75" spans="1:25">
      <c r="A40">
        <v>32</v>
      </c>
      <c r="B40" s="5">
        <v>44593</v>
      </c>
      <c r="C40" s="6">
        <v>165.12</v>
      </c>
      <c r="D40" s="7">
        <v>-0.0553</v>
      </c>
      <c r="F40" s="8">
        <f t="shared" si="0"/>
        <v>-0.0553</v>
      </c>
      <c r="G40" s="8">
        <f>O$5/12</f>
        <v>0.002057875</v>
      </c>
      <c r="H40" s="8">
        <f t="shared" si="1"/>
        <v>-0.057357875</v>
      </c>
      <c r="J40" s="8">
        <f t="shared" si="2"/>
        <v>-0.057357875</v>
      </c>
      <c r="L40" s="13" t="s">
        <v>198</v>
      </c>
      <c r="O40" s="16">
        <f t="shared" ref="O40:Q40" si="20">O38/O35</f>
        <v>4.55993525099846</v>
      </c>
      <c r="P40" s="16">
        <f t="shared" si="20"/>
        <v>1.01962354914882</v>
      </c>
      <c r="Q40" s="16">
        <f t="shared" si="20"/>
        <v>2.19275974447416</v>
      </c>
      <c r="T40">
        <v>32</v>
      </c>
      <c r="U40" s="8">
        <f t="shared" si="3"/>
        <v>0.00685363217777778</v>
      </c>
      <c r="Y40" s="8">
        <f t="shared" si="4"/>
        <v>1.71879340277778e-5</v>
      </c>
    </row>
    <row r="41" spans="1:25">
      <c r="A41">
        <v>33</v>
      </c>
      <c r="B41" s="5">
        <v>44562</v>
      </c>
      <c r="C41" s="6">
        <v>174.78</v>
      </c>
      <c r="D41" s="7">
        <v>-0.0157</v>
      </c>
      <c r="E41" s="4"/>
      <c r="F41" s="8">
        <f t="shared" si="0"/>
        <v>-0.0157</v>
      </c>
      <c r="G41" s="8">
        <f>O$5/12</f>
        <v>0.002057875</v>
      </c>
      <c r="H41" s="8">
        <f t="shared" si="1"/>
        <v>-0.017757875</v>
      </c>
      <c r="J41" s="8">
        <f t="shared" si="2"/>
        <v>-0.017757875</v>
      </c>
      <c r="T41">
        <v>33</v>
      </c>
      <c r="U41" s="8">
        <f t="shared" si="3"/>
        <v>0.00186508817777778</v>
      </c>
      <c r="Y41" s="8">
        <f t="shared" si="4"/>
        <v>0.00191369793402778</v>
      </c>
    </row>
    <row r="42" spans="1:25">
      <c r="A42">
        <v>34</v>
      </c>
      <c r="B42" s="5">
        <v>44531</v>
      </c>
      <c r="C42" s="6">
        <v>177.57</v>
      </c>
      <c r="D42" s="7">
        <v>0.0742</v>
      </c>
      <c r="E42" s="4"/>
      <c r="F42" s="8">
        <f t="shared" si="0"/>
        <v>0.0742</v>
      </c>
      <c r="G42" s="8">
        <f>O$5/12</f>
        <v>0.002057875</v>
      </c>
      <c r="H42" s="8">
        <f t="shared" si="1"/>
        <v>0.072142125</v>
      </c>
      <c r="J42" s="8" t="str">
        <f t="shared" si="2"/>
        <v/>
      </c>
      <c r="T42">
        <v>34</v>
      </c>
      <c r="U42" s="8">
        <f t="shared" si="3"/>
        <v>0.00218213551111111</v>
      </c>
      <c r="Y42" s="8" t="str">
        <f t="shared" si="4"/>
        <v/>
      </c>
    </row>
    <row r="43" spans="1:25">
      <c r="A43">
        <v>35</v>
      </c>
      <c r="B43" s="5">
        <v>44501</v>
      </c>
      <c r="C43" s="6">
        <v>165.3</v>
      </c>
      <c r="D43" s="7">
        <v>0.1035</v>
      </c>
      <c r="E43" s="4"/>
      <c r="F43" s="8">
        <f t="shared" si="0"/>
        <v>0.1035</v>
      </c>
      <c r="G43" s="8">
        <f>O$5/12</f>
        <v>0.002057875</v>
      </c>
      <c r="H43" s="8">
        <f t="shared" si="1"/>
        <v>0.101442125</v>
      </c>
      <c r="J43" s="8" t="str">
        <f t="shared" si="2"/>
        <v/>
      </c>
      <c r="T43">
        <v>35</v>
      </c>
      <c r="U43" s="8">
        <f t="shared" si="3"/>
        <v>0.00577802684444444</v>
      </c>
      <c r="Y43" s="8" t="str">
        <f t="shared" si="4"/>
        <v/>
      </c>
    </row>
    <row r="44" spans="1:25">
      <c r="A44">
        <v>36</v>
      </c>
      <c r="B44" s="5">
        <v>44470</v>
      </c>
      <c r="C44" s="6">
        <v>149.8</v>
      </c>
      <c r="D44" s="7">
        <v>0.0587</v>
      </c>
      <c r="E44" s="4"/>
      <c r="F44" s="8">
        <f t="shared" si="0"/>
        <v>0.0587</v>
      </c>
      <c r="G44" s="8">
        <f>O$5/12</f>
        <v>0.002057875</v>
      </c>
      <c r="H44" s="8">
        <f t="shared" si="1"/>
        <v>0.056642125</v>
      </c>
      <c r="J44" s="8" t="str">
        <f t="shared" si="2"/>
        <v/>
      </c>
      <c r="T44">
        <v>36</v>
      </c>
      <c r="U44" s="8">
        <f t="shared" si="3"/>
        <v>0.000974272177777778</v>
      </c>
      <c r="Y44" s="8" t="str">
        <f t="shared" si="4"/>
        <v/>
      </c>
    </row>
    <row r="45" spans="1:25">
      <c r="A45">
        <v>37</v>
      </c>
      <c r="B45" s="5">
        <v>44440</v>
      </c>
      <c r="C45" s="6">
        <v>141.5</v>
      </c>
      <c r="D45" s="7">
        <v>-0.068</v>
      </c>
      <c r="E45" s="4"/>
      <c r="F45" s="8">
        <f t="shared" si="0"/>
        <v>-0.068</v>
      </c>
      <c r="G45" s="8">
        <f>O$5/12</f>
        <v>0.002057875</v>
      </c>
      <c r="H45" s="8">
        <f t="shared" si="1"/>
        <v>-0.070057875</v>
      </c>
      <c r="J45" s="8">
        <f t="shared" si="2"/>
        <v>-0.070057875</v>
      </c>
      <c r="T45">
        <v>37</v>
      </c>
      <c r="U45" s="8">
        <f t="shared" si="3"/>
        <v>0.00911770351111111</v>
      </c>
      <c r="Y45" s="8">
        <f t="shared" si="4"/>
        <v>7.3173767361111e-5</v>
      </c>
    </row>
    <row r="46" spans="1:25">
      <c r="A46">
        <v>38</v>
      </c>
      <c r="B46" s="5">
        <v>44409</v>
      </c>
      <c r="C46" s="6">
        <v>151.83</v>
      </c>
      <c r="D46" s="7">
        <v>0.0409</v>
      </c>
      <c r="E46" s="4"/>
      <c r="F46" s="8">
        <f t="shared" si="0"/>
        <v>0.0409</v>
      </c>
      <c r="G46" s="8">
        <f>O$5/12</f>
        <v>0.002057875</v>
      </c>
      <c r="H46" s="8">
        <f t="shared" si="1"/>
        <v>0.038842125</v>
      </c>
      <c r="J46" s="8" t="str">
        <f t="shared" si="2"/>
        <v/>
      </c>
      <c r="T46">
        <v>38</v>
      </c>
      <c r="U46" s="8">
        <f t="shared" si="3"/>
        <v>0.000179917511111111</v>
      </c>
      <c r="Y46" s="8" t="str">
        <f t="shared" si="4"/>
        <v/>
      </c>
    </row>
    <row r="47" spans="1:25">
      <c r="A47">
        <v>39</v>
      </c>
      <c r="B47" s="5">
        <v>44378</v>
      </c>
      <c r="C47" s="6">
        <v>145.86</v>
      </c>
      <c r="D47" s="7">
        <v>0.065</v>
      </c>
      <c r="E47" s="4"/>
      <c r="F47" s="8">
        <f t="shared" si="0"/>
        <v>0.065</v>
      </c>
      <c r="G47" s="8">
        <f>O$5/12</f>
        <v>0.002057875</v>
      </c>
      <c r="H47" s="8">
        <f t="shared" si="1"/>
        <v>0.062942125</v>
      </c>
      <c r="J47" s="8" t="str">
        <f t="shared" si="2"/>
        <v/>
      </c>
      <c r="T47">
        <v>39</v>
      </c>
      <c r="U47" s="8">
        <f t="shared" si="3"/>
        <v>0.00140725017777778</v>
      </c>
      <c r="Y47" s="8" t="str">
        <f t="shared" si="4"/>
        <v/>
      </c>
    </row>
    <row r="48" spans="1:25">
      <c r="A48">
        <v>40</v>
      </c>
      <c r="B48" s="5">
        <v>44348</v>
      </c>
      <c r="C48" s="6">
        <v>136.96</v>
      </c>
      <c r="D48" s="7">
        <v>0.0991</v>
      </c>
      <c r="E48" s="4"/>
      <c r="F48" s="8">
        <f t="shared" si="0"/>
        <v>0.0991</v>
      </c>
      <c r="G48" s="8">
        <f>O$5/12</f>
        <v>0.002057875</v>
      </c>
      <c r="H48" s="8">
        <f t="shared" si="1"/>
        <v>0.097042125</v>
      </c>
      <c r="J48" s="8" t="str">
        <f t="shared" si="2"/>
        <v/>
      </c>
      <c r="T48">
        <v>40</v>
      </c>
      <c r="U48" s="8">
        <f t="shared" si="3"/>
        <v>0.00512846951111111</v>
      </c>
      <c r="Y48" s="8" t="str">
        <f t="shared" si="4"/>
        <v/>
      </c>
    </row>
    <row r="49" spans="1:25">
      <c r="A49">
        <v>41</v>
      </c>
      <c r="B49" s="5">
        <v>44317</v>
      </c>
      <c r="C49" s="6">
        <v>124.61</v>
      </c>
      <c r="D49" s="7">
        <v>-0.0521</v>
      </c>
      <c r="E49" s="4"/>
      <c r="F49" s="8">
        <f t="shared" si="0"/>
        <v>-0.0521</v>
      </c>
      <c r="G49" s="8">
        <f>O$5/12</f>
        <v>0.002057875</v>
      </c>
      <c r="H49" s="8">
        <f t="shared" si="1"/>
        <v>-0.054157875</v>
      </c>
      <c r="J49" s="8">
        <f t="shared" si="2"/>
        <v>-0.054157875</v>
      </c>
      <c r="T49">
        <v>41</v>
      </c>
      <c r="U49" s="8">
        <f t="shared" si="3"/>
        <v>0.00633403751111111</v>
      </c>
      <c r="Y49" s="8">
        <f t="shared" si="4"/>
        <v>5.39612673611113e-5</v>
      </c>
    </row>
    <row r="50" spans="1:25">
      <c r="A50">
        <v>42</v>
      </c>
      <c r="B50" s="5">
        <v>44287</v>
      </c>
      <c r="C50" s="6">
        <v>131.46</v>
      </c>
      <c r="D50" s="7">
        <v>0.0762</v>
      </c>
      <c r="E50" s="4"/>
      <c r="F50" s="8">
        <f t="shared" si="0"/>
        <v>0.0762</v>
      </c>
      <c r="G50" s="8">
        <f>O$5/12</f>
        <v>0.002057875</v>
      </c>
      <c r="H50" s="8">
        <f t="shared" si="1"/>
        <v>0.074142125</v>
      </c>
      <c r="J50" s="8" t="str">
        <f t="shared" si="2"/>
        <v/>
      </c>
      <c r="T50">
        <v>42</v>
      </c>
      <c r="U50" s="8">
        <f t="shared" si="3"/>
        <v>0.00237298884444444</v>
      </c>
      <c r="Y50" s="8" t="str">
        <f t="shared" si="4"/>
        <v/>
      </c>
    </row>
    <row r="51" spans="1:25">
      <c r="A51">
        <v>43</v>
      </c>
      <c r="B51" s="5">
        <v>44256</v>
      </c>
      <c r="C51" s="6">
        <v>122.15</v>
      </c>
      <c r="D51" s="7">
        <v>0.0073</v>
      </c>
      <c r="E51" s="4"/>
      <c r="F51" s="8">
        <f t="shared" si="0"/>
        <v>0.0073</v>
      </c>
      <c r="G51" s="8">
        <f>O$5/12</f>
        <v>0.002057875</v>
      </c>
      <c r="H51" s="8">
        <f t="shared" si="1"/>
        <v>0.005242125</v>
      </c>
      <c r="J51" s="8" t="str">
        <f t="shared" si="2"/>
        <v/>
      </c>
      <c r="T51">
        <v>43</v>
      </c>
      <c r="U51" s="8">
        <f t="shared" si="3"/>
        <v>0.000407501511111111</v>
      </c>
      <c r="Y51" s="8" t="str">
        <f t="shared" si="4"/>
        <v/>
      </c>
    </row>
    <row r="52" spans="1:25">
      <c r="A52">
        <v>44</v>
      </c>
      <c r="B52" s="5">
        <v>44228</v>
      </c>
      <c r="C52" s="6">
        <v>121.26</v>
      </c>
      <c r="D52" s="7">
        <v>-0.0811</v>
      </c>
      <c r="E52" s="4"/>
      <c r="F52" s="8">
        <f t="shared" si="0"/>
        <v>-0.0811</v>
      </c>
      <c r="G52" s="8">
        <f>O$5/12</f>
        <v>0.002057875</v>
      </c>
      <c r="H52" s="8">
        <f t="shared" si="1"/>
        <v>-0.083157875</v>
      </c>
      <c r="J52" s="8">
        <f t="shared" si="2"/>
        <v>-0.083157875</v>
      </c>
      <c r="T52">
        <v>44</v>
      </c>
      <c r="U52" s="8">
        <f t="shared" si="3"/>
        <v>0.0117910641777778</v>
      </c>
      <c r="Y52" s="8">
        <f t="shared" si="4"/>
        <v>0.000468902934027777</v>
      </c>
    </row>
    <row r="53" spans="1:25">
      <c r="A53">
        <v>45</v>
      </c>
      <c r="B53" s="5">
        <v>44197</v>
      </c>
      <c r="C53" s="6">
        <v>131.96</v>
      </c>
      <c r="D53" s="7">
        <v>-0.0055</v>
      </c>
      <c r="E53" s="4"/>
      <c r="F53" s="8">
        <f t="shared" si="0"/>
        <v>-0.0055</v>
      </c>
      <c r="G53" s="8">
        <f>O$5/12</f>
        <v>0.002057875</v>
      </c>
      <c r="H53" s="8">
        <f t="shared" si="1"/>
        <v>-0.007557875</v>
      </c>
      <c r="J53" s="8">
        <f t="shared" si="2"/>
        <v>-0.007557875</v>
      </c>
      <c r="T53">
        <v>45</v>
      </c>
      <c r="U53" s="8">
        <f t="shared" si="3"/>
        <v>0.00108812017777778</v>
      </c>
      <c r="Y53" s="8">
        <f t="shared" si="4"/>
        <v>0.00291015293402778</v>
      </c>
    </row>
    <row r="54" spans="1:25">
      <c r="A54">
        <v>46</v>
      </c>
      <c r="B54" s="5">
        <v>44166</v>
      </c>
      <c r="C54" s="6">
        <v>132.69</v>
      </c>
      <c r="D54" s="7">
        <v>0.1146</v>
      </c>
      <c r="E54" s="4"/>
      <c r="F54" s="8">
        <f t="shared" si="0"/>
        <v>0.1146</v>
      </c>
      <c r="G54" s="8">
        <f>O$5/12</f>
        <v>0.002057875</v>
      </c>
      <c r="H54" s="8">
        <f t="shared" si="1"/>
        <v>0.112542125</v>
      </c>
      <c r="J54" s="8" t="str">
        <f t="shared" si="2"/>
        <v/>
      </c>
      <c r="T54">
        <v>46</v>
      </c>
      <c r="U54" s="8">
        <f t="shared" si="3"/>
        <v>0.00758873284444444</v>
      </c>
      <c r="Y54" s="8" t="str">
        <f t="shared" si="4"/>
        <v/>
      </c>
    </row>
    <row r="55" spans="1:25">
      <c r="A55">
        <v>47</v>
      </c>
      <c r="B55" s="5">
        <v>44136</v>
      </c>
      <c r="C55" s="6">
        <v>119.05</v>
      </c>
      <c r="D55" s="7">
        <v>0.0936</v>
      </c>
      <c r="E55" s="4"/>
      <c r="F55" s="8">
        <f t="shared" si="0"/>
        <v>0.0936</v>
      </c>
      <c r="G55" s="8">
        <f>O$5/12</f>
        <v>0.002057875</v>
      </c>
      <c r="H55" s="8">
        <f t="shared" si="1"/>
        <v>0.091542125</v>
      </c>
      <c r="J55" s="8" t="str">
        <f t="shared" si="2"/>
        <v/>
      </c>
      <c r="T55">
        <v>47</v>
      </c>
      <c r="U55" s="8">
        <f t="shared" si="3"/>
        <v>0.00437097284444444</v>
      </c>
      <c r="Y55" s="8" t="str">
        <f t="shared" si="4"/>
        <v/>
      </c>
    </row>
    <row r="56" spans="1:25">
      <c r="A56">
        <v>48</v>
      </c>
      <c r="B56" s="5">
        <v>44105</v>
      </c>
      <c r="C56" s="6">
        <v>108.86</v>
      </c>
      <c r="D56" s="7">
        <v>-0.06</v>
      </c>
      <c r="E56" s="4"/>
      <c r="F56" s="8">
        <f t="shared" si="0"/>
        <v>-0.06</v>
      </c>
      <c r="G56" s="8">
        <f>O$5/12</f>
        <v>0.002057875</v>
      </c>
      <c r="H56" s="8">
        <f t="shared" si="1"/>
        <v>-0.062057875</v>
      </c>
      <c r="J56" s="8">
        <f t="shared" si="2"/>
        <v>-0.062057875</v>
      </c>
      <c r="T56">
        <v>48</v>
      </c>
      <c r="U56" s="8">
        <f t="shared" si="3"/>
        <v>0.00765391684444445</v>
      </c>
      <c r="Y56" s="8">
        <f t="shared" si="4"/>
        <v>3.07100694444431e-7</v>
      </c>
    </row>
    <row r="57" spans="1:25">
      <c r="A57">
        <v>49</v>
      </c>
      <c r="B57" s="5">
        <v>44075</v>
      </c>
      <c r="C57" s="6">
        <v>115.81</v>
      </c>
      <c r="D57" s="7">
        <v>-0.1025</v>
      </c>
      <c r="E57" s="4"/>
      <c r="F57" s="8">
        <f t="shared" si="0"/>
        <v>-0.1025</v>
      </c>
      <c r="G57" s="8">
        <f>O$5/12</f>
        <v>0.002057875</v>
      </c>
      <c r="H57" s="8">
        <f t="shared" si="1"/>
        <v>-0.104557875</v>
      </c>
      <c r="J57" s="8">
        <f t="shared" si="2"/>
        <v>-0.104557875</v>
      </c>
      <c r="T57">
        <v>49</v>
      </c>
      <c r="U57" s="8">
        <f t="shared" si="3"/>
        <v>0.0168965335111111</v>
      </c>
      <c r="Y57" s="8">
        <f t="shared" si="4"/>
        <v>0.00185366126736111</v>
      </c>
    </row>
    <row r="58" spans="1:25">
      <c r="A58">
        <v>50</v>
      </c>
      <c r="B58" s="5">
        <v>44044</v>
      </c>
      <c r="C58" s="6">
        <v>129.04</v>
      </c>
      <c r="D58" s="7">
        <v>0.2144</v>
      </c>
      <c r="E58" s="4"/>
      <c r="F58" s="8">
        <f t="shared" si="0"/>
        <v>0.2144</v>
      </c>
      <c r="G58" s="8">
        <f>O$5/12</f>
        <v>0.002057875</v>
      </c>
      <c r="H58" s="8">
        <f t="shared" si="1"/>
        <v>0.212342125</v>
      </c>
      <c r="J58" s="8" t="str">
        <f t="shared" si="2"/>
        <v/>
      </c>
      <c r="T58">
        <v>50</v>
      </c>
      <c r="U58" s="8">
        <f t="shared" si="3"/>
        <v>0.0349365941777778</v>
      </c>
      <c r="Y58" s="8" t="str">
        <f t="shared" si="4"/>
        <v/>
      </c>
    </row>
    <row r="59" spans="1:25">
      <c r="A59">
        <v>51</v>
      </c>
      <c r="B59" s="5">
        <v>44013</v>
      </c>
      <c r="C59" s="6">
        <v>106.26</v>
      </c>
      <c r="D59" s="7">
        <v>0.1651</v>
      </c>
      <c r="E59" s="4"/>
      <c r="F59" s="8">
        <f t="shared" si="0"/>
        <v>0.1651</v>
      </c>
      <c r="G59" s="8">
        <f>O$5/12</f>
        <v>0.002057875</v>
      </c>
      <c r="H59" s="8">
        <f t="shared" si="1"/>
        <v>0.163042125</v>
      </c>
      <c r="J59" s="8" t="str">
        <f t="shared" si="2"/>
        <v/>
      </c>
      <c r="T59">
        <v>51</v>
      </c>
      <c r="U59" s="8">
        <f t="shared" si="3"/>
        <v>0.0189374295111111</v>
      </c>
      <c r="Y59" s="8" t="str">
        <f t="shared" si="4"/>
        <v/>
      </c>
    </row>
    <row r="60" spans="1:25">
      <c r="A60">
        <v>52</v>
      </c>
      <c r="B60" s="5">
        <v>43983</v>
      </c>
      <c r="C60" s="6">
        <v>91.2</v>
      </c>
      <c r="D60" s="7">
        <v>0.1475</v>
      </c>
      <c r="E60" s="4"/>
      <c r="F60" s="8">
        <f t="shared" si="0"/>
        <v>0.1475</v>
      </c>
      <c r="G60" s="8">
        <f>O$5/12</f>
        <v>0.002057875</v>
      </c>
      <c r="H60" s="8">
        <f t="shared" si="1"/>
        <v>0.145442125</v>
      </c>
      <c r="J60" s="8" t="str">
        <f t="shared" si="2"/>
        <v/>
      </c>
      <c r="T60">
        <v>52</v>
      </c>
      <c r="U60" s="8">
        <f t="shared" si="3"/>
        <v>0.0144032001777778</v>
      </c>
      <c r="Y60" s="8" t="str">
        <f t="shared" si="4"/>
        <v/>
      </c>
    </row>
    <row r="61" spans="1:25">
      <c r="A61">
        <v>53</v>
      </c>
      <c r="B61" s="5">
        <v>43952</v>
      </c>
      <c r="C61" s="6">
        <v>79.48</v>
      </c>
      <c r="D61" s="7">
        <v>0.0821</v>
      </c>
      <c r="E61" s="4"/>
      <c r="F61" s="8">
        <f t="shared" si="0"/>
        <v>0.0821</v>
      </c>
      <c r="G61" s="8">
        <f>O$5/12</f>
        <v>0.002057875</v>
      </c>
      <c r="H61" s="8">
        <f t="shared" si="1"/>
        <v>0.080042125</v>
      </c>
      <c r="J61" s="8" t="str">
        <f t="shared" si="2"/>
        <v/>
      </c>
      <c r="T61">
        <v>53</v>
      </c>
      <c r="U61" s="8">
        <f t="shared" si="3"/>
        <v>0.00298261617777778</v>
      </c>
      <c r="Y61" s="8" t="str">
        <f t="shared" si="4"/>
        <v/>
      </c>
    </row>
    <row r="62" spans="1:25">
      <c r="A62">
        <v>54</v>
      </c>
      <c r="B62" s="5">
        <v>43922</v>
      </c>
      <c r="C62" s="6">
        <v>73.45</v>
      </c>
      <c r="D62" s="7">
        <v>0.1554</v>
      </c>
      <c r="E62" s="4"/>
      <c r="F62" s="8">
        <f t="shared" si="0"/>
        <v>0.1554</v>
      </c>
      <c r="G62" s="8">
        <f>O$5/12</f>
        <v>0.002057875</v>
      </c>
      <c r="H62" s="8">
        <f t="shared" si="1"/>
        <v>0.153342125</v>
      </c>
      <c r="J62" s="8" t="str">
        <f t="shared" si="2"/>
        <v/>
      </c>
      <c r="T62">
        <v>54</v>
      </c>
      <c r="U62" s="8">
        <f t="shared" si="3"/>
        <v>0.0163618208444444</v>
      </c>
      <c r="Y62" s="8" t="str">
        <f t="shared" si="4"/>
        <v/>
      </c>
    </row>
    <row r="63" spans="1:25">
      <c r="A63">
        <v>55</v>
      </c>
      <c r="B63" s="5">
        <v>43891</v>
      </c>
      <c r="C63" s="6">
        <v>63.57</v>
      </c>
      <c r="D63" s="7">
        <v>-0.0698</v>
      </c>
      <c r="E63" s="4"/>
      <c r="F63" s="8">
        <f t="shared" si="0"/>
        <v>-0.0698</v>
      </c>
      <c r="G63" s="8">
        <f>O$5/12</f>
        <v>0.002057875</v>
      </c>
      <c r="H63" s="8">
        <f t="shared" si="1"/>
        <v>-0.071857875</v>
      </c>
      <c r="J63" s="8">
        <f t="shared" si="2"/>
        <v>-0.071857875</v>
      </c>
      <c r="T63">
        <v>55</v>
      </c>
      <c r="U63" s="8">
        <f t="shared" si="3"/>
        <v>0.00946469551111111</v>
      </c>
      <c r="Y63" s="8">
        <f t="shared" si="4"/>
        <v>0.000107208767361111</v>
      </c>
    </row>
    <row r="64" spans="1:25">
      <c r="A64">
        <v>56</v>
      </c>
      <c r="B64" s="5">
        <v>43862</v>
      </c>
      <c r="C64" s="6">
        <v>68.34</v>
      </c>
      <c r="D64" s="7">
        <v>-0.1168</v>
      </c>
      <c r="E64" s="4"/>
      <c r="F64" s="8">
        <f t="shared" si="0"/>
        <v>-0.1168</v>
      </c>
      <c r="G64" s="8">
        <f>O$5/12</f>
        <v>0.002057875</v>
      </c>
      <c r="H64" s="8">
        <f t="shared" si="1"/>
        <v>-0.118857875</v>
      </c>
      <c r="J64" s="8">
        <f t="shared" si="2"/>
        <v>-0.118857875</v>
      </c>
      <c r="T64">
        <v>56</v>
      </c>
      <c r="U64" s="8">
        <f t="shared" si="3"/>
        <v>0.0208186421777778</v>
      </c>
      <c r="Y64" s="8">
        <f t="shared" si="4"/>
        <v>0.00328950043402778</v>
      </c>
    </row>
    <row r="65" spans="1:25">
      <c r="A65">
        <v>57</v>
      </c>
      <c r="B65" s="5">
        <v>43831</v>
      </c>
      <c r="C65" s="6">
        <v>77.38</v>
      </c>
      <c r="D65" s="7">
        <v>0.0541</v>
      </c>
      <c r="E65" s="4"/>
      <c r="F65" s="8">
        <f t="shared" si="0"/>
        <v>0.0541</v>
      </c>
      <c r="G65" s="8">
        <f>O$5/12</f>
        <v>0.002057875</v>
      </c>
      <c r="H65" s="8">
        <f t="shared" si="1"/>
        <v>0.052042125</v>
      </c>
      <c r="J65" s="8" t="str">
        <f t="shared" si="2"/>
        <v/>
      </c>
      <c r="T65">
        <v>57</v>
      </c>
      <c r="U65" s="8">
        <f t="shared" si="3"/>
        <v>0.000708269511111111</v>
      </c>
      <c r="Y65" s="8" t="str">
        <f t="shared" si="4"/>
        <v/>
      </c>
    </row>
    <row r="66" spans="1:25">
      <c r="A66">
        <v>58</v>
      </c>
      <c r="B66" s="5">
        <v>43800</v>
      </c>
      <c r="C66" s="6">
        <v>73.41</v>
      </c>
      <c r="D66" s="7">
        <v>0.0988</v>
      </c>
      <c r="E66" s="4"/>
      <c r="F66" s="8">
        <f t="shared" si="0"/>
        <v>0.0988</v>
      </c>
      <c r="G66" s="8">
        <f>O$5/12</f>
        <v>0.002057875</v>
      </c>
      <c r="H66" s="8">
        <f t="shared" si="1"/>
        <v>0.096742125</v>
      </c>
      <c r="J66" s="8" t="str">
        <f t="shared" si="2"/>
        <v/>
      </c>
      <c r="T66">
        <v>58</v>
      </c>
      <c r="U66" s="8">
        <f t="shared" si="3"/>
        <v>0.00508559151111111</v>
      </c>
      <c r="Y66" s="8" t="str">
        <f t="shared" si="4"/>
        <v/>
      </c>
    </row>
    <row r="67" spans="1:25">
      <c r="A67">
        <v>59</v>
      </c>
      <c r="B67" s="5">
        <v>43770</v>
      </c>
      <c r="C67" s="6">
        <v>66.81</v>
      </c>
      <c r="D67" s="7">
        <v>0.0743</v>
      </c>
      <c r="E67" s="4"/>
      <c r="F67" s="8">
        <f t="shared" si="0"/>
        <v>0.0743</v>
      </c>
      <c r="G67" s="8">
        <f>O$5/12</f>
        <v>0.002057875</v>
      </c>
      <c r="H67" s="8">
        <f t="shared" si="1"/>
        <v>0.072242125</v>
      </c>
      <c r="J67" s="8" t="str">
        <f t="shared" si="2"/>
        <v/>
      </c>
      <c r="T67">
        <v>59</v>
      </c>
      <c r="U67" s="8">
        <f t="shared" si="3"/>
        <v>0.00219148817777778</v>
      </c>
      <c r="Y67" s="8" t="str">
        <f t="shared" si="4"/>
        <v/>
      </c>
    </row>
    <row r="68" spans="1:25">
      <c r="A68">
        <v>60</v>
      </c>
      <c r="B68" s="5">
        <v>43739</v>
      </c>
      <c r="C68" s="6">
        <v>62.19</v>
      </c>
      <c r="D68" s="7">
        <v>0.1107</v>
      </c>
      <c r="E68" s="4"/>
      <c r="F68" s="8">
        <f t="shared" si="0"/>
        <v>0.1107</v>
      </c>
      <c r="G68" s="8">
        <f>O$5/12</f>
        <v>0.002057875</v>
      </c>
      <c r="H68" s="8">
        <f t="shared" si="1"/>
        <v>0.108642125</v>
      </c>
      <c r="J68" s="8" t="str">
        <f t="shared" si="2"/>
        <v/>
      </c>
      <c r="T68">
        <v>60</v>
      </c>
      <c r="U68" s="8">
        <f t="shared" si="3"/>
        <v>0.00692445884444444</v>
      </c>
      <c r="Y68" s="8" t="str">
        <f t="shared" si="4"/>
        <v/>
      </c>
    </row>
    <row r="69" spans="5:7">
      <c r="E69" s="4"/>
      <c r="F69" s="4"/>
      <c r="G69" s="8"/>
    </row>
    <row r="70" spans="5:25">
      <c r="E70" s="4"/>
      <c r="F70" s="4"/>
      <c r="G70" s="8"/>
      <c r="U70" s="18">
        <f>SUM(U9:U69)</f>
        <v>0.421937409333333</v>
      </c>
      <c r="Y70" s="18">
        <f>SUM(Y9:Y69)</f>
        <v>0.0307305995833333</v>
      </c>
    </row>
    <row r="71" spans="2:10">
      <c r="B71" s="5"/>
      <c r="C71" s="6"/>
      <c r="D71" s="7"/>
      <c r="E71" s="4"/>
      <c r="F71" s="4"/>
      <c r="G71" s="4"/>
      <c r="J71" s="8"/>
    </row>
    <row r="72" spans="2:7">
      <c r="B72" s="5"/>
      <c r="C72" s="6"/>
      <c r="D72" s="7"/>
      <c r="E72" s="4"/>
      <c r="F72" s="4"/>
      <c r="G72" s="4"/>
    </row>
    <row r="73" spans="2:7">
      <c r="B73" s="5"/>
      <c r="C73" s="6"/>
      <c r="D73" s="7"/>
      <c r="E73" s="4"/>
      <c r="F73" s="4"/>
      <c r="G73" s="4"/>
    </row>
    <row r="74" spans="2:7">
      <c r="B74" s="5"/>
      <c r="C74" s="6"/>
      <c r="D74" s="7"/>
      <c r="E74" s="4"/>
      <c r="F74" s="4"/>
      <c r="G74" s="4"/>
    </row>
    <row r="75" spans="2:7">
      <c r="B75" s="5"/>
      <c r="C75" s="6"/>
      <c r="D75" s="7"/>
      <c r="E75" s="4"/>
      <c r="F75" s="4"/>
      <c r="G75" s="4"/>
    </row>
    <row r="76" spans="2:7">
      <c r="B76" s="5"/>
      <c r="C76" s="6"/>
      <c r="D76" s="7"/>
      <c r="E76" s="4"/>
      <c r="F76" s="4"/>
      <c r="G76" s="4"/>
    </row>
    <row r="77" spans="2:7">
      <c r="B77" s="5"/>
      <c r="C77" s="6"/>
      <c r="D77" s="7"/>
      <c r="E77" s="4"/>
      <c r="F77" s="4"/>
      <c r="G77" s="4"/>
    </row>
    <row r="78" spans="2:7">
      <c r="B78" s="5"/>
      <c r="C78" s="6"/>
      <c r="D78" s="7"/>
      <c r="E78" s="4"/>
      <c r="F78" s="4"/>
      <c r="G78" s="4"/>
    </row>
    <row r="79" spans="2:7">
      <c r="B79" s="5"/>
      <c r="C79" s="6"/>
      <c r="D79" s="7"/>
      <c r="E79" s="4"/>
      <c r="F79" s="4"/>
      <c r="G79" s="4"/>
    </row>
    <row r="80" spans="2:7">
      <c r="B80" s="5"/>
      <c r="C80" s="6"/>
      <c r="D80" s="7"/>
      <c r="E80" s="4"/>
      <c r="F80" s="4"/>
      <c r="G80" s="4"/>
    </row>
    <row r="81" spans="2:7">
      <c r="B81" s="5"/>
      <c r="C81" s="6"/>
      <c r="D81" s="7"/>
      <c r="E81" s="4"/>
      <c r="F81" s="4"/>
      <c r="G81" s="4"/>
    </row>
    <row r="82" spans="2:7">
      <c r="B82" s="5"/>
      <c r="C82" s="6"/>
      <c r="D82" s="7"/>
      <c r="E82" s="4"/>
      <c r="F82" s="4"/>
      <c r="G82" s="4"/>
    </row>
    <row r="83" spans="2:7">
      <c r="B83" s="5"/>
      <c r="C83" s="6"/>
      <c r="D83" s="7"/>
      <c r="E83" s="4"/>
      <c r="F83" s="4"/>
      <c r="G83" s="4"/>
    </row>
    <row r="84" spans="2:7">
      <c r="B84" s="5"/>
      <c r="C84" s="6"/>
      <c r="D84" s="7"/>
      <c r="E84" s="4"/>
      <c r="F84" s="4"/>
      <c r="G84" s="4"/>
    </row>
    <row r="85" spans="2:7">
      <c r="B85" s="5"/>
      <c r="C85" s="6"/>
      <c r="D85" s="7"/>
      <c r="E85" s="4"/>
      <c r="F85" s="4"/>
      <c r="G85" s="4"/>
    </row>
    <row r="86" spans="2:7">
      <c r="B86" s="5"/>
      <c r="C86" s="6"/>
      <c r="D86" s="7"/>
      <c r="E86" s="4"/>
      <c r="F86" s="4"/>
      <c r="G86" s="4"/>
    </row>
    <row r="87" spans="2:7">
      <c r="B87" s="5"/>
      <c r="C87" s="6"/>
      <c r="D87" s="7"/>
      <c r="E87" s="4"/>
      <c r="F87" s="4"/>
      <c r="G87" s="4"/>
    </row>
    <row r="88" spans="2:7">
      <c r="B88" s="5"/>
      <c r="C88" s="6"/>
      <c r="D88" s="7"/>
      <c r="E88" s="4"/>
      <c r="F88" s="4"/>
      <c r="G88" s="4"/>
    </row>
    <row r="89" spans="2:7">
      <c r="B89" s="5"/>
      <c r="C89" s="6"/>
      <c r="D89" s="7"/>
      <c r="E89" s="4"/>
      <c r="F89" s="4"/>
      <c r="G89" s="4"/>
    </row>
    <row r="90" spans="2:7">
      <c r="B90" s="5"/>
      <c r="C90" s="6"/>
      <c r="D90" s="7"/>
      <c r="E90" s="4"/>
      <c r="F90" s="4"/>
      <c r="G90" s="4"/>
    </row>
    <row r="91" spans="2:7">
      <c r="B91" s="5"/>
      <c r="C91" s="6"/>
      <c r="D91" s="7"/>
      <c r="E91" s="4"/>
      <c r="F91" s="4"/>
      <c r="G91" s="4"/>
    </row>
    <row r="92" spans="2:7">
      <c r="B92" s="5"/>
      <c r="C92" s="6"/>
      <c r="D92" s="7"/>
      <c r="E92" s="4"/>
      <c r="F92" s="4"/>
      <c r="G92" s="4"/>
    </row>
    <row r="93" spans="2:7">
      <c r="B93" s="5"/>
      <c r="C93" s="6"/>
      <c r="D93" s="7"/>
      <c r="E93" s="4"/>
      <c r="F93" s="4"/>
      <c r="G93" s="4"/>
    </row>
    <row r="94" spans="2:7">
      <c r="B94" s="5"/>
      <c r="C94" s="6"/>
      <c r="D94" s="7"/>
      <c r="E94" s="4"/>
      <c r="F94" s="4"/>
      <c r="G94" s="4"/>
    </row>
    <row r="95" spans="2:7">
      <c r="B95" s="5"/>
      <c r="C95" s="6"/>
      <c r="D95" s="7"/>
      <c r="E95" s="4"/>
      <c r="F95" s="4"/>
      <c r="G95" s="4"/>
    </row>
    <row r="96" spans="2:7">
      <c r="B96" s="5"/>
      <c r="C96" s="6"/>
      <c r="D96" s="7"/>
      <c r="E96" s="4"/>
      <c r="F96" s="4"/>
      <c r="G96" s="4"/>
    </row>
    <row r="97" spans="2:7">
      <c r="B97" s="5"/>
      <c r="C97" s="6"/>
      <c r="D97" s="7"/>
      <c r="E97" s="4"/>
      <c r="F97" s="4"/>
      <c r="G97" s="4"/>
    </row>
    <row r="98" spans="2:7">
      <c r="B98" s="5"/>
      <c r="C98" s="6"/>
      <c r="D98" s="7"/>
      <c r="E98" s="4"/>
      <c r="F98" s="4"/>
      <c r="G98" s="4"/>
    </row>
    <row r="99" spans="2:7">
      <c r="B99" s="5"/>
      <c r="C99" s="6"/>
      <c r="D99" s="7"/>
      <c r="E99" s="4"/>
      <c r="F99" s="4"/>
      <c r="G99" s="4"/>
    </row>
    <row r="100" spans="2:7">
      <c r="B100" s="5"/>
      <c r="C100" s="6"/>
      <c r="D100" s="7"/>
      <c r="E100" s="4"/>
      <c r="F100" s="4"/>
      <c r="G100" s="4"/>
    </row>
    <row r="101" spans="2:7">
      <c r="B101" s="5"/>
      <c r="C101" s="6"/>
      <c r="D101" s="7"/>
      <c r="E101" s="4"/>
      <c r="F101" s="4"/>
      <c r="G101" s="4"/>
    </row>
    <row r="102" spans="2:7">
      <c r="B102" s="5"/>
      <c r="C102" s="6"/>
      <c r="D102" s="7"/>
      <c r="E102" s="4"/>
      <c r="F102" s="4"/>
      <c r="G102" s="4"/>
    </row>
    <row r="103" spans="2:7">
      <c r="B103" s="5"/>
      <c r="C103" s="6"/>
      <c r="D103" s="7"/>
      <c r="E103" s="4"/>
      <c r="F103" s="4"/>
      <c r="G103" s="4"/>
    </row>
    <row r="104" spans="2:7">
      <c r="B104" s="5"/>
      <c r="C104" s="6"/>
      <c r="D104" s="7"/>
      <c r="E104" s="4"/>
      <c r="F104" s="4"/>
      <c r="G104" s="4"/>
    </row>
    <row r="105" spans="2:7">
      <c r="B105" s="5"/>
      <c r="C105" s="6"/>
      <c r="D105" s="7"/>
      <c r="E105" s="4"/>
      <c r="F105" s="4"/>
      <c r="G105" s="4"/>
    </row>
    <row r="106" spans="2:7">
      <c r="B106" s="5"/>
      <c r="C106" s="6"/>
      <c r="D106" s="7"/>
      <c r="E106" s="4"/>
      <c r="F106" s="4"/>
      <c r="G106" s="4"/>
    </row>
    <row r="107" spans="2:7">
      <c r="B107" s="5"/>
      <c r="C107" s="6"/>
      <c r="D107" s="7"/>
      <c r="E107" s="4"/>
      <c r="F107" s="4"/>
      <c r="G107" s="4"/>
    </row>
    <row r="108" spans="2:7">
      <c r="B108" s="5"/>
      <c r="C108" s="6"/>
      <c r="D108" s="7"/>
      <c r="E108" s="4"/>
      <c r="F108" s="4"/>
      <c r="G108" s="4"/>
    </row>
    <row r="109" spans="2:7">
      <c r="B109" s="5"/>
      <c r="C109" s="6"/>
      <c r="D109" s="7"/>
      <c r="E109" s="4"/>
      <c r="F109" s="4"/>
      <c r="G109" s="4"/>
    </row>
    <row r="110" spans="2:7">
      <c r="B110" s="5"/>
      <c r="C110" s="6"/>
      <c r="D110" s="7"/>
      <c r="E110" s="4"/>
      <c r="F110" s="4"/>
      <c r="G110" s="4"/>
    </row>
    <row r="111" spans="2:7">
      <c r="B111" s="5"/>
      <c r="C111" s="6"/>
      <c r="D111" s="7"/>
      <c r="E111" s="4"/>
      <c r="F111" s="4"/>
      <c r="G111" s="4"/>
    </row>
    <row r="112" spans="2:7">
      <c r="B112" s="5"/>
      <c r="C112" s="6"/>
      <c r="D112" s="7"/>
      <c r="E112" s="4"/>
      <c r="F112" s="4"/>
      <c r="G112" s="4"/>
    </row>
    <row r="113" spans="2:7">
      <c r="B113" s="5"/>
      <c r="C113" s="6"/>
      <c r="D113" s="7"/>
      <c r="E113" s="4"/>
      <c r="F113" s="4"/>
      <c r="G113" s="4"/>
    </row>
    <row r="114" spans="2:7">
      <c r="B114" s="5"/>
      <c r="C114" s="6"/>
      <c r="D114" s="7"/>
      <c r="E114" s="4"/>
      <c r="F114" s="4"/>
      <c r="G114" s="4"/>
    </row>
    <row r="115" spans="2:7">
      <c r="B115" s="5"/>
      <c r="C115" s="6"/>
      <c r="D115" s="7"/>
      <c r="E115" s="4"/>
      <c r="F115" s="4"/>
      <c r="G115" s="4"/>
    </row>
    <row r="116" spans="2:7">
      <c r="B116" s="5"/>
      <c r="C116" s="6"/>
      <c r="D116" s="7"/>
      <c r="E116" s="4"/>
      <c r="F116" s="4"/>
      <c r="G116" s="4"/>
    </row>
    <row r="117" spans="2:7">
      <c r="B117" s="5"/>
      <c r="C117" s="6"/>
      <c r="D117" s="7"/>
      <c r="E117" s="4"/>
      <c r="F117" s="4"/>
      <c r="G117" s="4"/>
    </row>
    <row r="118" spans="2:7">
      <c r="B118" s="5"/>
      <c r="C118" s="6"/>
      <c r="D118" s="7"/>
      <c r="E118" s="4"/>
      <c r="F118" s="4"/>
      <c r="G118" s="4"/>
    </row>
    <row r="119" spans="2:7">
      <c r="B119" s="5"/>
      <c r="C119" s="6"/>
      <c r="D119" s="7"/>
      <c r="E119" s="4"/>
      <c r="F119" s="4"/>
      <c r="G119" s="4"/>
    </row>
    <row r="120" spans="2:7">
      <c r="B120" s="5"/>
      <c r="C120" s="6"/>
      <c r="D120" s="7"/>
      <c r="E120" s="4"/>
      <c r="F120" s="4"/>
      <c r="G120" s="4"/>
    </row>
    <row r="121" spans="2:7">
      <c r="B121" s="5"/>
      <c r="C121" s="6"/>
      <c r="D121" s="7"/>
      <c r="E121" s="4"/>
      <c r="F121" s="4"/>
      <c r="G121" s="4"/>
    </row>
    <row r="122" spans="2:7">
      <c r="B122" s="5"/>
      <c r="C122" s="6"/>
      <c r="D122" s="7"/>
      <c r="E122" s="4"/>
      <c r="F122" s="4"/>
      <c r="G122" s="4"/>
    </row>
    <row r="123" spans="2:7">
      <c r="B123" s="5"/>
      <c r="C123" s="6"/>
      <c r="D123" s="7"/>
      <c r="E123" s="4"/>
      <c r="F123" s="4"/>
      <c r="G123" s="4"/>
    </row>
    <row r="124" spans="2:7">
      <c r="B124" s="5"/>
      <c r="C124" s="6"/>
      <c r="D124" s="7"/>
      <c r="E124" s="4"/>
      <c r="F124" s="4"/>
      <c r="G124" s="4"/>
    </row>
    <row r="125" spans="2:7">
      <c r="B125" s="5"/>
      <c r="C125" s="6"/>
      <c r="D125" s="7"/>
      <c r="E125" s="4"/>
      <c r="F125" s="4"/>
      <c r="G125" s="4"/>
    </row>
    <row r="126" spans="2:7">
      <c r="B126" s="5"/>
      <c r="C126" s="6"/>
      <c r="D126" s="7"/>
      <c r="E126" s="4"/>
      <c r="F126" s="4"/>
      <c r="G126" s="4"/>
    </row>
    <row r="127" spans="2:7">
      <c r="B127" s="5"/>
      <c r="C127" s="6"/>
      <c r="D127" s="7"/>
      <c r="E127" s="4"/>
      <c r="F127" s="4"/>
      <c r="G127" s="4"/>
    </row>
    <row r="128" spans="2:7">
      <c r="B128" s="5"/>
      <c r="C128" s="6"/>
      <c r="D128" s="7"/>
      <c r="E128" s="4"/>
      <c r="F128" s="4"/>
      <c r="G128" s="4"/>
    </row>
    <row r="129" spans="2:7">
      <c r="B129" s="5"/>
      <c r="C129" s="6"/>
      <c r="D129" s="7"/>
      <c r="E129" s="4"/>
      <c r="F129" s="4"/>
      <c r="G129" s="4"/>
    </row>
    <row r="130" spans="2:7">
      <c r="B130" s="5"/>
      <c r="C130" s="6"/>
      <c r="D130" s="7"/>
      <c r="E130" s="4"/>
      <c r="F130" s="4"/>
      <c r="G130" s="4"/>
    </row>
    <row r="131" spans="2:7">
      <c r="B131" s="5"/>
      <c r="C131" s="6"/>
      <c r="D131" s="7"/>
      <c r="E131" s="4"/>
      <c r="F131" s="4"/>
      <c r="G131" s="4"/>
    </row>
    <row r="132" spans="2:7">
      <c r="B132" s="5"/>
      <c r="C132" s="6"/>
      <c r="D132" s="7"/>
      <c r="E132" s="4"/>
      <c r="F132" s="4"/>
      <c r="G132" s="4"/>
    </row>
    <row r="133" spans="2:7">
      <c r="B133" s="5"/>
      <c r="C133" s="6"/>
      <c r="D133" s="7"/>
      <c r="E133" s="4"/>
      <c r="F133" s="4"/>
      <c r="G133" s="4"/>
    </row>
    <row r="134" spans="2:7">
      <c r="B134" s="5"/>
      <c r="C134" s="6"/>
      <c r="D134" s="7"/>
      <c r="E134" s="4"/>
      <c r="F134" s="4"/>
      <c r="G134" s="4"/>
    </row>
    <row r="135" spans="2:7">
      <c r="B135" s="5"/>
      <c r="C135" s="6"/>
      <c r="D135" s="7"/>
      <c r="E135" s="4"/>
      <c r="F135" s="4"/>
      <c r="G135" s="4"/>
    </row>
    <row r="136" spans="2:7">
      <c r="B136" s="5"/>
      <c r="C136" s="6"/>
      <c r="D136" s="7"/>
      <c r="E136" s="4"/>
      <c r="F136" s="4"/>
      <c r="G136" s="4"/>
    </row>
    <row r="137" spans="2:7">
      <c r="B137" s="5"/>
      <c r="C137" s="6"/>
      <c r="D137" s="7"/>
      <c r="E137" s="4"/>
      <c r="F137" s="4"/>
      <c r="G137" s="4"/>
    </row>
    <row r="138" spans="2:7">
      <c r="B138" s="5"/>
      <c r="C138" s="6"/>
      <c r="D138" s="7"/>
      <c r="E138" s="4"/>
      <c r="F138" s="4"/>
      <c r="G138" s="4"/>
    </row>
    <row r="139" spans="2:7">
      <c r="B139" s="5"/>
      <c r="C139" s="6"/>
      <c r="D139" s="7"/>
      <c r="E139" s="4"/>
      <c r="F139" s="4"/>
      <c r="G139" s="4"/>
    </row>
    <row r="140" spans="2:7">
      <c r="B140" s="5"/>
      <c r="C140" s="6"/>
      <c r="D140" s="7"/>
      <c r="E140" s="4"/>
      <c r="F140" s="4"/>
      <c r="G140" s="4"/>
    </row>
    <row r="141" spans="2:7">
      <c r="B141" s="5"/>
      <c r="C141" s="6"/>
      <c r="D141" s="7"/>
      <c r="E141" s="4"/>
      <c r="F141" s="4"/>
      <c r="G141" s="4"/>
    </row>
    <row r="142" spans="2:7">
      <c r="B142" s="5"/>
      <c r="C142" s="6"/>
      <c r="D142" s="7"/>
      <c r="E142" s="4"/>
      <c r="F142" s="4"/>
      <c r="G142" s="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Overall</vt:lpstr>
      <vt:lpstr>FS</vt:lpstr>
      <vt:lpstr>Sharpe, Sortino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core2quad</dc:creator>
  <cp:lastModifiedBy>core2quad</cp:lastModifiedBy>
  <dcterms:created xsi:type="dcterms:W3CDTF">2024-08-28T13:58:00Z</dcterms:created>
  <dcterms:modified xsi:type="dcterms:W3CDTF">2025-01-10T20:18:27Z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FC00C39987CC494C9BFD9134ABC94A73_11</vt:lpwstr>
  </property>
  <property fmtid="{D5CDD505-2E9C-101B-9397-08002B2CF9AE}" pid="3" name="KSOProductBuildVer">
    <vt:lpwstr>1033-12.2.0.19307</vt:lpwstr>
  </property>
  <property fmtid="{D5CDD505-2E9C-101B-9397-08002B2CF9AE}" pid="4" name="KSOReadingLayout">
    <vt:bool>true</vt:bool>
  </property>
</Properties>
</file>