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9210" windowWidth="9210" windowHeight="6570"/>
    <workbookView windowWidth="28800" windowHeight="12300" firstSheet="1" activeTab="1"/>
  </bookViews>
  <sheets>
    <sheet name="Overall" sheetId="8" r:id="rId1"/>
    <sheet name="FS" sheetId="3" r:id="rId2"/>
    <sheet name="Sharpe, Sortino" sheetId="9"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core2quad</author>
  </authors>
  <commentList>
    <comment ref="D61" authorId="0">
      <text>
        <r>
          <rPr>
            <b/>
            <sz val="9"/>
            <rFont val="Times New Roman"/>
            <charset val="0"/>
          </rPr>
          <t>core2quad:</t>
        </r>
        <r>
          <rPr>
            <sz val="9"/>
            <rFont val="Times New Roman"/>
            <charset val="0"/>
          </rPr>
          <t xml:space="preserve">
Automotive
We currently manufacture five different consumer vehicles – the Model 3, Y, S, X and Cybertruck. Model 3 is a four-door mid-size sedan that we designed for manufacturability with a base price for mass-market appeal. Model Y is a compact sport utility vehicle (“SUV”) built on the Model 3 platform with seating for up to seven adults. Model S is a four-door full-size sedan and Model X is a mid-size SUV with seating for up to seven adults. Model S and Model X feature the highest performance characteristics and longest ranges that we offer in a sedan and SUV, respectively. In November 2023, we entered the consumer pickup truck market with first deliveries of the Cybertruck, a full-size electric pickup truck with a stainless steel exterior that has the utility and strength of a truck while featuring the speed of a sports car.
In 2022, we also began early production and deliveries of a commercial electric vehicle, the Tesla Semi. We have planned electric vehicles to address additional vehicle markets, and to continue leveraging developments in our proprietary Full Self-Driving (“FSD”) Capability features, battery cell and other technologies.</t>
        </r>
      </text>
    </comment>
    <comment ref="D62" authorId="0">
      <text>
        <r>
          <rPr>
            <b/>
            <sz val="9"/>
            <rFont val="Times New Roman"/>
            <charset val="0"/>
          </rPr>
          <t>core2quad:</t>
        </r>
        <r>
          <rPr>
            <sz val="9"/>
            <rFont val="Times New Roman"/>
            <charset val="0"/>
          </rPr>
          <t xml:space="preserve">
Energy Generation and Storage
Energy Storage Products
Powerwall and Megapack are our lithium-ion battery energy storage products. Powerwall, which we sell directly to customers, as well as through channel partners, is designed to store energy at a home or small commercial facility. Megapack is an energy storage solution for commercial, industrial, utility and energy generation customers, multiple of which may be grouped together to form larger installations of gigawatt hours (“GWh”) or greater capacity.
We also continue to develop software capabilities for remotely controlling and dispatching our energy storage systems across a wide range of markets and applications, including through our real-time energy control and optimization platforms.
Solar Energy Offerings
We sell retrofit solar energy systems to customers and channel partners and also make them available through power purchase agreement (“PPA”) arrangements. We purchase most of the components for our retrofit solar energy systems from multiple sources to ensure competitive pricing and adequate supply. We also design and manufacture certain components for our solar energy products.
We sell our Solar Roof, which combines premium glass roof tiles with energy generation, directly to customers, as well as through channel customers. We continue to improve our installation capability and efficiency, including through collaboration with real estate developers and builders on new homes.</t>
        </r>
      </text>
    </comment>
    <comment ref="D63" authorId="0">
      <text>
        <r>
          <rPr>
            <b/>
            <sz val="9"/>
            <rFont val="Times New Roman"/>
            <charset val="0"/>
          </rPr>
          <t>core2quad:</t>
        </r>
        <r>
          <rPr>
            <sz val="9"/>
            <rFont val="Times New Roman"/>
            <charset val="0"/>
          </rPr>
          <t xml:space="preserve">
sales of used vehicles, non-warranty after-sales vehicle services, body shop and parts, paid Supercharging, vehicle insurance revenue and retail merchandise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<sst xmlns="http://schemas.openxmlformats.org/spreadsheetml/2006/main" count="318" uniqueCount="222">
  <si>
    <t>SUMMARY</t>
  </si>
  <si>
    <t>Share price</t>
  </si>
  <si>
    <t>Profit Margins</t>
  </si>
  <si>
    <t>Valuations Multiples</t>
  </si>
  <si>
    <t>Solvency</t>
  </si>
  <si>
    <t>Efficiency</t>
  </si>
  <si>
    <t>Risk</t>
  </si>
  <si>
    <t>CAGR</t>
  </si>
  <si>
    <t>GPM</t>
  </si>
  <si>
    <t>OM</t>
  </si>
  <si>
    <t>NPM</t>
  </si>
  <si>
    <t>PE</t>
  </si>
  <si>
    <t>EPS</t>
  </si>
  <si>
    <t>Dividend Yield</t>
  </si>
  <si>
    <t>Debt Ratio</t>
  </si>
  <si>
    <t>Debt - Equity</t>
  </si>
  <si>
    <t>Debt - Revenue</t>
  </si>
  <si>
    <t>IT</t>
  </si>
  <si>
    <t>RT</t>
  </si>
  <si>
    <t>PT</t>
  </si>
  <si>
    <t>Sharpe Ratio</t>
  </si>
  <si>
    <t>Sortino Ratio</t>
  </si>
  <si>
    <t>Base year</t>
  </si>
  <si>
    <t>Y/E</t>
  </si>
  <si>
    <t>Updated As At</t>
  </si>
  <si>
    <t>MC</t>
  </si>
  <si>
    <t>Share price at Y/E</t>
  </si>
  <si>
    <t>Current</t>
  </si>
  <si>
    <t>3 years</t>
  </si>
  <si>
    <t>5 years</t>
  </si>
  <si>
    <t>31/12</t>
  </si>
  <si>
    <t>&lt; Figures are in millions &gt;</t>
  </si>
  <si>
    <t>Y/E 31/12</t>
  </si>
  <si>
    <t>Annualized</t>
  </si>
  <si>
    <t>Average</t>
  </si>
  <si>
    <t>Median</t>
  </si>
  <si>
    <t>Std Dev</t>
  </si>
  <si>
    <t>Revenue By Geography</t>
  </si>
  <si>
    <t>United States</t>
  </si>
  <si>
    <t>China</t>
  </si>
  <si>
    <t>Other International</t>
  </si>
  <si>
    <t>Total Revenues</t>
  </si>
  <si>
    <t>Revenue By Segments</t>
  </si>
  <si>
    <t>Automotive sales</t>
  </si>
  <si>
    <t>Automotive regulatory credits</t>
  </si>
  <si>
    <t>Automotive leasing</t>
  </si>
  <si>
    <t>Energy generation and storage</t>
  </si>
  <si>
    <t>Services and other</t>
  </si>
  <si>
    <t>Gross Income/(loss) Breakdown</t>
  </si>
  <si>
    <t>Composition By Geography</t>
  </si>
  <si>
    <t>Composition By Segments</t>
  </si>
  <si>
    <t>Revenue Growth By Segments (%)</t>
  </si>
  <si>
    <t>Gross Income Growth (%)</t>
  </si>
  <si>
    <t>P&amp;L</t>
  </si>
  <si>
    <t>Revenue</t>
  </si>
  <si>
    <t>Total Automotive Revenues</t>
  </si>
  <si>
    <t>Total revenues</t>
  </si>
  <si>
    <t>Cost of Revenue</t>
  </si>
  <si>
    <t>Automative sales</t>
  </si>
  <si>
    <t>Total Automotive Cost of Revenue</t>
  </si>
  <si>
    <t>Total cost of revenues</t>
  </si>
  <si>
    <t>Gross Profit</t>
  </si>
  <si>
    <t>GP margin (%)</t>
  </si>
  <si>
    <t>GP margin - Automotive sales</t>
  </si>
  <si>
    <t>GP margin - Automotive leasing</t>
  </si>
  <si>
    <t>GP margin - Energy generation &amp; storage</t>
  </si>
  <si>
    <t>GP margin - Services &amp; other</t>
  </si>
  <si>
    <t>Research &amp; Development</t>
  </si>
  <si>
    <t>Selling, general &amp; admin</t>
  </si>
  <si>
    <t>Restructuring &amp; other</t>
  </si>
  <si>
    <t>Total Cost &amp; Expenses</t>
  </si>
  <si>
    <t>Operating Income</t>
  </si>
  <si>
    <t>Operating margin (%)</t>
  </si>
  <si>
    <t>Other Income / (expense), Net</t>
  </si>
  <si>
    <t>Income before taxation</t>
  </si>
  <si>
    <t>Income tax expense / (benefit)</t>
  </si>
  <si>
    <t>Net Income / (loss)</t>
  </si>
  <si>
    <t>Net income margin (%)</t>
  </si>
  <si>
    <t>Valuation Multiples / Shareholder ratios</t>
  </si>
  <si>
    <t>No. of Shares (Pre-Split)</t>
  </si>
  <si>
    <t>No. of Shares (Splited)</t>
  </si>
  <si>
    <t>Share Price</t>
  </si>
  <si>
    <t>P/E</t>
  </si>
  <si>
    <t>Sales per share</t>
  </si>
  <si>
    <t>Price / Sales</t>
  </si>
  <si>
    <t>Market Cap</t>
  </si>
  <si>
    <t>Enterprise Value (EV)                          MC+Debt-Cash</t>
  </si>
  <si>
    <t>EV / EBITDA</t>
  </si>
  <si>
    <t>EV / Revenue</t>
  </si>
  <si>
    <t>Dividend / Share</t>
  </si>
  <si>
    <t>Dividend yield</t>
  </si>
  <si>
    <t>Balance Sheet</t>
  </si>
  <si>
    <t>Current Assets</t>
  </si>
  <si>
    <t>Cash &amp; Cash Equivalents</t>
  </si>
  <si>
    <t>Marketable Securities (Short-term investments)</t>
  </si>
  <si>
    <t>Accounts Receivables</t>
  </si>
  <si>
    <t>Inventories</t>
  </si>
  <si>
    <t>Prepayments &amp; other current assets</t>
  </si>
  <si>
    <t>Total Current Assets</t>
  </si>
  <si>
    <t>Non-Current Assets</t>
  </si>
  <si>
    <t>Operating lease vehicles</t>
  </si>
  <si>
    <t>Solar energy systems</t>
  </si>
  <si>
    <t>Property, plant &amp; equipment</t>
  </si>
  <si>
    <t>Operating lease right-of-use assets</t>
  </si>
  <si>
    <t>Digital assets</t>
  </si>
  <si>
    <t>Intangible Assets, net</t>
  </si>
  <si>
    <t>Goodwill</t>
  </si>
  <si>
    <t>Other Non-Current Assets</t>
  </si>
  <si>
    <t>Total Non-Current Assets</t>
  </si>
  <si>
    <t>Total Assets</t>
  </si>
  <si>
    <t>Current Liabilities</t>
  </si>
  <si>
    <t>Accounts Payable</t>
  </si>
  <si>
    <t>Accrued and other current liabilities</t>
  </si>
  <si>
    <t>Deferred revenue</t>
  </si>
  <si>
    <t>Debt and finance leases</t>
  </si>
  <si>
    <t>Total Current Liabilities</t>
  </si>
  <si>
    <t>Non-Current Liabilities</t>
  </si>
  <si>
    <t>Other long-term liabilities</t>
  </si>
  <si>
    <t>Total Non-Current Liabilities</t>
  </si>
  <si>
    <t>Total Liabilities</t>
  </si>
  <si>
    <t>Equity</t>
  </si>
  <si>
    <t>Redeemable noncontrolling interests in subsidiaries</t>
  </si>
  <si>
    <t>Convertible senior notes</t>
  </si>
  <si>
    <t>Share Capital</t>
  </si>
  <si>
    <t>Additional paid-in capital (share premium)</t>
  </si>
  <si>
    <t>Accumulated other comprehensive income / (loss)</t>
  </si>
  <si>
    <t>Retained Earnings / (accumulated losses)</t>
  </si>
  <si>
    <t>Noncontrolling interests in subsidiaries</t>
  </si>
  <si>
    <t>Total Shareholder Equity</t>
  </si>
  <si>
    <t>Total Liabilities &amp; Equity</t>
  </si>
  <si>
    <t>Debt Ratio (Total Liabilities / Total Assets)</t>
  </si>
  <si>
    <t>Debt to Equity (Total Liabilities / Total Equity) - Leverage</t>
  </si>
  <si>
    <t>Debt / Revenue</t>
  </si>
  <si>
    <t>Inventory Turnover</t>
  </si>
  <si>
    <t>Receivables Turnover</t>
  </si>
  <si>
    <t>Payable Turnover</t>
  </si>
  <si>
    <t>Cash Flow</t>
  </si>
  <si>
    <t>Operating Activities</t>
  </si>
  <si>
    <t>Net Income</t>
  </si>
  <si>
    <t>Depreciation &amp; Amortization</t>
  </si>
  <si>
    <t>Stock-based compensation expense</t>
  </si>
  <si>
    <t>Inventory and purchase write-downs</t>
  </si>
  <si>
    <t>Forex net unrealized (gain)/loss</t>
  </si>
  <si>
    <t>Deferred Income Taxes</t>
  </si>
  <si>
    <t>Digital assets loss/(gain)</t>
  </si>
  <si>
    <t>Others</t>
  </si>
  <si>
    <t>Changes in Assets &amp; Liabilities</t>
  </si>
  <si>
    <t>Cash Flow from Operating Activities</t>
  </si>
  <si>
    <t>Investing Activities</t>
  </si>
  <si>
    <t>Purchases of PPE (CapEx)</t>
  </si>
  <si>
    <t>Purchases of solar energy systems</t>
  </si>
  <si>
    <t>Purchases of digital assets</t>
  </si>
  <si>
    <t>Proceeds from sales of digital assets</t>
  </si>
  <si>
    <t>Purchase of intangible assets</t>
  </si>
  <si>
    <t>Purchases of investments</t>
  </si>
  <si>
    <t>Maturities &amp; Sales of Marketable Securities</t>
  </si>
  <si>
    <t>Receipts of government grants</t>
  </si>
  <si>
    <t>Business combinations</t>
  </si>
  <si>
    <t>Cash Flow from Investing Activities</t>
  </si>
  <si>
    <t>Financing Activities</t>
  </si>
  <si>
    <t>Proceeds from share issuance</t>
  </si>
  <si>
    <t>Proceeds of debt issuance</t>
  </si>
  <si>
    <t>Debt repayment</t>
  </si>
  <si>
    <t>Collateralized lease repayments</t>
  </si>
  <si>
    <t>Proceeds from exercises of stock options, issuances</t>
  </si>
  <si>
    <t>Principal payments on finance leases</t>
  </si>
  <si>
    <t>Purchase of convertible note hedges</t>
  </si>
  <si>
    <t>Proceeds from settlement of convertible note hedges</t>
  </si>
  <si>
    <t>Proceeds from issuance of warrants</t>
  </si>
  <si>
    <t>Settlement of warrants</t>
  </si>
  <si>
    <t>Debt issuance cost</t>
  </si>
  <si>
    <t>Proceeds from investments by NCI in subsidiaries</t>
  </si>
  <si>
    <t>Distributions paid to NCI interests in subsidiaries</t>
  </si>
  <si>
    <t>Payments for buy-outs of NCI in subsidiaries</t>
  </si>
  <si>
    <t>Dividends</t>
  </si>
  <si>
    <t>Cash Flow from Financing Activities</t>
  </si>
  <si>
    <t>Effect of Exchange Rate Changes</t>
  </si>
  <si>
    <t>Net Increase / (Decrease) in cash and cash equivalents</t>
  </si>
  <si>
    <t>Cash &amp; cash equivalents at the beginning of the period</t>
  </si>
  <si>
    <t>Cash &amp; cash equivalents at the end of the period</t>
  </si>
  <si>
    <t>Cash paid for interest</t>
  </si>
  <si>
    <t>Cash paid for income taxes, net</t>
  </si>
  <si>
    <t>Free Cash Flow (FCF)</t>
  </si>
  <si>
    <t>FCF / share</t>
  </si>
  <si>
    <t>TSLA Monthly Price Changes (5 years)</t>
  </si>
  <si>
    <t>United States 10-Year Bond Yield</t>
  </si>
  <si>
    <t>https://www.investing.com/equities/nvidia-corp-historical-data</t>
  </si>
  <si>
    <t>https://www.investing.com/rates-bonds/u.s.-10-year-bond-yield-historical-data</t>
  </si>
  <si>
    <t>Jan'19 - Dec'23</t>
  </si>
  <si>
    <t>Risk free rate average</t>
  </si>
  <si>
    <t>TEST (Manual calculation of Monthly Std Dev of Excess Returns - 5 Years)</t>
  </si>
  <si>
    <t>[1]</t>
  </si>
  <si>
    <t>[2]</t>
  </si>
  <si>
    <t>[1] - [2]</t>
  </si>
  <si>
    <t>Sharpe</t>
  </si>
  <si>
    <t>Sortino</t>
  </si>
  <si>
    <t>Date</t>
  </si>
  <si>
    <t>Price</t>
  </si>
  <si>
    <t>Change %</t>
  </si>
  <si>
    <t>Change</t>
  </si>
  <si>
    <t>Monthly Risk free rate</t>
  </si>
  <si>
    <t>Monthly Excess returns</t>
  </si>
  <si>
    <t>Monthly Excess negative returns</t>
  </si>
  <si>
    <t>Average Monthly Excess Returns</t>
  </si>
  <si>
    <t>Difference Squared</t>
  </si>
  <si>
    <r>
      <rPr>
        <sz val="11"/>
        <color theme="1"/>
        <rFont val="Calibri"/>
        <charset val="134"/>
        <scheme val="minor"/>
      </rPr>
      <t>Monthly Std Dev of excess returns (</t>
    </r>
    <r>
      <rPr>
        <b/>
        <sz val="11"/>
        <color theme="1"/>
        <rFont val="Calibri"/>
        <charset val="134"/>
        <scheme val="minor"/>
      </rPr>
      <t>σ</t>
    </r>
    <r>
      <rPr>
        <sz val="11"/>
        <color theme="1"/>
        <rFont val="Calibri"/>
        <charset val="134"/>
        <scheme val="minor"/>
      </rPr>
      <t>)</t>
    </r>
  </si>
  <si>
    <t>Average Monthly Excess Negative Returns</t>
  </si>
  <si>
    <t>1 Year</t>
  </si>
  <si>
    <t>3 Years</t>
  </si>
  <si>
    <t>5 Years</t>
  </si>
  <si>
    <r>
      <rPr>
        <sz val="11"/>
        <color theme="1"/>
        <rFont val="Calibri"/>
        <charset val="134"/>
        <scheme val="minor"/>
      </rPr>
      <t>Monthly Portfolio return (</t>
    </r>
    <r>
      <rPr>
        <b/>
        <sz val="11"/>
        <color theme="1"/>
        <rFont val="Calibri"/>
        <charset val="134"/>
        <scheme val="minor"/>
      </rPr>
      <t>Rp</t>
    </r>
    <r>
      <rPr>
        <sz val="11"/>
        <color theme="1"/>
        <rFont val="Calibri"/>
        <charset val="134"/>
        <scheme val="minor"/>
      </rPr>
      <t>)</t>
    </r>
  </si>
  <si>
    <r>
      <rPr>
        <sz val="11"/>
        <color theme="1"/>
        <rFont val="Calibri"/>
        <charset val="134"/>
        <scheme val="minor"/>
      </rPr>
      <t>Monthly Risk-free return - US 10Yr Yield (</t>
    </r>
    <r>
      <rPr>
        <b/>
        <sz val="11"/>
        <color theme="1"/>
        <rFont val="Calibri"/>
        <charset val="134"/>
        <scheme val="minor"/>
      </rPr>
      <t>Rf</t>
    </r>
    <r>
      <rPr>
        <sz val="11"/>
        <color theme="1"/>
        <rFont val="Calibri"/>
        <charset val="134"/>
        <scheme val="minor"/>
      </rPr>
      <t>)</t>
    </r>
  </si>
  <si>
    <r>
      <rPr>
        <sz val="11"/>
        <color theme="1"/>
        <rFont val="Calibri"/>
        <charset val="134"/>
        <scheme val="minor"/>
      </rPr>
      <t>Excess return (</t>
    </r>
    <r>
      <rPr>
        <b/>
        <sz val="11"/>
        <color theme="1"/>
        <rFont val="Calibri"/>
        <charset val="134"/>
        <scheme val="minor"/>
      </rPr>
      <t>Rp - Rf</t>
    </r>
    <r>
      <rPr>
        <sz val="11"/>
        <color theme="1"/>
        <rFont val="Calibri"/>
        <charset val="134"/>
        <scheme val="minor"/>
      </rPr>
      <t>)</t>
    </r>
  </si>
  <si>
    <r>
      <rPr>
        <sz val="11"/>
        <color theme="1"/>
        <rFont val="Calibri"/>
        <charset val="134"/>
        <scheme val="minor"/>
      </rPr>
      <t>Monthly Sharpe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</si>
  <si>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Annualized Std Dev of excess returns (</t>
    </r>
    <r>
      <rPr>
        <b/>
        <sz val="11"/>
        <color theme="1"/>
        <rFont val="Calibri"/>
        <charset val="134"/>
        <scheme val="minor"/>
      </rPr>
      <t>σ</t>
    </r>
    <r>
      <rPr>
        <sz val="11"/>
        <color theme="1"/>
        <rFont val="Calibri"/>
        <charset val="134"/>
        <scheme val="minor"/>
      </rPr>
      <t>)</t>
    </r>
  </si>
  <si>
    <r>
      <rPr>
        <sz val="11"/>
        <color theme="1"/>
        <rFont val="Calibri"/>
        <charset val="134"/>
        <scheme val="minor"/>
      </rPr>
      <t>Annualized Portfolio return (</t>
    </r>
    <r>
      <rPr>
        <b/>
        <sz val="11"/>
        <color theme="1"/>
        <rFont val="Calibri"/>
        <charset val="134"/>
        <scheme val="minor"/>
      </rPr>
      <t>Rp</t>
    </r>
    <r>
      <rPr>
        <sz val="11"/>
        <color theme="1"/>
        <rFont val="Calibri"/>
        <charset val="134"/>
        <scheme val="minor"/>
      </rPr>
      <t>)</t>
    </r>
  </si>
  <si>
    <r>
      <rPr>
        <sz val="11"/>
        <color theme="1"/>
        <rFont val="Calibri"/>
        <charset val="134"/>
        <scheme val="minor"/>
      </rPr>
      <t>Annualized Risk-free return - US 10Yr Yield (</t>
    </r>
    <r>
      <rPr>
        <b/>
        <sz val="11"/>
        <color theme="1"/>
        <rFont val="Calibri"/>
        <charset val="134"/>
        <scheme val="minor"/>
      </rPr>
      <t>Rf</t>
    </r>
    <r>
      <rPr>
        <sz val="11"/>
        <color theme="1"/>
        <rFont val="Calibri"/>
        <charset val="134"/>
        <scheme val="minor"/>
      </rPr>
      <t>)</t>
    </r>
  </si>
  <si>
    <r>
      <rPr>
        <sz val="11"/>
        <color theme="1"/>
        <rFont val="Calibri"/>
        <charset val="134"/>
        <scheme val="minor"/>
      </rPr>
      <t>Annualized Sharpe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</si>
  <si>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Monthly Std Dev of excess negative returns (</t>
    </r>
    <r>
      <rPr>
        <b/>
        <sz val="11"/>
        <color theme="1"/>
        <rFont val="Calibri"/>
        <charset val="134"/>
        <scheme val="minor"/>
      </rPr>
      <t>σ</t>
    </r>
    <r>
      <rPr>
        <b/>
        <vertAlign val="subscript"/>
        <sz val="11"/>
        <color theme="1"/>
        <rFont val="Calibri"/>
        <charset val="134"/>
        <scheme val="minor"/>
      </rPr>
      <t>d</t>
    </r>
    <r>
      <rPr>
        <sz val="11"/>
        <color theme="1"/>
        <rFont val="Calibri"/>
        <charset val="134"/>
        <scheme val="minor"/>
      </rPr>
      <t>)</t>
    </r>
  </si>
  <si>
    <r>
      <rPr>
        <sz val="11"/>
        <color theme="1"/>
        <rFont val="Calibri"/>
        <charset val="134"/>
        <scheme val="minor"/>
      </rPr>
      <t>Monthly Sortino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</si>
  <si>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Annualized Std Dev of excess negative returns (</t>
    </r>
    <r>
      <rPr>
        <b/>
        <sz val="11"/>
        <color theme="1"/>
        <rFont val="Calibri"/>
        <charset val="134"/>
        <scheme val="minor"/>
      </rPr>
      <t>σ</t>
    </r>
    <r>
      <rPr>
        <sz val="11"/>
        <color theme="1"/>
        <rFont val="Calibri"/>
        <charset val="134"/>
        <scheme val="minor"/>
      </rPr>
      <t>)</t>
    </r>
  </si>
  <si>
    <r>
      <rPr>
        <sz val="11"/>
        <color theme="1"/>
        <rFont val="Calibri"/>
        <charset val="134"/>
        <scheme val="minor"/>
      </rPr>
      <t>Annualized Sortino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σ</t>
    </r>
    <r>
      <rPr>
        <b/>
        <vertAlign val="subscript"/>
        <sz val="11"/>
        <color theme="1"/>
        <rFont val="Calibri"/>
        <charset val="134"/>
        <scheme val="minor"/>
      </rPr>
      <t>d</t>
    </r>
    <r>
      <rPr>
        <b/>
        <sz val="11"/>
        <color theme="1"/>
        <rFont val="Calibri"/>
        <charset val="134"/>
        <scheme val="minor"/>
      </rPr>
      <t xml:space="preserve"> </t>
    </r>
    <r>
      <rPr>
        <sz val="11"/>
        <color theme="1"/>
        <rFont val="Calibri"/>
        <charset val="134"/>
        <scheme val="minor"/>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</si>
</sst>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_ * #,##0.00_ ;_ * \-#,##0.00_ ;_ * &quot;-&quot;??_ ;_ @_ "/>
    <numFmt numFmtId="177" formatCode="_ * #,##0_ ;_ * \-#,##0_ ;_ * &quot;-&quot;_ ;_ @_ "/>
  </numFmts>
  <fonts count="29">
    <font>
      <sz val="11"/>
      <color theme="1"/>
      <name val="Calibri"/>
      <charset val="134"/>
      <scheme val="minor"/>
    </font>
    <font>
      <b/>
      <sz val="11"/>
      <color theme="1"/>
      <name val="Calibri"/>
      <charset val="134"/>
      <scheme val="minor"/>
    </font>
    <font>
      <b/>
      <i/>
      <u/>
      <sz val="11"/>
      <color theme="1"/>
      <name val="Calibri"/>
      <charset val="134"/>
      <scheme val="minor"/>
    </font>
    <font>
      <b/>
      <i/>
      <sz val="11"/>
      <color theme="1"/>
      <name val="Calibri"/>
      <charset val="134"/>
      <scheme val="minor"/>
    </font>
    <font>
      <i/>
      <sz val="11"/>
      <color theme="1"/>
      <name val="Calibri"/>
      <charset val="134"/>
      <scheme val="minor"/>
    </font>
    <font>
      <b/>
      <u/>
      <sz val="12"/>
      <color theme="1"/>
      <name val="Calibri"/>
      <charset val="134"/>
      <scheme val="minor"/>
    </font>
    <font>
      <b/>
      <i/>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ertAlign val="subscript"/>
      <sz val="11"/>
      <color theme="1"/>
      <name val="Calibri"/>
      <charset val="134"/>
      <scheme val="minor"/>
    </font>
    <font>
      <sz val="9"/>
      <name val="Times New Roman"/>
      <charset val="0"/>
    </font>
    <font>
      <b/>
      <sz val="9"/>
      <name val="Times New Roman"/>
      <charset val="0"/>
    </font>
  </fonts>
  <fills count="3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double">
        <color auto="1"/>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5"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6" borderId="6" applyNumberFormat="0" applyAlignment="0" applyProtection="0">
      <alignment vertical="center"/>
    </xf>
    <xf numFmtId="0" fontId="16" fillId="7" borderId="7" applyNumberFormat="0" applyAlignment="0" applyProtection="0">
      <alignment vertical="center"/>
    </xf>
    <xf numFmtId="0" fontId="17" fillId="7" borderId="6" applyNumberFormat="0" applyAlignment="0" applyProtection="0">
      <alignment vertical="center"/>
    </xf>
    <xf numFmtId="0" fontId="18" fillId="8"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84">
    <xf numFmtId="0" fontId="0" fillId="0" borderId="0" xfId="0">
      <alignment vertical="center"/>
    </xf>
    <xf numFmtId="0" fontId="1" fillId="0" borderId="0" xfId="0" applyFont="1" applyAlignment="1">
      <alignment horizontal="right" vertical="center"/>
    </xf>
    <xf numFmtId="0" fontId="1" fillId="0" borderId="0" xfId="0" applyFont="1">
      <alignment vertical="center"/>
    </xf>
    <xf numFmtId="0" fontId="1" fillId="0" borderId="0" xfId="0" applyFont="1" applyAlignment="1">
      <alignment horizontal="center" vertical="center"/>
    </xf>
    <xf numFmtId="0" fontId="0" fillId="0" borderId="0" xfId="0" applyAlignment="1">
      <alignment vertical="center" wrapText="1"/>
    </xf>
    <xf numFmtId="15" fontId="0" fillId="2" borderId="0" xfId="0" applyNumberFormat="1" applyFill="1" applyAlignment="1">
      <alignment vertical="center" wrapText="1"/>
    </xf>
    <xf numFmtId="0" fontId="0" fillId="2" borderId="0" xfId="0" applyFill="1" applyAlignment="1">
      <alignment vertical="center" wrapText="1" readingOrder="1"/>
    </xf>
    <xf numFmtId="10" fontId="0" fillId="2" borderId="0" xfId="0" applyNumberFormat="1" applyFill="1" applyAlignment="1">
      <alignment vertical="center" wrapText="1" readingOrder="1"/>
    </xf>
    <xf numFmtId="10" fontId="0" fillId="0" borderId="0" xfId="0" applyNumberFormat="1">
      <alignment vertical="center"/>
    </xf>
    <xf numFmtId="10" fontId="0" fillId="2" borderId="0" xfId="0" applyNumberFormat="1" applyFill="1">
      <alignment vertical="center"/>
    </xf>
    <xf numFmtId="0" fontId="0" fillId="0" borderId="0" xfId="0" applyFont="1" applyAlignment="1">
      <alignment vertical="center" wrapText="1"/>
    </xf>
    <xf numFmtId="0" fontId="2" fillId="0" borderId="0" xfId="0" applyFont="1">
      <alignment vertical="center"/>
    </xf>
    <xf numFmtId="0" fontId="0" fillId="0" borderId="0" xfId="0" applyAlignment="1">
      <alignment horizontal="center" vertical="center"/>
    </xf>
    <xf numFmtId="0" fontId="0" fillId="0" borderId="0" xfId="0" applyFont="1" applyAlignment="1">
      <alignment vertical="center"/>
    </xf>
    <xf numFmtId="0" fontId="0" fillId="0" borderId="0" xfId="0" applyFont="1">
      <alignment vertical="center"/>
    </xf>
    <xf numFmtId="10" fontId="0" fillId="0" borderId="0" xfId="0" applyNumberFormat="1" applyFill="1">
      <alignment vertical="center"/>
    </xf>
    <xf numFmtId="43" fontId="3" fillId="0" borderId="0" xfId="0" applyNumberFormat="1" applyFont="1">
      <alignment vertical="center"/>
    </xf>
    <xf numFmtId="0" fontId="0" fillId="0" borderId="1" xfId="0" applyBorder="1">
      <alignment vertical="center"/>
    </xf>
    <xf numFmtId="15" fontId="0" fillId="0" borderId="0" xfId="0" applyNumberFormat="1" applyAlignment="1">
      <alignment vertical="center" wrapText="1"/>
    </xf>
    <xf numFmtId="0" fontId="0" fillId="0" borderId="0" xfId="0" applyAlignment="1">
      <alignment vertical="center" wrapText="1" readingOrder="1"/>
    </xf>
    <xf numFmtId="10" fontId="0" fillId="0" borderId="0" xfId="0" applyNumberFormat="1" applyAlignment="1">
      <alignment vertical="center" wrapText="1" readingOrder="1"/>
    </xf>
    <xf numFmtId="0" fontId="0" fillId="0" borderId="0" xfId="0" applyAlignment="1">
      <alignment vertical="center" wrapText="1"/>
    </xf>
    <xf numFmtId="10" fontId="0" fillId="0" borderId="2" xfId="0" applyNumberFormat="1" applyBorder="1">
      <alignment vertical="center"/>
    </xf>
    <xf numFmtId="43" fontId="4" fillId="0" borderId="0" xfId="0" applyNumberFormat="1" applyFont="1">
      <alignment vertical="center"/>
    </xf>
    <xf numFmtId="0" fontId="3" fillId="0" borderId="0" xfId="0" applyFont="1">
      <alignment vertical="center"/>
    </xf>
    <xf numFmtId="0" fontId="4" fillId="0" borderId="0" xfId="0" applyFont="1">
      <alignment vertical="center"/>
    </xf>
    <xf numFmtId="43" fontId="0" fillId="0" borderId="0" xfId="0" applyNumberFormat="1">
      <alignment vertical="center"/>
    </xf>
    <xf numFmtId="41" fontId="1" fillId="0" borderId="0" xfId="0" applyNumberFormat="1" applyFont="1">
      <alignment vertical="center"/>
    </xf>
    <xf numFmtId="43" fontId="0" fillId="0" borderId="0" xfId="0" applyNumberFormat="1" applyFont="1">
      <alignment vertical="center"/>
    </xf>
    <xf numFmtId="41" fontId="0" fillId="0" borderId="0" xfId="0" applyNumberFormat="1">
      <alignment vertical="center"/>
    </xf>
    <xf numFmtId="0" fontId="0" fillId="0" borderId="0" xfId="0" applyFill="1">
      <alignment vertical="center"/>
    </xf>
    <xf numFmtId="41" fontId="0" fillId="0" borderId="0" xfId="0" applyNumberFormat="1" applyFill="1">
      <alignment vertical="center"/>
    </xf>
    <xf numFmtId="43" fontId="0" fillId="0" borderId="0" xfId="0" applyNumberFormat="1" applyFill="1">
      <alignment vertical="center"/>
    </xf>
    <xf numFmtId="41" fontId="3" fillId="0" borderId="0" xfId="0" applyNumberFormat="1" applyFont="1" applyFill="1">
      <alignment vertical="center"/>
    </xf>
    <xf numFmtId="0" fontId="0" fillId="0" borderId="0" xfId="0" applyFill="1" applyAlignment="1">
      <alignment horizontal="center" vertical="center"/>
    </xf>
    <xf numFmtId="0" fontId="5" fillId="0" borderId="0" xfId="0" applyFont="1">
      <alignment vertical="center"/>
    </xf>
    <xf numFmtId="0" fontId="0" fillId="0" borderId="0" xfId="0" applyFill="1">
      <alignment vertical="center"/>
    </xf>
    <xf numFmtId="41" fontId="0" fillId="0" borderId="0" xfId="0" applyNumberFormat="1" applyFill="1" applyAlignment="1">
      <alignment vertical="center"/>
    </xf>
    <xf numFmtId="41" fontId="0" fillId="0" borderId="2" xfId="0" applyNumberFormat="1" applyFill="1" applyBorder="1">
      <alignment vertical="center"/>
    </xf>
    <xf numFmtId="0" fontId="5" fillId="3" borderId="0" xfId="0" applyFont="1" applyFill="1">
      <alignment vertical="center"/>
    </xf>
    <xf numFmtId="0" fontId="0" fillId="3" borderId="0" xfId="0" applyFill="1">
      <alignment vertical="center"/>
    </xf>
    <xf numFmtId="43" fontId="4" fillId="0" borderId="0" xfId="0" applyNumberFormat="1" applyFont="1" applyFill="1">
      <alignment vertical="center"/>
    </xf>
    <xf numFmtId="43" fontId="4" fillId="0" borderId="2" xfId="0" applyNumberFormat="1" applyFont="1" applyFill="1" applyBorder="1">
      <alignment vertical="center"/>
    </xf>
    <xf numFmtId="43" fontId="0" fillId="0" borderId="0" xfId="0" applyNumberFormat="1" applyFont="1" applyFill="1">
      <alignment vertical="center"/>
    </xf>
    <xf numFmtId="43" fontId="4" fillId="3" borderId="0" xfId="0" applyNumberFormat="1" applyFont="1" applyFill="1">
      <alignment vertical="center"/>
    </xf>
    <xf numFmtId="39" fontId="0" fillId="0" borderId="0" xfId="0" applyNumberFormat="1" applyFill="1">
      <alignment vertical="center"/>
    </xf>
    <xf numFmtId="41" fontId="0" fillId="0" borderId="0" xfId="0" applyNumberFormat="1" applyFill="1" applyAlignment="1">
      <alignment horizontal="center" vertical="center"/>
    </xf>
    <xf numFmtId="41" fontId="0" fillId="0" borderId="2" xfId="0" applyNumberFormat="1" applyFill="1" applyBorder="1">
      <alignment vertical="center"/>
    </xf>
    <xf numFmtId="41" fontId="0" fillId="0" borderId="0" xfId="0" applyNumberFormat="1" applyFill="1" applyAlignment="1">
      <alignment horizontal="center" vertical="center"/>
    </xf>
    <xf numFmtId="43" fontId="0" fillId="0" borderId="0" xfId="0" applyNumberFormat="1" applyFill="1" applyAlignment="1">
      <alignment horizontal="center" vertical="center"/>
    </xf>
    <xf numFmtId="41" fontId="0" fillId="0" borderId="0" xfId="0" applyNumberFormat="1" applyFill="1" applyBorder="1">
      <alignment vertical="center"/>
    </xf>
    <xf numFmtId="41" fontId="0" fillId="0" borderId="0" xfId="0" applyNumberFormat="1" applyFill="1" applyBorder="1" applyAlignment="1">
      <alignment horizontal="center" vertical="center"/>
    </xf>
    <xf numFmtId="0" fontId="6" fillId="3" borderId="0" xfId="0" applyFont="1" applyFill="1">
      <alignment vertical="center"/>
    </xf>
    <xf numFmtId="0" fontId="3" fillId="3" borderId="0" xfId="0" applyFont="1" applyFill="1">
      <alignment vertical="center"/>
    </xf>
    <xf numFmtId="0" fontId="3" fillId="0" borderId="0" xfId="0" applyFont="1" applyFill="1">
      <alignment vertical="center"/>
    </xf>
    <xf numFmtId="43" fontId="3" fillId="0" borderId="0" xfId="0" applyNumberFormat="1" applyFont="1" applyFill="1">
      <alignment vertical="center"/>
    </xf>
    <xf numFmtId="0" fontId="4" fillId="3" borderId="0" xfId="0" applyFont="1" applyFill="1">
      <alignment vertical="center"/>
    </xf>
    <xf numFmtId="41" fontId="4" fillId="0" borderId="0" xfId="0" applyNumberFormat="1" applyFont="1" applyFill="1">
      <alignment vertical="center"/>
    </xf>
    <xf numFmtId="0" fontId="4" fillId="0" borderId="0" xfId="0" applyFont="1" applyFill="1">
      <alignment vertical="center"/>
    </xf>
    <xf numFmtId="43" fontId="0" fillId="3" borderId="0" xfId="0" applyNumberFormat="1" applyFill="1">
      <alignment vertical="center"/>
    </xf>
    <xf numFmtId="41" fontId="3" fillId="3" borderId="0" xfId="0" applyNumberFormat="1" applyFont="1" applyFill="1">
      <alignment vertical="center"/>
    </xf>
    <xf numFmtId="41" fontId="1" fillId="3" borderId="0" xfId="0" applyNumberFormat="1" applyFont="1" applyFill="1">
      <alignment vertical="center"/>
    </xf>
    <xf numFmtId="41" fontId="1" fillId="0" borderId="0" xfId="0" applyNumberFormat="1" applyFont="1" applyFill="1">
      <alignment vertical="center"/>
    </xf>
    <xf numFmtId="43" fontId="0" fillId="3" borderId="0" xfId="0" applyNumberFormat="1" applyFont="1" applyFill="1">
      <alignment vertical="center"/>
    </xf>
    <xf numFmtId="41" fontId="4" fillId="3" borderId="0" xfId="0" applyNumberFormat="1" applyFont="1" applyFill="1">
      <alignment vertical="center"/>
    </xf>
    <xf numFmtId="41" fontId="0" fillId="3" borderId="0" xfId="0" applyNumberFormat="1" applyFill="1">
      <alignment vertical="center"/>
    </xf>
    <xf numFmtId="37" fontId="3" fillId="3" borderId="0" xfId="0" applyNumberFormat="1" applyFont="1" applyFill="1">
      <alignment vertical="center"/>
    </xf>
    <xf numFmtId="37" fontId="1" fillId="3" borderId="0" xfId="0" applyNumberFormat="1" applyFont="1" applyFill="1">
      <alignment vertical="center"/>
    </xf>
    <xf numFmtId="0" fontId="1" fillId="0" borderId="0" xfId="0" applyFont="1" applyFill="1">
      <alignment vertical="center"/>
    </xf>
    <xf numFmtId="39" fontId="1" fillId="0" borderId="0" xfId="0" applyNumberFormat="1" applyFont="1" applyFill="1">
      <alignment vertical="center"/>
    </xf>
    <xf numFmtId="43" fontId="1" fillId="0" borderId="0" xfId="0" applyNumberFormat="1" applyFont="1" applyFill="1">
      <alignment vertical="center"/>
    </xf>
    <xf numFmtId="41" fontId="0" fillId="0" borderId="0" xfId="0" applyNumberFormat="1" applyFont="1" applyFill="1">
      <alignment vertical="center"/>
    </xf>
    <xf numFmtId="41" fontId="0" fillId="4" borderId="0" xfId="0" applyNumberFormat="1" applyFill="1">
      <alignment vertical="center"/>
    </xf>
    <xf numFmtId="39" fontId="0" fillId="0" borderId="0" xfId="0" applyNumberFormat="1" applyFont="1" applyFill="1">
      <alignment vertical="center"/>
    </xf>
    <xf numFmtId="41" fontId="0" fillId="4" borderId="2" xfId="0" applyNumberFormat="1" applyFill="1" applyBorder="1">
      <alignment vertical="center"/>
    </xf>
    <xf numFmtId="37" fontId="0" fillId="0" borderId="0" xfId="0" applyNumberFormat="1" applyFont="1" applyFill="1">
      <alignment vertical="center"/>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right" vertical="center"/>
    </xf>
    <xf numFmtId="0" fontId="0" fillId="2" borderId="0" xfId="0" applyFill="1" applyAlignment="1">
      <alignment vertical="center"/>
    </xf>
    <xf numFmtId="43" fontId="0" fillId="0" borderId="0" xfId="0" applyNumberFormat="1" applyFill="1" applyAlignment="1">
      <alignment vertical="center"/>
    </xf>
    <xf numFmtId="43" fontId="0" fillId="0" borderId="0" xfId="0" applyNumberFormat="1" applyAlignment="1">
      <alignment horizontal="center" vertical="center"/>
    </xf>
    <xf numFmtId="41" fontId="0" fillId="0" borderId="0" xfId="0" applyNumberFormat="1" applyAlignment="1">
      <alignment horizontal="center" vertical="center"/>
    </xf>
    <xf numFmtId="43" fontId="0" fillId="0" borderId="0" xfId="0" applyNumberFormat="1" applyAlignment="1">
      <alignment horizontal="center" vertical="center" wrapText="1"/>
    </xf>
    <xf numFmtId="0" fontId="1" fillId="0" borderId="0" xfId="0" applyFo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eetMetadata" Target="metadata.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sk%20Free%20Rate)%20US%2010-Year%20Bond%20Yiel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6">
          <cell r="E6">
            <v>0.0246945</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Z11"/>
  <sheetViews>
    <sheetView tabSelected="1" workbookViewId="0">
      <selection activeCell="V6" sqref="V6"/>
    </sheetView>
    <sheetView workbookViewId="1">
      <selection activeCell="A1" sqref="A1"/>
    </sheetView>
  </sheetViews>
  <sheetFormatPr defaultColWidth="9.14285714285714" defaultRowHeight="15"/>
  <cols>
    <col min="3" max="3" width="4.42857142857143" customWidth="1"/>
    <col min="6" max="6" width="10.5714285714286"/>
    <col min="15" max="16" width="9.14285714285714" customWidth="1"/>
  </cols>
  <sheetData>
    <row r="2" spans="2:2">
      <c r="B2" s="2" t="s">
        <v>0</v>
      </c>
    </row>
    <row r="3" spans="2:49">
      <c r="B3" s="76"/>
      <c r="E3" s="76"/>
      <c r="F3" s="76"/>
      <c r="G3" s="76"/>
      <c r="H3" s="76" t="s">
        <v>1</v>
      </c>
      <c r="J3" s="76"/>
      <c r="K3" s="76" t="s">
        <v>2</v>
      </c>
      <c r="L3" s="76"/>
      <c r="M3" s="76"/>
      <c r="N3" s="76"/>
      <c r="O3" s="76"/>
      <c r="P3" s="76"/>
      <c r="Q3" s="76"/>
      <c r="R3" s="76"/>
      <c r="S3" s="76"/>
      <c r="T3" s="76" t="s">
        <v>3</v>
      </c>
      <c r="U3" s="76"/>
      <c r="V3" s="76"/>
      <c r="W3" s="76"/>
      <c r="X3" s="76"/>
      <c r="Y3" s="76"/>
      <c r="Z3" s="76"/>
      <c r="AA3" s="76"/>
      <c r="AB3" s="76"/>
      <c r="AC3" s="76" t="s">
        <v>4</v>
      </c>
      <c r="AD3" s="76"/>
      <c r="AE3" s="76"/>
      <c r="AF3" s="76"/>
      <c r="AG3" s="76"/>
      <c r="AH3" s="76"/>
      <c r="AI3" s="76"/>
      <c r="AJ3" s="76"/>
      <c r="AK3" s="76"/>
      <c r="AL3" s="76" t="s">
        <v>5</v>
      </c>
      <c r="AM3" s="76"/>
      <c r="AN3" s="76"/>
      <c r="AO3" s="76"/>
      <c r="AP3" s="76"/>
      <c r="AQ3" s="76"/>
      <c r="AR3" s="76"/>
      <c r="AS3" s="76"/>
      <c r="AT3" s="76"/>
      <c r="AU3" s="76" t="s">
        <v>6</v>
      </c>
      <c r="AV3" s="76"/>
      <c r="AW3" s="76"/>
    </row>
    <row r="4" spans="2:50">
      <c r="B4" s="76"/>
      <c r="E4" s="76"/>
      <c r="F4" s="76"/>
      <c r="G4" s="76"/>
      <c r="H4" s="76" t="s">
        <v>7</v>
      </c>
      <c r="J4" s="4"/>
      <c r="K4" s="4" t="s">
        <v>8</v>
      </c>
      <c r="L4" s="76"/>
      <c r="M4" s="76"/>
      <c r="N4" s="4" t="s">
        <v>9</v>
      </c>
      <c r="O4" s="76"/>
      <c r="P4" s="76"/>
      <c r="Q4" s="4" t="s">
        <v>10</v>
      </c>
      <c r="R4" s="76"/>
      <c r="S4" s="76"/>
      <c r="T4" s="4" t="s">
        <v>11</v>
      </c>
      <c r="U4" s="76"/>
      <c r="V4" s="76"/>
      <c r="W4" s="4" t="s">
        <v>12</v>
      </c>
      <c r="X4" s="76"/>
      <c r="Y4" s="76"/>
      <c r="Z4" s="76" t="s">
        <v>13</v>
      </c>
      <c r="AA4" s="76"/>
      <c r="AB4" s="76"/>
      <c r="AC4" s="76" t="s">
        <v>14</v>
      </c>
      <c r="AD4" s="76"/>
      <c r="AE4" s="76"/>
      <c r="AF4" s="76" t="s">
        <v>15</v>
      </c>
      <c r="AG4" s="76"/>
      <c r="AH4" s="76"/>
      <c r="AI4" s="76" t="s">
        <v>16</v>
      </c>
      <c r="AJ4" s="76"/>
      <c r="AK4" s="76"/>
      <c r="AL4" s="76" t="s">
        <v>17</v>
      </c>
      <c r="AM4" s="76"/>
      <c r="AN4" s="76"/>
      <c r="AO4" s="76" t="s">
        <v>18</v>
      </c>
      <c r="AP4" s="76"/>
      <c r="AQ4" s="76"/>
      <c r="AR4" s="76" t="s">
        <v>19</v>
      </c>
      <c r="AS4" s="76"/>
      <c r="AT4" s="76"/>
      <c r="AU4" s="76" t="s">
        <v>20</v>
      </c>
      <c r="AV4" s="76"/>
      <c r="AW4" s="76"/>
      <c r="AX4" t="s">
        <v>21</v>
      </c>
    </row>
    <row r="5" ht="45" spans="2:52">
      <c r="B5" s="77" t="s">
        <v>22</v>
      </c>
      <c r="D5" s="77" t="s">
        <v>23</v>
      </c>
      <c r="E5" s="77" t="s">
        <v>24</v>
      </c>
      <c r="F5" s="77" t="s">
        <v>25</v>
      </c>
      <c r="G5" s="77" t="s">
        <v>26</v>
      </c>
      <c r="H5" s="77" t="s">
        <v>27</v>
      </c>
      <c r="I5" s="77" t="s">
        <v>28</v>
      </c>
      <c r="J5" s="77" t="s">
        <v>29</v>
      </c>
      <c r="K5" s="77" t="s">
        <v>27</v>
      </c>
      <c r="L5" s="77" t="s">
        <v>28</v>
      </c>
      <c r="M5" s="77" t="s">
        <v>29</v>
      </c>
      <c r="N5" s="77" t="s">
        <v>27</v>
      </c>
      <c r="O5" s="77" t="s">
        <v>28</v>
      </c>
      <c r="P5" s="77" t="s">
        <v>29</v>
      </c>
      <c r="Q5" s="77" t="s">
        <v>27</v>
      </c>
      <c r="R5" s="77" t="s">
        <v>28</v>
      </c>
      <c r="S5" s="77" t="s">
        <v>29</v>
      </c>
      <c r="T5" s="77" t="s">
        <v>27</v>
      </c>
      <c r="U5" s="77" t="s">
        <v>28</v>
      </c>
      <c r="V5" s="77" t="s">
        <v>29</v>
      </c>
      <c r="W5" s="77" t="s">
        <v>27</v>
      </c>
      <c r="X5" s="77" t="s">
        <v>28</v>
      </c>
      <c r="Y5" s="77" t="s">
        <v>29</v>
      </c>
      <c r="Z5" s="77" t="s">
        <v>27</v>
      </c>
      <c r="AA5" s="77" t="s">
        <v>28</v>
      </c>
      <c r="AB5" s="77" t="s">
        <v>29</v>
      </c>
      <c r="AC5" s="77" t="s">
        <v>27</v>
      </c>
      <c r="AD5" s="77" t="s">
        <v>28</v>
      </c>
      <c r="AE5" s="77" t="s">
        <v>29</v>
      </c>
      <c r="AF5" s="77" t="s">
        <v>27</v>
      </c>
      <c r="AG5" s="77" t="s">
        <v>28</v>
      </c>
      <c r="AH5" s="77" t="s">
        <v>29</v>
      </c>
      <c r="AI5" s="77" t="s">
        <v>27</v>
      </c>
      <c r="AJ5" s="77" t="s">
        <v>28</v>
      </c>
      <c r="AK5" s="77" t="s">
        <v>29</v>
      </c>
      <c r="AL5" s="77" t="s">
        <v>27</v>
      </c>
      <c r="AM5" s="77" t="s">
        <v>28</v>
      </c>
      <c r="AN5" s="77" t="s">
        <v>29</v>
      </c>
      <c r="AO5" s="77" t="s">
        <v>27</v>
      </c>
      <c r="AP5" s="77" t="s">
        <v>28</v>
      </c>
      <c r="AQ5" s="77" t="s">
        <v>29</v>
      </c>
      <c r="AR5" s="77" t="s">
        <v>27</v>
      </c>
      <c r="AS5" s="77" t="s">
        <v>28</v>
      </c>
      <c r="AT5" s="77" t="s">
        <v>29</v>
      </c>
      <c r="AU5" s="83" t="s">
        <v>27</v>
      </c>
      <c r="AV5" s="83" t="s">
        <v>28</v>
      </c>
      <c r="AW5" s="83" t="s">
        <v>29</v>
      </c>
      <c r="AX5" s="83" t="s">
        <v>27</v>
      </c>
      <c r="AY5" s="83" t="s">
        <v>28</v>
      </c>
      <c r="AZ5" s="83" t="s">
        <v>29</v>
      </c>
    </row>
    <row r="6" spans="2:52">
      <c r="B6" s="76">
        <v>2023</v>
      </c>
      <c r="D6" s="78" t="s">
        <v>30</v>
      </c>
      <c r="E6" s="79">
        <v>2023</v>
      </c>
      <c r="F6" s="48">
        <f ca="1">OFFSET(FS!P110,0,E$6-B$6)</f>
        <v>596518.65</v>
      </c>
      <c r="G6" s="49">
        <f ca="1">OFFSET(FS!P104,0,E$6-B$6)</f>
        <v>187.29</v>
      </c>
      <c r="H6" s="80">
        <f ca="1">((OFFSET(FS!P104,0,E$6-B$6)/OFFSET(FS!P104,0,-1+E$6-B$6))^(1/1)-1)*100</f>
        <v>8.12261863526151</v>
      </c>
      <c r="I6" s="80">
        <f ca="1">((OFFSET(FS!P104,0,E$6-B$6)/OFFSET(FS!P104,0,-2+E$6-B$6))^(1/3)-1)*100</f>
        <v>-15.6648379444142</v>
      </c>
      <c r="J6" s="80">
        <f ca="1">((OFFSET(FS!P104,0,E$6-B$6)/OFFSET(FS!P104,0,-4+E$6-B$6))^(1/5)-1)*100</f>
        <v>33.9877312558382</v>
      </c>
      <c r="K6" s="81">
        <f ca="1">OFFSET(FS!P76,0,0+E$6-B$6)</f>
        <v>18.2488917363314</v>
      </c>
      <c r="L6" s="81">
        <f ca="1">AVERAGE(OFFSET(FS!P76,0,-2+E$6-B$6):OFFSET(FS!P76,0,E$6-B$6))</f>
        <v>23.0421620077831</v>
      </c>
      <c r="M6" s="81">
        <f ca="1">AVERAGE(OFFSET(FS!P76,0,-4+E$6-B$6):OFFSET(FS!P76,0,E$6-B$6))</f>
        <v>21.3411068415071</v>
      </c>
      <c r="N6" s="81">
        <f ca="1">OFFSET(FS!P88,0,0+E$6-B$6)</f>
        <v>9.18747997891974</v>
      </c>
      <c r="O6" s="81">
        <f ca="1">AVERAGE(OFFSET(FS!P88,0,-2+E$6-B$6):OFFSET(FS!P88,0,E$6-B$6))</f>
        <v>12.6901595189917</v>
      </c>
      <c r="P6" s="81">
        <f ca="1">AVERAGE(OFFSET(FS!P88,0,-4+E$6-B$6):OFFSET(FS!P88,0,E$6-B$6))</f>
        <v>8.82253444127512</v>
      </c>
      <c r="Q6" s="81">
        <f ca="1">OFFSET(FS!P97,0,0+E$6-B$6)</f>
        <v>15.4733241709981</v>
      </c>
      <c r="R6" s="81">
        <f ca="1">AVERAGE(OFFSET(FS!P97,0,-2+E$6-B$6):OFFSET(FS!P97,0,E$6-B$6))</f>
        <v>13.8036412114995</v>
      </c>
      <c r="S6" s="81">
        <f ca="1">AVERAGE(OFFSET(FS!P97,0,-4+E$6-B$6):OFFSET(FS!P97,0,E$6-B$6))</f>
        <v>8.19821624816179</v>
      </c>
      <c r="T6" s="82">
        <f ca="1">OFFSET(FS!P106,0,0+E$6-B$6)</f>
        <v>39.8369607319354</v>
      </c>
      <c r="U6" s="82">
        <f ca="1">AVERAGE(OFFSET(FS!P106,0,-2+E$6-B$6):OFFSET(FS!P106,0,E$6-B$6))</f>
        <v>84.9596659098285</v>
      </c>
      <c r="V6" s="82">
        <f ca="1">AVERAGE(OFFSET(FS!P106,0,-4+E$6-B$6):OFFSET(FS!P106,0,E$6-B$6))</f>
        <v>197.337960432058</v>
      </c>
      <c r="W6" s="81">
        <f ca="1">OFFSET(FS!P105,0,0+E$6-B$6)</f>
        <v>4.70141287284144</v>
      </c>
      <c r="X6" s="81">
        <f ca="1">AVERAGE(OFFSET(FS!P105,0,-2+E$6-B$6):OFFSET(FS!P105,0,E$6-B$6))</f>
        <v>3.50008339865075</v>
      </c>
      <c r="Y6" s="81">
        <f ca="1">AVERAGE(OFFSET(FS!P105,0,-4+E$6-B$6):OFFSET(FS!P105,0,E$6-B$6))</f>
        <v>2.10282091089088</v>
      </c>
      <c r="Z6" s="81">
        <f ca="1">OFFSET(FS!P116,0,0+E$6-B$6)</f>
        <v>0</v>
      </c>
      <c r="AA6" s="81">
        <f ca="1">AVERAGE(OFFSET(FS!P116,0,-2+E$6-B$6):OFFSET(FS!P116,0,E$6-B$6))</f>
        <v>0</v>
      </c>
      <c r="AB6" s="81">
        <f ca="1">AVERAGE(OFFSET(FS!P116,0,-4+E$6-B$6):OFFSET(FS!P116,0,E$6-B$6))</f>
        <v>0</v>
      </c>
      <c r="AC6" s="81">
        <f ca="1">OFFSET(FS!P170,0,0+E$6-B$6)</f>
        <v>0.403393423249358</v>
      </c>
      <c r="AD6" s="81">
        <f ca="1">AVERAGE(OFFSET(FS!P170,0,-2+E$6-B$6):OFFSET(FS!P170,0,E$6-B$6))</f>
        <v>0.445876752067291</v>
      </c>
      <c r="AE6" s="81">
        <f ca="1">AVERAGE(OFFSET(FS!P170,0,-4+E$6-B$6):OFFSET(FS!P170,0,E$6-B$6))</f>
        <v>0.529239624609589</v>
      </c>
      <c r="AF6" s="81">
        <f ca="1">OFFSET(FS!P171,0,0+E$6-B$6)</f>
        <v>0.676146457262337</v>
      </c>
      <c r="AG6" s="81">
        <f ca="1">AVERAGE(OFFSET(FS!P171,0,-2+E$6-B$6):OFFSET(FS!P171,0,E$6-B$6))</f>
        <v>0.812436679691055</v>
      </c>
      <c r="AH6" s="81">
        <f ca="1">AVERAGE(OFFSET(FS!P171,0,-4+E$6-B$6):OFFSET(FS!P171,0,E$6-B$6))</f>
        <v>1.37306442048949</v>
      </c>
      <c r="AI6" s="81">
        <f ca="1">OFFSET(FS!P172,0,0+E$6-B$6)</f>
        <v>0.444431814659047</v>
      </c>
      <c r="AJ6" s="81">
        <f ca="1">AVERAGE(OFFSET(FS!P172,0,-2+E$6-B$6):OFFSET(FS!P172,0,E$6-B$6))</f>
        <v>0.486440333464192</v>
      </c>
      <c r="AK6" s="81">
        <f ca="1">AVERAGE(OFFSET(FS!P172,0,-4+E$6-B$6):OFFSET(FS!P172,0,E$6-B$6))</f>
        <v>0.685280632109752</v>
      </c>
      <c r="AL6" s="81">
        <f ca="1">OFFSET(FS!P175,0,0+E$6-B$6)</f>
        <v>5.80603258476442</v>
      </c>
      <c r="AM6" s="81">
        <f ca="1">AVERAGE(OFFSET(FS!P175,0,-2+E$6-B$6):OFFSET(FS!P175,0,E$6-B$6))</f>
        <v>5.83749460443568</v>
      </c>
      <c r="AN6" s="81">
        <f ca="1">AVERAGE(OFFSET(FS!P175,0,-4+E$6-B$6):OFFSET(FS!P175,0,E$6-B$6))</f>
        <v>5.87191337660527</v>
      </c>
      <c r="AO6" s="81">
        <f ca="1">OFFSET(FS!P176,0,0+E$6-B$6)</f>
        <v>27.5863740022805</v>
      </c>
      <c r="AP6" s="81">
        <f ca="1">AVERAGE(OFFSET(FS!P176,0,-2+E$6-B$6):OFFSET(FS!P176,0,E$6-B$6))</f>
        <v>27.7724306327447</v>
      </c>
      <c r="AQ6" s="81">
        <f ca="1">AVERAGE(OFFSET(FS!P176,0,-4+E$6-B$6):OFFSET(FS!P176,0,E$6-B$6))</f>
        <v>23.7203677740396</v>
      </c>
      <c r="AR6" s="81">
        <f ca="1">OFFSET(FS!P177,0,0+E$6-B$6)</f>
        <v>5.48215646871319</v>
      </c>
      <c r="AS6" s="81">
        <f ca="1">AVERAGE(OFFSET(FS!P177,0,-2+E$6-B$6):OFFSET(FS!P177,0,E$6-B$6))</f>
        <v>4.48896176847394</v>
      </c>
      <c r="AT6" s="81">
        <f ca="1">AVERAGE(OFFSET(FS!P177,0,-4+E$6-B$6):OFFSET(FS!P177,0,E$6-B$6))</f>
        <v>4.60430192711635</v>
      </c>
      <c r="AU6" s="26">
        <f>'Sharpe, Sortino'!O23</f>
        <v>0.652583237763103</v>
      </c>
      <c r="AV6" s="26">
        <f>'Sharpe, Sortino'!P23</f>
        <v>-0.0732142196834811</v>
      </c>
      <c r="AW6" s="26">
        <f>'Sharpe, Sortino'!Q23</f>
        <v>0.818742541516825</v>
      </c>
      <c r="AX6" s="26">
        <f>'Sharpe, Sortino'!O40</f>
        <v>1.20454541361376</v>
      </c>
      <c r="AY6" s="26">
        <f>'Sharpe, Sortino'!P40</f>
        <v>-0.154163362903569</v>
      </c>
      <c r="AZ6" s="26">
        <f>'Sharpe, Sortino'!Q40</f>
        <v>2.33865161181537</v>
      </c>
    </row>
    <row r="11" spans="3:3">
      <c r="C11" s="29"/>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W236"/>
  <sheetViews>
    <sheetView workbookViewId="0">
      <pane xSplit="4" ySplit="3" topLeftCell="E147" activePane="bottomRight" state="frozen"/>
      <selection/>
      <selection pane="topRight"/>
      <selection pane="bottomLeft"/>
      <selection pane="bottomRight" activeCell="T172" sqref="T172"/>
    </sheetView>
    <sheetView tabSelected="1" workbookViewId="1">
      <pane xSplit="4" ySplit="4" topLeftCell="E89" activePane="bottomRight" state="frozen"/>
      <selection/>
      <selection pane="topRight"/>
      <selection pane="bottomLeft"/>
      <selection pane="bottomRight" activeCell="T118" sqref="T118"/>
    </sheetView>
  </sheetViews>
  <sheetFormatPr defaultColWidth="9.14285714285714" defaultRowHeight="15"/>
  <cols>
    <col min="2" max="3" width="6.28571428571429" customWidth="1"/>
    <col min="4" max="4" width="39.7142857142857" customWidth="1"/>
    <col min="5" max="5" width="9.14285714285714" style="30"/>
    <col min="6" max="12" width="11.7142857142857" style="31"/>
    <col min="13" max="16" width="10.5714285714286" style="31"/>
    <col min="17" max="17" width="9.14285714285714" style="30"/>
    <col min="18" max="18" width="9.14285714285714" style="31"/>
    <col min="19" max="21" width="9.14285714285714" style="32"/>
    <col min="22" max="22" width="9.14285714285714" style="31"/>
    <col min="23" max="23" width="9.14285714285714" style="30"/>
  </cols>
  <sheetData>
    <row r="1" spans="6:16">
      <c r="F1" s="33" t="s">
        <v>31</v>
      </c>
      <c r="G1" s="33"/>
      <c r="H1" s="33"/>
      <c r="I1" s="33"/>
      <c r="J1" s="33"/>
      <c r="K1" s="33"/>
      <c r="M1" s="30"/>
      <c r="N1" s="30"/>
      <c r="O1" s="30"/>
      <c r="P1" s="30"/>
    </row>
    <row r="2" s="12" customFormat="1" spans="5:23">
      <c r="E2" s="34"/>
      <c r="F2" s="34" t="s">
        <v>32</v>
      </c>
      <c r="G2" s="34"/>
      <c r="H2" s="34"/>
      <c r="I2" s="34"/>
      <c r="J2" s="34"/>
      <c r="K2" s="34"/>
      <c r="M2" s="34"/>
      <c r="N2" s="34"/>
      <c r="O2" s="34"/>
      <c r="P2" s="34"/>
      <c r="Q2" s="34"/>
      <c r="R2" s="48"/>
      <c r="S2" s="49"/>
      <c r="T2" s="49"/>
      <c r="U2" s="49" t="s">
        <v>33</v>
      </c>
      <c r="V2" s="48"/>
      <c r="W2" s="34"/>
    </row>
    <row r="3" s="12" customFormat="1" spans="5:23">
      <c r="E3" s="34"/>
      <c r="F3" s="34">
        <v>2013</v>
      </c>
      <c r="G3" s="34">
        <v>2014</v>
      </c>
      <c r="H3" s="34">
        <v>2015</v>
      </c>
      <c r="I3" s="34">
        <v>2016</v>
      </c>
      <c r="J3" s="34">
        <v>2017</v>
      </c>
      <c r="K3" s="34">
        <v>2018</v>
      </c>
      <c r="L3" s="34">
        <v>2019</v>
      </c>
      <c r="M3" s="34">
        <v>2020</v>
      </c>
      <c r="N3" s="34">
        <v>2021</v>
      </c>
      <c r="O3" s="34">
        <v>2022</v>
      </c>
      <c r="P3" s="34">
        <v>2023</v>
      </c>
      <c r="Q3" s="34"/>
      <c r="R3" s="48" t="s">
        <v>34</v>
      </c>
      <c r="S3" s="49" t="s">
        <v>35</v>
      </c>
      <c r="T3" s="49" t="s">
        <v>7</v>
      </c>
      <c r="U3" s="49" t="s">
        <v>36</v>
      </c>
      <c r="V3" s="48"/>
      <c r="W3" s="34"/>
    </row>
    <row r="5" ht="15.75" spans="2:2">
      <c r="B5" s="35" t="s">
        <v>37</v>
      </c>
    </row>
    <row r="6" spans="3:16">
      <c r="C6" s="36" t="s">
        <v>38</v>
      </c>
      <c r="F6" s="31">
        <v>1479.166</v>
      </c>
      <c r="G6" s="31">
        <v>1471.643</v>
      </c>
      <c r="H6" s="31">
        <v>1957.397</v>
      </c>
      <c r="I6" s="31">
        <v>4200.706</v>
      </c>
      <c r="J6" s="31">
        <v>6221</v>
      </c>
      <c r="K6" s="31">
        <v>14872</v>
      </c>
      <c r="L6" s="31">
        <v>12653</v>
      </c>
      <c r="M6" s="31">
        <v>15207</v>
      </c>
      <c r="N6" s="31">
        <v>23973</v>
      </c>
      <c r="O6" s="31">
        <v>40553</v>
      </c>
      <c r="P6" s="31">
        <v>45235</v>
      </c>
    </row>
    <row r="7" spans="3:16">
      <c r="C7" s="36" t="s">
        <v>39</v>
      </c>
      <c r="F7" s="37">
        <v>0</v>
      </c>
      <c r="G7" s="37">
        <v>477.082</v>
      </c>
      <c r="H7" s="31">
        <v>318.513</v>
      </c>
      <c r="I7" s="31">
        <v>1065.255</v>
      </c>
      <c r="J7" s="31">
        <v>2027</v>
      </c>
      <c r="K7" s="31">
        <v>1757</v>
      </c>
      <c r="L7" s="31">
        <v>2979</v>
      </c>
      <c r="M7" s="31">
        <v>6662</v>
      </c>
      <c r="N7" s="31">
        <v>13844</v>
      </c>
      <c r="O7" s="31">
        <v>18145</v>
      </c>
      <c r="P7" s="31">
        <v>21745</v>
      </c>
    </row>
    <row r="8" spans="3:16">
      <c r="C8" s="36" t="s">
        <v>40</v>
      </c>
      <c r="F8" s="37">
        <f>217.07+317.26</f>
        <v>534.33</v>
      </c>
      <c r="G8" s="37">
        <f>412.198+837.433</f>
        <v>1249.631</v>
      </c>
      <c r="H8" s="31">
        <f>356.419+1413.696</f>
        <v>1770.115</v>
      </c>
      <c r="I8" s="31">
        <f>305.184+335.572+1093.415</f>
        <v>1734.171</v>
      </c>
      <c r="J8" s="31">
        <f>331+823+2357</f>
        <v>3511</v>
      </c>
      <c r="K8" s="31">
        <v>4832</v>
      </c>
      <c r="L8" s="31">
        <v>8946</v>
      </c>
      <c r="M8" s="31">
        <v>9667</v>
      </c>
      <c r="N8" s="31">
        <v>16006</v>
      </c>
      <c r="O8" s="31">
        <v>22764</v>
      </c>
      <c r="P8" s="31">
        <v>29793</v>
      </c>
    </row>
    <row r="9" spans="2:16">
      <c r="B9" t="s">
        <v>41</v>
      </c>
      <c r="F9" s="38">
        <f t="shared" ref="F9:P9" si="0">SUM(F6:F8)</f>
        <v>2013.496</v>
      </c>
      <c r="G9" s="38">
        <f t="shared" si="0"/>
        <v>3198.356</v>
      </c>
      <c r="H9" s="38">
        <f t="shared" si="0"/>
        <v>4046.025</v>
      </c>
      <c r="I9" s="38">
        <f t="shared" si="0"/>
        <v>7000.132</v>
      </c>
      <c r="J9" s="38">
        <f t="shared" si="0"/>
        <v>11759</v>
      </c>
      <c r="K9" s="38">
        <f t="shared" si="0"/>
        <v>21461</v>
      </c>
      <c r="L9" s="38">
        <f t="shared" si="0"/>
        <v>24578</v>
      </c>
      <c r="M9" s="38">
        <f t="shared" si="0"/>
        <v>31536</v>
      </c>
      <c r="N9" s="38">
        <f t="shared" si="0"/>
        <v>53823</v>
      </c>
      <c r="O9" s="38">
        <f t="shared" si="0"/>
        <v>81462</v>
      </c>
      <c r="P9" s="38">
        <f t="shared" si="0"/>
        <v>96773</v>
      </c>
    </row>
    <row r="11" ht="15.75" spans="2:2">
      <c r="B11" s="35" t="s">
        <v>42</v>
      </c>
    </row>
    <row r="12" spans="3:16">
      <c r="C12" t="s">
        <v>43</v>
      </c>
      <c r="F12" s="31">
        <f t="shared" ref="F12:O12" si="1">F58</f>
        <v>1921.877</v>
      </c>
      <c r="G12" s="31">
        <f t="shared" si="1"/>
        <v>2874.448</v>
      </c>
      <c r="H12" s="31">
        <f t="shared" si="1"/>
        <v>3431.587</v>
      </c>
      <c r="I12" s="31">
        <f t="shared" si="1"/>
        <v>5589.007</v>
      </c>
      <c r="J12" s="31">
        <f t="shared" si="1"/>
        <v>8535</v>
      </c>
      <c r="K12" s="31">
        <f t="shared" si="1"/>
        <v>17632</v>
      </c>
      <c r="L12" s="31">
        <f t="shared" si="1"/>
        <v>19358</v>
      </c>
      <c r="M12" s="31">
        <f t="shared" si="1"/>
        <v>24604</v>
      </c>
      <c r="N12" s="31">
        <f t="shared" si="1"/>
        <v>44125</v>
      </c>
      <c r="O12" s="31">
        <f t="shared" si="1"/>
        <v>67210</v>
      </c>
      <c r="P12" s="31">
        <f>P58</f>
        <v>78509</v>
      </c>
    </row>
    <row r="13" spans="3:16">
      <c r="C13" t="s">
        <v>44</v>
      </c>
      <c r="F13" s="31">
        <f t="shared" ref="F13:O13" si="2">F59</f>
        <v>0</v>
      </c>
      <c r="G13" s="31">
        <f t="shared" si="2"/>
        <v>0</v>
      </c>
      <c r="H13" s="31">
        <f t="shared" si="2"/>
        <v>0</v>
      </c>
      <c r="I13" s="31">
        <f t="shared" si="2"/>
        <v>0</v>
      </c>
      <c r="J13" s="31">
        <f t="shared" si="2"/>
        <v>0</v>
      </c>
      <c r="K13" s="31">
        <f t="shared" si="2"/>
        <v>0</v>
      </c>
      <c r="L13" s="31">
        <f t="shared" si="2"/>
        <v>594</v>
      </c>
      <c r="M13" s="31">
        <f t="shared" si="2"/>
        <v>1580</v>
      </c>
      <c r="N13" s="31">
        <f t="shared" si="2"/>
        <v>1465</v>
      </c>
      <c r="O13" s="31">
        <f t="shared" si="2"/>
        <v>1776</v>
      </c>
      <c r="P13" s="31">
        <f>P59</f>
        <v>1790</v>
      </c>
    </row>
    <row r="14" spans="3:16">
      <c r="C14" t="s">
        <v>45</v>
      </c>
      <c r="F14" s="31">
        <f t="shared" ref="F14:O14" si="3">F60</f>
        <v>0</v>
      </c>
      <c r="G14" s="31">
        <f t="shared" si="3"/>
        <v>132.564</v>
      </c>
      <c r="H14" s="31">
        <f t="shared" si="3"/>
        <v>309.386</v>
      </c>
      <c r="I14" s="31">
        <f t="shared" si="3"/>
        <v>761.759</v>
      </c>
      <c r="J14" s="31">
        <f t="shared" si="3"/>
        <v>1107</v>
      </c>
      <c r="K14" s="31">
        <f t="shared" si="3"/>
        <v>883</v>
      </c>
      <c r="L14" s="31">
        <f t="shared" si="3"/>
        <v>869</v>
      </c>
      <c r="M14" s="31">
        <f t="shared" si="3"/>
        <v>1052</v>
      </c>
      <c r="N14" s="31">
        <f t="shared" si="3"/>
        <v>1642</v>
      </c>
      <c r="O14" s="31">
        <f t="shared" si="3"/>
        <v>2476</v>
      </c>
      <c r="P14" s="31">
        <f>P60</f>
        <v>2120</v>
      </c>
    </row>
    <row r="15" spans="3:16">
      <c r="C15" t="s">
        <v>46</v>
      </c>
      <c r="F15" s="31">
        <f t="shared" ref="F15:O15" si="4">F62</f>
        <v>0</v>
      </c>
      <c r="G15" s="31">
        <f t="shared" si="4"/>
        <v>4.208</v>
      </c>
      <c r="H15" s="31">
        <f t="shared" si="4"/>
        <v>14.477</v>
      </c>
      <c r="I15" s="31">
        <f t="shared" si="4"/>
        <v>181.394</v>
      </c>
      <c r="J15" s="31">
        <f t="shared" si="4"/>
        <v>1116</v>
      </c>
      <c r="K15" s="31">
        <f t="shared" si="4"/>
        <v>1555</v>
      </c>
      <c r="L15" s="31">
        <f t="shared" si="4"/>
        <v>1531</v>
      </c>
      <c r="M15" s="31">
        <f t="shared" si="4"/>
        <v>1994</v>
      </c>
      <c r="N15" s="31">
        <f t="shared" si="4"/>
        <v>2789</v>
      </c>
      <c r="O15" s="31">
        <f t="shared" si="4"/>
        <v>3909</v>
      </c>
      <c r="P15" s="31">
        <f>P62</f>
        <v>6035</v>
      </c>
    </row>
    <row r="16" spans="3:16">
      <c r="C16" t="s">
        <v>47</v>
      </c>
      <c r="F16" s="31">
        <f t="shared" ref="F16:O16" si="5">F63</f>
        <v>91.619</v>
      </c>
      <c r="G16" s="31">
        <f t="shared" si="5"/>
        <v>187.136</v>
      </c>
      <c r="H16" s="31">
        <f t="shared" si="5"/>
        <v>290.575</v>
      </c>
      <c r="I16" s="31">
        <f t="shared" si="5"/>
        <v>467.972</v>
      </c>
      <c r="J16" s="31">
        <f t="shared" si="5"/>
        <v>1001</v>
      </c>
      <c r="K16" s="31">
        <f t="shared" si="5"/>
        <v>1391</v>
      </c>
      <c r="L16" s="31">
        <f t="shared" si="5"/>
        <v>2226</v>
      </c>
      <c r="M16" s="31">
        <f t="shared" si="5"/>
        <v>2306</v>
      </c>
      <c r="N16" s="31">
        <f t="shared" si="5"/>
        <v>3802</v>
      </c>
      <c r="O16" s="31">
        <f t="shared" si="5"/>
        <v>6091</v>
      </c>
      <c r="P16" s="31">
        <f>P63</f>
        <v>8319</v>
      </c>
    </row>
    <row r="17" spans="2:16">
      <c r="B17" t="s">
        <v>41</v>
      </c>
      <c r="F17" s="38">
        <f>SUM(F12:F16)</f>
        <v>2013.496</v>
      </c>
      <c r="G17" s="38">
        <f t="shared" ref="G17:P17" si="6">SUM(G12:G16)</f>
        <v>3198.356</v>
      </c>
      <c r="H17" s="38">
        <f t="shared" si="6"/>
        <v>4046.025</v>
      </c>
      <c r="I17" s="38">
        <f t="shared" si="6"/>
        <v>7000.132</v>
      </c>
      <c r="J17" s="38">
        <f t="shared" si="6"/>
        <v>11759</v>
      </c>
      <c r="K17" s="38">
        <f t="shared" si="6"/>
        <v>21461</v>
      </c>
      <c r="L17" s="38">
        <f t="shared" si="6"/>
        <v>24578</v>
      </c>
      <c r="M17" s="38">
        <f t="shared" si="6"/>
        <v>31536</v>
      </c>
      <c r="N17" s="38">
        <f t="shared" si="6"/>
        <v>53823</v>
      </c>
      <c r="O17" s="38">
        <f t="shared" si="6"/>
        <v>81462</v>
      </c>
      <c r="P17" s="38">
        <f t="shared" si="6"/>
        <v>96773</v>
      </c>
    </row>
    <row r="19" ht="15.75" spans="2:18">
      <c r="B19" s="35" t="s">
        <v>48</v>
      </c>
      <c r="R19" s="50"/>
    </row>
    <row r="20" spans="3:22">
      <c r="C20" t="s">
        <v>43</v>
      </c>
      <c r="F20" s="31">
        <f t="shared" ref="F20:O20" si="7">F58-F67</f>
        <v>438.556</v>
      </c>
      <c r="G20" s="31">
        <f t="shared" si="7"/>
        <v>816.104</v>
      </c>
      <c r="H20" s="31">
        <f t="shared" si="7"/>
        <v>791.661</v>
      </c>
      <c r="I20" s="31">
        <f t="shared" si="7"/>
        <v>1320.92</v>
      </c>
      <c r="J20" s="31">
        <f t="shared" si="7"/>
        <v>1810</v>
      </c>
      <c r="K20" s="31">
        <f t="shared" si="7"/>
        <v>3946</v>
      </c>
      <c r="L20" s="31">
        <f t="shared" si="7"/>
        <v>3419</v>
      </c>
      <c r="M20" s="31">
        <f t="shared" si="7"/>
        <v>4908</v>
      </c>
      <c r="N20" s="31">
        <f t="shared" si="7"/>
        <v>11710</v>
      </c>
      <c r="O20" s="31">
        <f t="shared" si="7"/>
        <v>17611</v>
      </c>
      <c r="P20" s="31">
        <f>P58-P67</f>
        <v>13388</v>
      </c>
      <c r="R20" s="51"/>
      <c r="S20" s="49"/>
      <c r="T20" s="49"/>
      <c r="U20" s="49"/>
      <c r="V20" s="48"/>
    </row>
    <row r="21" spans="3:22">
      <c r="C21" t="s">
        <v>45</v>
      </c>
      <c r="F21" s="31">
        <f t="shared" ref="F21:O21" si="8">F60-F68</f>
        <v>0</v>
      </c>
      <c r="G21" s="31">
        <f t="shared" si="8"/>
        <v>45.159</v>
      </c>
      <c r="H21" s="31">
        <f t="shared" si="8"/>
        <v>126.01</v>
      </c>
      <c r="I21" s="31">
        <f t="shared" si="8"/>
        <v>279.765</v>
      </c>
      <c r="J21" s="31">
        <f t="shared" si="8"/>
        <v>399</v>
      </c>
      <c r="K21" s="31">
        <f t="shared" si="8"/>
        <v>395</v>
      </c>
      <c r="L21" s="31">
        <f t="shared" si="8"/>
        <v>410</v>
      </c>
      <c r="M21" s="31">
        <f t="shared" si="8"/>
        <v>489</v>
      </c>
      <c r="N21" s="31">
        <f t="shared" si="8"/>
        <v>664</v>
      </c>
      <c r="O21" s="31">
        <f t="shared" si="8"/>
        <v>967</v>
      </c>
      <c r="P21" s="31">
        <f>P60-P68</f>
        <v>852</v>
      </c>
      <c r="R21" s="48"/>
      <c r="S21" s="49"/>
      <c r="T21" s="49"/>
      <c r="U21" s="49"/>
      <c r="V21" s="48"/>
    </row>
    <row r="22" spans="3:22">
      <c r="C22" t="s">
        <v>46</v>
      </c>
      <c r="F22" s="31">
        <f t="shared" ref="F22:O22" si="9">F62-F70</f>
        <v>0</v>
      </c>
      <c r="G22" s="31">
        <f t="shared" si="9"/>
        <v>0.203</v>
      </c>
      <c r="H22" s="31">
        <f t="shared" si="9"/>
        <v>2.19</v>
      </c>
      <c r="I22" s="31">
        <f t="shared" si="9"/>
        <v>3.06200000000001</v>
      </c>
      <c r="J22" s="31">
        <f t="shared" si="9"/>
        <v>242</v>
      </c>
      <c r="K22" s="31">
        <f t="shared" si="9"/>
        <v>190</v>
      </c>
      <c r="L22" s="31">
        <f t="shared" si="9"/>
        <v>190</v>
      </c>
      <c r="M22" s="31">
        <f t="shared" si="9"/>
        <v>18</v>
      </c>
      <c r="N22" s="31">
        <f t="shared" si="9"/>
        <v>-129</v>
      </c>
      <c r="O22" s="31">
        <f t="shared" si="9"/>
        <v>288</v>
      </c>
      <c r="P22" s="31">
        <f>P62-P70</f>
        <v>1141</v>
      </c>
      <c r="R22" s="48"/>
      <c r="S22" s="49"/>
      <c r="T22" s="49"/>
      <c r="U22" s="49"/>
      <c r="V22" s="48"/>
    </row>
    <row r="23" spans="3:16">
      <c r="C23" t="s">
        <v>47</v>
      </c>
      <c r="F23" s="31">
        <f t="shared" ref="F23:O23" si="10">F63-F71</f>
        <v>17.706</v>
      </c>
      <c r="G23" s="31">
        <f t="shared" si="10"/>
        <v>20.205</v>
      </c>
      <c r="H23" s="31">
        <f t="shared" si="10"/>
        <v>3.642</v>
      </c>
      <c r="I23" s="31">
        <f t="shared" si="10"/>
        <v>-4.49000000000001</v>
      </c>
      <c r="J23" s="31">
        <f t="shared" si="10"/>
        <v>-228</v>
      </c>
      <c r="K23" s="31">
        <f t="shared" si="10"/>
        <v>-489</v>
      </c>
      <c r="L23" s="31">
        <f t="shared" si="10"/>
        <v>-544</v>
      </c>
      <c r="M23" s="31">
        <f t="shared" si="10"/>
        <v>-365</v>
      </c>
      <c r="N23" s="31">
        <f t="shared" si="10"/>
        <v>-104</v>
      </c>
      <c r="O23" s="31">
        <f t="shared" si="10"/>
        <v>211</v>
      </c>
      <c r="P23" s="31">
        <f>P63-P71</f>
        <v>489</v>
      </c>
    </row>
    <row r="26" ht="15.75" spans="3:4">
      <c r="C26" s="39" t="s">
        <v>49</v>
      </c>
      <c r="D26" s="40"/>
    </row>
    <row r="27" spans="3:18">
      <c r="C27" s="40" t="s">
        <v>38</v>
      </c>
      <c r="D27" s="40"/>
      <c r="F27" s="41">
        <f t="shared" ref="F27:P27" si="11">F6/F$9*100</f>
        <v>73.4625745469571</v>
      </c>
      <c r="G27" s="41">
        <f t="shared" si="11"/>
        <v>46.0124826629681</v>
      </c>
      <c r="H27" s="41">
        <f t="shared" si="11"/>
        <v>48.3782725020236</v>
      </c>
      <c r="I27" s="41">
        <f t="shared" si="11"/>
        <v>60.0089541168652</v>
      </c>
      <c r="J27" s="41">
        <f t="shared" si="11"/>
        <v>52.9041585168807</v>
      </c>
      <c r="K27" s="41">
        <f t="shared" si="11"/>
        <v>69.2977960020502</v>
      </c>
      <c r="L27" s="41">
        <f t="shared" si="11"/>
        <v>51.4809992676377</v>
      </c>
      <c r="M27" s="41">
        <f t="shared" si="11"/>
        <v>48.2210806697108</v>
      </c>
      <c r="N27" s="41">
        <f t="shared" si="11"/>
        <v>44.5404381026699</v>
      </c>
      <c r="O27" s="41">
        <f t="shared" si="11"/>
        <v>49.7814932115588</v>
      </c>
      <c r="P27" s="41">
        <f t="shared" si="11"/>
        <v>46.743409835388</v>
      </c>
      <c r="R27" s="43">
        <f>AVERAGEIF(E27:Q27,"&lt;&gt;0")</f>
        <v>53.7119690395191</v>
      </c>
    </row>
    <row r="28" spans="3:18">
      <c r="C28" s="40" t="s">
        <v>39</v>
      </c>
      <c r="D28" s="40"/>
      <c r="F28" s="41">
        <f t="shared" ref="F28:P28" si="12">F7/F$9*100</f>
        <v>0</v>
      </c>
      <c r="G28" s="41">
        <f t="shared" si="12"/>
        <v>14.9164758394625</v>
      </c>
      <c r="H28" s="41">
        <f t="shared" si="12"/>
        <v>7.87224498118524</v>
      </c>
      <c r="I28" s="41">
        <f t="shared" si="12"/>
        <v>15.2176416101868</v>
      </c>
      <c r="J28" s="41">
        <f t="shared" si="12"/>
        <v>17.2378603622757</v>
      </c>
      <c r="K28" s="41">
        <f t="shared" si="12"/>
        <v>8.18694375844555</v>
      </c>
      <c r="L28" s="41">
        <f t="shared" si="12"/>
        <v>12.1205956546505</v>
      </c>
      <c r="M28" s="41">
        <f t="shared" si="12"/>
        <v>21.125063419584</v>
      </c>
      <c r="N28" s="41">
        <f t="shared" si="12"/>
        <v>25.7213458930197</v>
      </c>
      <c r="O28" s="41">
        <f t="shared" si="12"/>
        <v>22.2741891925069</v>
      </c>
      <c r="P28" s="41">
        <f t="shared" si="12"/>
        <v>22.4701104646957</v>
      </c>
      <c r="R28" s="43">
        <f>AVERAGEIF(E28:Q28,"&lt;&gt;0")</f>
        <v>16.7142471176013</v>
      </c>
    </row>
    <row r="29" spans="3:18">
      <c r="C29" s="40" t="s">
        <v>40</v>
      </c>
      <c r="D29" s="40"/>
      <c r="F29" s="41">
        <f t="shared" ref="F29:P29" si="13">F8/F$9*100</f>
        <v>26.5374254530429</v>
      </c>
      <c r="G29" s="41">
        <f t="shared" si="13"/>
        <v>39.0710414975694</v>
      </c>
      <c r="H29" s="41">
        <f t="shared" si="13"/>
        <v>43.7494825167912</v>
      </c>
      <c r="I29" s="41">
        <f t="shared" si="13"/>
        <v>24.773404272948</v>
      </c>
      <c r="J29" s="41">
        <f t="shared" si="13"/>
        <v>29.8579811208436</v>
      </c>
      <c r="K29" s="41">
        <f t="shared" si="13"/>
        <v>22.5152602395042</v>
      </c>
      <c r="L29" s="41">
        <f t="shared" si="13"/>
        <v>36.3984050777118</v>
      </c>
      <c r="M29" s="41">
        <f t="shared" si="13"/>
        <v>30.6538559107052</v>
      </c>
      <c r="N29" s="41">
        <f t="shared" si="13"/>
        <v>29.7382160043104</v>
      </c>
      <c r="O29" s="41">
        <f t="shared" si="13"/>
        <v>27.9443175959343</v>
      </c>
      <c r="P29" s="41">
        <f t="shared" si="13"/>
        <v>30.7864796999163</v>
      </c>
      <c r="R29" s="43">
        <f>AVERAGEIF(E29:Q29,"&lt;&gt;0")</f>
        <v>31.0932608535707</v>
      </c>
    </row>
    <row r="30" spans="6:16">
      <c r="F30" s="42">
        <f t="shared" ref="F30:P30" si="14">SUM(F27:F29)</f>
        <v>100</v>
      </c>
      <c r="G30" s="42">
        <f t="shared" si="14"/>
        <v>100</v>
      </c>
      <c r="H30" s="42">
        <f t="shared" si="14"/>
        <v>100</v>
      </c>
      <c r="I30" s="42">
        <f t="shared" si="14"/>
        <v>100</v>
      </c>
      <c r="J30" s="42">
        <f t="shared" si="14"/>
        <v>100</v>
      </c>
      <c r="K30" s="42">
        <f t="shared" si="14"/>
        <v>100</v>
      </c>
      <c r="L30" s="42">
        <f t="shared" si="14"/>
        <v>100</v>
      </c>
      <c r="M30" s="42">
        <f t="shared" si="14"/>
        <v>100</v>
      </c>
      <c r="N30" s="42">
        <f t="shared" si="14"/>
        <v>100</v>
      </c>
      <c r="O30" s="42">
        <f t="shared" si="14"/>
        <v>100</v>
      </c>
      <c r="P30" s="42">
        <f t="shared" si="14"/>
        <v>100</v>
      </c>
    </row>
    <row r="31" spans="6:16">
      <c r="F31" s="43"/>
      <c r="G31" s="43"/>
      <c r="H31" s="43"/>
      <c r="I31" s="43"/>
      <c r="J31" s="43"/>
      <c r="K31" s="43"/>
      <c r="L31" s="43"/>
      <c r="M31" s="43"/>
      <c r="N31" s="43"/>
      <c r="O31" s="43"/>
      <c r="P31" s="43"/>
    </row>
    <row r="32" ht="15.75" spans="3:16">
      <c r="C32" s="39" t="s">
        <v>50</v>
      </c>
      <c r="D32" s="40"/>
      <c r="F32" s="43"/>
      <c r="G32" s="43"/>
      <c r="H32" s="43"/>
      <c r="I32" s="43"/>
      <c r="J32" s="43"/>
      <c r="K32" s="43"/>
      <c r="L32" s="43"/>
      <c r="M32" s="43"/>
      <c r="N32" s="43"/>
      <c r="O32" s="43"/>
      <c r="P32" s="43"/>
    </row>
    <row r="33" spans="3:18">
      <c r="C33" s="40" t="s">
        <v>43</v>
      </c>
      <c r="D33" s="40"/>
      <c r="F33" s="41">
        <f t="shared" ref="F33:P33" si="15">F12/F$17*100</f>
        <v>95.449755052903</v>
      </c>
      <c r="G33" s="41">
        <f t="shared" si="15"/>
        <v>89.8726720852838</v>
      </c>
      <c r="H33" s="41">
        <f t="shared" si="15"/>
        <v>84.8137863705736</v>
      </c>
      <c r="I33" s="41">
        <f t="shared" si="15"/>
        <v>79.8414515611991</v>
      </c>
      <c r="J33" s="41">
        <f t="shared" si="15"/>
        <v>72.5827026107662</v>
      </c>
      <c r="K33" s="41">
        <f t="shared" si="15"/>
        <v>82.1583337216346</v>
      </c>
      <c r="L33" s="41">
        <f t="shared" si="15"/>
        <v>78.7614940190414</v>
      </c>
      <c r="M33" s="41">
        <f t="shared" si="15"/>
        <v>78.0187721968544</v>
      </c>
      <c r="N33" s="41">
        <f t="shared" si="15"/>
        <v>81.981680694127</v>
      </c>
      <c r="O33" s="41">
        <f t="shared" si="15"/>
        <v>82.5047261299747</v>
      </c>
      <c r="P33" s="41">
        <f t="shared" si="15"/>
        <v>81.1269672325959</v>
      </c>
      <c r="R33" s="43">
        <f t="shared" ref="R30:R37" si="16">AVERAGEIF(E33:Q33,"&lt;&gt;0")</f>
        <v>82.4647583340867</v>
      </c>
    </row>
    <row r="34" spans="3:18">
      <c r="C34" s="40" t="s">
        <v>44</v>
      </c>
      <c r="D34" s="40"/>
      <c r="F34" s="41">
        <f t="shared" ref="F34:P34" si="17">F13/F$17*100</f>
        <v>0</v>
      </c>
      <c r="G34" s="41">
        <f t="shared" si="17"/>
        <v>0</v>
      </c>
      <c r="H34" s="41">
        <f t="shared" si="17"/>
        <v>0</v>
      </c>
      <c r="I34" s="41">
        <f t="shared" si="17"/>
        <v>0</v>
      </c>
      <c r="J34" s="41">
        <f t="shared" si="17"/>
        <v>0</v>
      </c>
      <c r="K34" s="41">
        <f t="shared" si="17"/>
        <v>0</v>
      </c>
      <c r="L34" s="41">
        <f t="shared" si="17"/>
        <v>2.41679550817805</v>
      </c>
      <c r="M34" s="41">
        <f t="shared" si="17"/>
        <v>5.0101471334348</v>
      </c>
      <c r="N34" s="41">
        <f t="shared" si="17"/>
        <v>2.72188469613362</v>
      </c>
      <c r="O34" s="41">
        <f t="shared" si="17"/>
        <v>2.18015761950357</v>
      </c>
      <c r="P34" s="41">
        <f t="shared" si="17"/>
        <v>1.84968947950358</v>
      </c>
      <c r="R34" s="43">
        <f t="shared" si="16"/>
        <v>2.83573488735073</v>
      </c>
    </row>
    <row r="35" spans="3:18">
      <c r="C35" s="40" t="s">
        <v>45</v>
      </c>
      <c r="D35" s="40"/>
      <c r="F35" s="41">
        <f t="shared" ref="F35:P35" si="18">F14/F$17*100</f>
        <v>0</v>
      </c>
      <c r="G35" s="41">
        <f t="shared" si="18"/>
        <v>4.14475436755633</v>
      </c>
      <c r="H35" s="41">
        <f t="shared" si="18"/>
        <v>7.64666555446395</v>
      </c>
      <c r="I35" s="41">
        <f t="shared" si="18"/>
        <v>10.8820662238941</v>
      </c>
      <c r="J35" s="41">
        <f t="shared" si="18"/>
        <v>9.41406582192363</v>
      </c>
      <c r="K35" s="41">
        <f t="shared" si="18"/>
        <v>4.11444014724384</v>
      </c>
      <c r="L35" s="41">
        <f t="shared" si="18"/>
        <v>3.53568231751973</v>
      </c>
      <c r="M35" s="41">
        <f t="shared" si="18"/>
        <v>3.33587011669203</v>
      </c>
      <c r="N35" s="41">
        <f t="shared" si="18"/>
        <v>3.05074038979618</v>
      </c>
      <c r="O35" s="41">
        <f t="shared" si="18"/>
        <v>3.03945397854214</v>
      </c>
      <c r="P35" s="41">
        <f t="shared" si="18"/>
        <v>2.19069368522212</v>
      </c>
      <c r="R35" s="43">
        <f t="shared" si="16"/>
        <v>5.1354432602854</v>
      </c>
    </row>
    <row r="36" spans="3:18">
      <c r="C36" s="40" t="s">
        <v>46</v>
      </c>
      <c r="D36" s="40"/>
      <c r="F36" s="41">
        <f t="shared" ref="F36:P36" si="19">F15/F$17*100</f>
        <v>0</v>
      </c>
      <c r="G36" s="41">
        <f t="shared" si="19"/>
        <v>0.131567592850827</v>
      </c>
      <c r="H36" s="41">
        <f t="shared" si="19"/>
        <v>0.357807972021923</v>
      </c>
      <c r="I36" s="41">
        <f t="shared" si="19"/>
        <v>2.59129399274185</v>
      </c>
      <c r="J36" s="41">
        <f t="shared" si="19"/>
        <v>9.49060294242708</v>
      </c>
      <c r="K36" s="41">
        <f t="shared" si="19"/>
        <v>7.24570150505568</v>
      </c>
      <c r="L36" s="41">
        <f t="shared" si="19"/>
        <v>6.22914801855318</v>
      </c>
      <c r="M36" s="41">
        <f t="shared" si="19"/>
        <v>6.32293252156266</v>
      </c>
      <c r="N36" s="41">
        <f t="shared" si="19"/>
        <v>5.18179960240046</v>
      </c>
      <c r="O36" s="41">
        <f t="shared" si="19"/>
        <v>4.79855638211682</v>
      </c>
      <c r="P36" s="41">
        <f t="shared" si="19"/>
        <v>6.23624358033749</v>
      </c>
      <c r="R36" s="43">
        <f t="shared" si="16"/>
        <v>4.8585654110068</v>
      </c>
    </row>
    <row r="37" spans="3:18">
      <c r="C37" s="40" t="s">
        <v>47</v>
      </c>
      <c r="D37" s="40"/>
      <c r="F37" s="41">
        <f t="shared" ref="F37:P37" si="20">F16/F$17*100</f>
        <v>4.55024494709699</v>
      </c>
      <c r="G37" s="41">
        <f t="shared" si="20"/>
        <v>5.85100595430903</v>
      </c>
      <c r="H37" s="41">
        <f t="shared" si="20"/>
        <v>7.18174010294054</v>
      </c>
      <c r="I37" s="41">
        <f t="shared" si="20"/>
        <v>6.68518822216495</v>
      </c>
      <c r="J37" s="41">
        <f t="shared" si="20"/>
        <v>8.51262862488307</v>
      </c>
      <c r="K37" s="41">
        <f t="shared" si="20"/>
        <v>6.48152462606589</v>
      </c>
      <c r="L37" s="41">
        <f t="shared" si="20"/>
        <v>9.05688013670762</v>
      </c>
      <c r="M37" s="41">
        <f t="shared" si="20"/>
        <v>7.31227803145611</v>
      </c>
      <c r="N37" s="41">
        <f t="shared" si="20"/>
        <v>7.06389461754269</v>
      </c>
      <c r="O37" s="41">
        <f t="shared" si="20"/>
        <v>7.47710588986276</v>
      </c>
      <c r="P37" s="41">
        <f t="shared" si="20"/>
        <v>8.59640602234094</v>
      </c>
      <c r="R37" s="43">
        <f t="shared" si="16"/>
        <v>7.1608088341246</v>
      </c>
    </row>
    <row r="38" spans="6:16">
      <c r="F38" s="42">
        <f>SUM(F33:F37)</f>
        <v>100</v>
      </c>
      <c r="G38" s="42">
        <f t="shared" ref="G38:P38" si="21">SUM(G33:G37)</f>
        <v>100</v>
      </c>
      <c r="H38" s="42">
        <f t="shared" si="21"/>
        <v>100</v>
      </c>
      <c r="I38" s="42">
        <f t="shared" si="21"/>
        <v>100</v>
      </c>
      <c r="J38" s="42">
        <f t="shared" si="21"/>
        <v>100</v>
      </c>
      <c r="K38" s="42">
        <f t="shared" si="21"/>
        <v>100</v>
      </c>
      <c r="L38" s="42">
        <f t="shared" si="21"/>
        <v>100</v>
      </c>
      <c r="M38" s="42">
        <f t="shared" si="21"/>
        <v>100</v>
      </c>
      <c r="N38" s="42">
        <f t="shared" si="21"/>
        <v>100</v>
      </c>
      <c r="O38" s="42">
        <f t="shared" si="21"/>
        <v>100</v>
      </c>
      <c r="P38" s="42">
        <f t="shared" si="21"/>
        <v>100</v>
      </c>
    </row>
    <row r="39" spans="6:16">
      <c r="F39" s="43"/>
      <c r="G39" s="43"/>
      <c r="H39" s="43"/>
      <c r="I39" s="43"/>
      <c r="J39" s="43"/>
      <c r="K39" s="43"/>
      <c r="L39" s="43"/>
      <c r="M39" s="43"/>
      <c r="N39" s="43"/>
      <c r="O39" s="43"/>
      <c r="P39" s="43"/>
    </row>
    <row r="40" s="23" customFormat="1" ht="15.75" spans="3:23">
      <c r="C40" s="39" t="s">
        <v>51</v>
      </c>
      <c r="D40" s="44"/>
      <c r="E40" s="41"/>
      <c r="F40" s="43"/>
      <c r="G40" s="43"/>
      <c r="H40" s="43"/>
      <c r="I40" s="43"/>
      <c r="J40" s="43"/>
      <c r="K40" s="43"/>
      <c r="L40" s="43"/>
      <c r="M40" s="43"/>
      <c r="N40" s="43"/>
      <c r="O40" s="43"/>
      <c r="P40" s="43"/>
      <c r="Q40" s="43"/>
      <c r="R40" s="43"/>
      <c r="S40" s="41"/>
      <c r="T40" s="41"/>
      <c r="U40" s="41"/>
      <c r="V40" s="41"/>
      <c r="W40" s="41"/>
    </row>
    <row r="41" s="23" customFormat="1" spans="3:23">
      <c r="C41" s="40" t="s">
        <v>43</v>
      </c>
      <c r="D41" s="44"/>
      <c r="E41" s="41"/>
      <c r="F41" s="43"/>
      <c r="G41" s="45">
        <f t="shared" ref="G41:P41" si="22">(G12-F12)/ABS(F12)*100</f>
        <v>49.564618339259</v>
      </c>
      <c r="H41" s="45">
        <f t="shared" si="22"/>
        <v>19.3824692601849</v>
      </c>
      <c r="I41" s="45">
        <f t="shared" si="22"/>
        <v>62.8694536959139</v>
      </c>
      <c r="J41" s="45">
        <f t="shared" si="22"/>
        <v>52.7104904323791</v>
      </c>
      <c r="K41" s="45">
        <f t="shared" si="22"/>
        <v>106.584651435267</v>
      </c>
      <c r="L41" s="45">
        <f t="shared" si="22"/>
        <v>9.78901996370236</v>
      </c>
      <c r="M41" s="45">
        <f t="shared" si="22"/>
        <v>27.0999070151875</v>
      </c>
      <c r="N41" s="45">
        <f t="shared" si="22"/>
        <v>79.3407576003902</v>
      </c>
      <c r="O41" s="45">
        <f t="shared" si="22"/>
        <v>52.3172804532578</v>
      </c>
      <c r="P41" s="45">
        <f t="shared" si="22"/>
        <v>16.8114863859545</v>
      </c>
      <c r="Q41" s="43"/>
      <c r="R41" s="43">
        <f t="shared" ref="R40:R45" si="23">AVERAGEIF(E41:Q41,"&lt;&gt;0")</f>
        <v>47.6470134581496</v>
      </c>
      <c r="S41" s="41"/>
      <c r="T41" s="41"/>
      <c r="U41" s="41"/>
      <c r="V41" s="41"/>
      <c r="W41" s="41"/>
    </row>
    <row r="42" s="23" customFormat="1" spans="3:23">
      <c r="C42" s="40" t="s">
        <v>44</v>
      </c>
      <c r="D42" s="44"/>
      <c r="E42" s="41"/>
      <c r="F42" s="43"/>
      <c r="G42" s="45"/>
      <c r="H42" s="45"/>
      <c r="I42" s="45"/>
      <c r="J42" s="45"/>
      <c r="K42" s="45"/>
      <c r="L42" s="45"/>
      <c r="M42" s="45">
        <f>(M13-L13)/ABS(L13)*100</f>
        <v>165.993265993266</v>
      </c>
      <c r="N42" s="45">
        <f>(N13-M13)/ABS(M13)*100</f>
        <v>-7.27848101265823</v>
      </c>
      <c r="O42" s="45">
        <f>(O13-N13)/ABS(N13)*100</f>
        <v>21.2286689419795</v>
      </c>
      <c r="P42" s="45">
        <f>(P13-O13)/ABS(O13)*100</f>
        <v>0.788288288288288</v>
      </c>
      <c r="Q42" s="43"/>
      <c r="R42" s="43">
        <f t="shared" si="23"/>
        <v>45.1829355527189</v>
      </c>
      <c r="S42" s="41"/>
      <c r="T42" s="41"/>
      <c r="U42" s="41"/>
      <c r="V42" s="41"/>
      <c r="W42" s="41"/>
    </row>
    <row r="43" s="23" customFormat="1" spans="3:23">
      <c r="C43" s="40" t="s">
        <v>45</v>
      </c>
      <c r="D43" s="44"/>
      <c r="E43" s="41"/>
      <c r="F43" s="43"/>
      <c r="G43" s="45"/>
      <c r="H43" s="45">
        <f t="shared" ref="G43:O43" si="24">(H14-G14)/ABS(G14)*100</f>
        <v>133.386138016354</v>
      </c>
      <c r="I43" s="45">
        <f t="shared" si="24"/>
        <v>146.216376953062</v>
      </c>
      <c r="J43" s="45">
        <f t="shared" si="24"/>
        <v>45.3215518293844</v>
      </c>
      <c r="K43" s="45">
        <f t="shared" si="24"/>
        <v>-20.2348690153568</v>
      </c>
      <c r="L43" s="45">
        <f t="shared" si="24"/>
        <v>-1.58550396375991</v>
      </c>
      <c r="M43" s="45">
        <f t="shared" si="24"/>
        <v>21.0586881472957</v>
      </c>
      <c r="N43" s="45">
        <f t="shared" si="24"/>
        <v>56.0836501901141</v>
      </c>
      <c r="O43" s="45">
        <f t="shared" si="24"/>
        <v>50.7917174177832</v>
      </c>
      <c r="P43" s="45">
        <f>(P14-O14)/ABS(O14)*100</f>
        <v>-14.3780290791599</v>
      </c>
      <c r="Q43" s="43"/>
      <c r="R43" s="43">
        <f t="shared" si="23"/>
        <v>46.2955244995241</v>
      </c>
      <c r="S43" s="41"/>
      <c r="T43" s="41"/>
      <c r="U43" s="41"/>
      <c r="V43" s="41"/>
      <c r="W43" s="41"/>
    </row>
    <row r="44" s="23" customFormat="1" spans="3:23">
      <c r="C44" s="40" t="s">
        <v>46</v>
      </c>
      <c r="D44" s="44"/>
      <c r="E44" s="41"/>
      <c r="F44" s="43"/>
      <c r="G44" s="45"/>
      <c r="H44" s="45">
        <f t="shared" ref="G44:O44" si="25">(H15-G15)/ABS(G15)*100</f>
        <v>244.035171102662</v>
      </c>
      <c r="I44" s="45">
        <f t="shared" si="25"/>
        <v>1152.98058990122</v>
      </c>
      <c r="J44" s="45">
        <f t="shared" si="25"/>
        <v>515.235344057687</v>
      </c>
      <c r="K44" s="45">
        <f t="shared" si="25"/>
        <v>39.336917562724</v>
      </c>
      <c r="L44" s="45">
        <f t="shared" si="25"/>
        <v>-1.54340836012862</v>
      </c>
      <c r="M44" s="45">
        <f t="shared" si="25"/>
        <v>30.2416721097322</v>
      </c>
      <c r="N44" s="45">
        <f t="shared" si="25"/>
        <v>39.8696088264794</v>
      </c>
      <c r="O44" s="45">
        <f t="shared" si="25"/>
        <v>40.1577626389387</v>
      </c>
      <c r="P44" s="45">
        <f>(P15-O15)/ABS(O15)*100</f>
        <v>54.3873113328217</v>
      </c>
      <c r="Q44" s="43"/>
      <c r="R44" s="43">
        <f t="shared" si="23"/>
        <v>234.96677435246</v>
      </c>
      <c r="S44" s="41"/>
      <c r="T44" s="41"/>
      <c r="U44" s="41"/>
      <c r="V44" s="41"/>
      <c r="W44" s="41"/>
    </row>
    <row r="45" s="23" customFormat="1" spans="3:23">
      <c r="C45" s="40" t="s">
        <v>47</v>
      </c>
      <c r="D45" s="44"/>
      <c r="E45" s="41"/>
      <c r="F45" s="43"/>
      <c r="G45" s="45">
        <f t="shared" ref="G45:O45" si="26">(G16-F16)/ABS(F16)*100</f>
        <v>104.254576015892</v>
      </c>
      <c r="H45" s="45">
        <f t="shared" si="26"/>
        <v>55.2747734268126</v>
      </c>
      <c r="I45" s="45">
        <f t="shared" si="26"/>
        <v>61.0503312397832</v>
      </c>
      <c r="J45" s="45">
        <f t="shared" si="26"/>
        <v>113.901686425684</v>
      </c>
      <c r="K45" s="45">
        <f t="shared" si="26"/>
        <v>38.961038961039</v>
      </c>
      <c r="L45" s="45">
        <f t="shared" si="26"/>
        <v>60.0287562904385</v>
      </c>
      <c r="M45" s="45">
        <f t="shared" si="26"/>
        <v>3.59389038634322</v>
      </c>
      <c r="N45" s="45">
        <f t="shared" si="26"/>
        <v>64.8742411101475</v>
      </c>
      <c r="O45" s="45">
        <f t="shared" si="26"/>
        <v>60.2051551814834</v>
      </c>
      <c r="P45" s="45">
        <f>(P16-O16)/ABS(O16)*100</f>
        <v>36.5785585289772</v>
      </c>
      <c r="Q45" s="43"/>
      <c r="R45" s="43">
        <f t="shared" si="23"/>
        <v>59.87230075666</v>
      </c>
      <c r="S45" s="41"/>
      <c r="T45" s="41"/>
      <c r="U45" s="41"/>
      <c r="V45" s="41"/>
      <c r="W45" s="41"/>
    </row>
    <row r="46" s="23" customFormat="1" spans="5:23">
      <c r="E46" s="41"/>
      <c r="F46" s="43"/>
      <c r="G46" s="43"/>
      <c r="H46" s="43"/>
      <c r="I46" s="43"/>
      <c r="J46" s="43"/>
      <c r="K46" s="43"/>
      <c r="L46" s="43"/>
      <c r="M46" s="43"/>
      <c r="N46" s="43"/>
      <c r="O46" s="43"/>
      <c r="P46" s="43"/>
      <c r="Q46" s="43"/>
      <c r="R46" s="43"/>
      <c r="S46" s="41"/>
      <c r="T46" s="41"/>
      <c r="U46" s="41"/>
      <c r="V46" s="41"/>
      <c r="W46" s="41"/>
    </row>
    <row r="48" ht="15.75" spans="3:4">
      <c r="C48" s="39" t="s">
        <v>52</v>
      </c>
      <c r="D48" s="40"/>
    </row>
    <row r="49" spans="3:21">
      <c r="C49" s="40" t="s">
        <v>43</v>
      </c>
      <c r="D49" s="40"/>
      <c r="G49" s="45">
        <f t="shared" ref="G49:O49" si="27">(G20-F20)/ABS(F20)*100</f>
        <v>86.0888917264841</v>
      </c>
      <c r="H49" s="45">
        <f t="shared" si="27"/>
        <v>-2.99508395988744</v>
      </c>
      <c r="I49" s="45">
        <f t="shared" si="27"/>
        <v>66.8542469567149</v>
      </c>
      <c r="J49" s="45">
        <f t="shared" si="27"/>
        <v>37.0257093540866</v>
      </c>
      <c r="K49" s="45">
        <f t="shared" si="27"/>
        <v>118.011049723757</v>
      </c>
      <c r="L49" s="45">
        <f t="shared" si="27"/>
        <v>-13.3552965027876</v>
      </c>
      <c r="M49" s="45">
        <f t="shared" si="27"/>
        <v>43.5507458321147</v>
      </c>
      <c r="N49" s="45">
        <f t="shared" si="27"/>
        <v>138.590057049715</v>
      </c>
      <c r="O49" s="45">
        <f t="shared" si="27"/>
        <v>50.3928266438941</v>
      </c>
      <c r="P49" s="45">
        <f>(P20-O20)/ABS(O20)*100</f>
        <v>-23.9793310998808</v>
      </c>
      <c r="R49" s="43">
        <f>AVERAGEIF(E49:Q49,"&lt;&gt;0")</f>
        <v>50.018381572421</v>
      </c>
      <c r="U49" s="43" cm="1">
        <f t="array" ref="U49">_xlfn.STDEV.S(IF(E49:Q49&lt;&gt;0,E49:Q49))</f>
        <v>54.3298207647994</v>
      </c>
    </row>
    <row r="50" spans="3:21">
      <c r="C50" s="40" t="s">
        <v>45</v>
      </c>
      <c r="D50" s="40"/>
      <c r="G50" s="45"/>
      <c r="H50" s="45">
        <f t="shared" ref="G50:O50" si="28">(H21-G21)/ABS(G21)*100</f>
        <v>179.036293983481</v>
      </c>
      <c r="I50" s="45">
        <f t="shared" si="28"/>
        <v>122.018093802079</v>
      </c>
      <c r="J50" s="45">
        <f t="shared" si="28"/>
        <v>42.6196986756742</v>
      </c>
      <c r="K50" s="45">
        <f t="shared" si="28"/>
        <v>-1.00250626566416</v>
      </c>
      <c r="L50" s="45">
        <f t="shared" si="28"/>
        <v>3.79746835443038</v>
      </c>
      <c r="M50" s="45">
        <f t="shared" si="28"/>
        <v>19.2682926829268</v>
      </c>
      <c r="N50" s="45">
        <f t="shared" si="28"/>
        <v>35.7873210633947</v>
      </c>
      <c r="O50" s="45">
        <f t="shared" si="28"/>
        <v>45.6325301204819</v>
      </c>
      <c r="P50" s="45">
        <f>(P21-O21)/ABS(O21)*100</f>
        <v>-11.8924508790072</v>
      </c>
      <c r="R50" s="43">
        <f>AVERAGEIF(E50:Q50,"&lt;&gt;0")</f>
        <v>48.3627490597552</v>
      </c>
      <c r="U50" s="43"/>
    </row>
    <row r="51" spans="3:21">
      <c r="C51" s="40" t="s">
        <v>46</v>
      </c>
      <c r="D51" s="40"/>
      <c r="G51" s="45"/>
      <c r="H51" s="45">
        <f t="shared" ref="G51:O51" si="29">(H22-G22)/ABS(G22)*100</f>
        <v>978.817733990146</v>
      </c>
      <c r="I51" s="45">
        <f t="shared" si="29"/>
        <v>39.8173515981741</v>
      </c>
      <c r="J51" s="45">
        <f t="shared" si="29"/>
        <v>7803.33115610709</v>
      </c>
      <c r="K51" s="45">
        <f t="shared" si="29"/>
        <v>-21.4876033057851</v>
      </c>
      <c r="L51" s="45">
        <f t="shared" si="29"/>
        <v>0</v>
      </c>
      <c r="M51" s="45">
        <f t="shared" si="29"/>
        <v>-90.5263157894737</v>
      </c>
      <c r="N51" s="45">
        <f t="shared" si="29"/>
        <v>-816.666666666667</v>
      </c>
      <c r="O51" s="45">
        <f t="shared" si="29"/>
        <v>323.255813953488</v>
      </c>
      <c r="P51" s="45">
        <f>(P22-O22)/ABS(O22)*100</f>
        <v>296.180555555556</v>
      </c>
      <c r="R51" s="43">
        <f>AVERAGEIF(E51:Q51,"&lt;&gt;0")</f>
        <v>1064.09025318032</v>
      </c>
      <c r="U51" s="43" cm="1">
        <f t="array" ref="U51">_xlfn.STDEV.S(IF(E51:Q51&lt;&gt;0,E51:Q51))</f>
        <v>2768.73257730891</v>
      </c>
    </row>
    <row r="52" spans="3:21">
      <c r="C52" s="40" t="s">
        <v>47</v>
      </c>
      <c r="D52" s="40"/>
      <c r="G52" s="45">
        <f t="shared" ref="G52:O52" si="30">(G23-F23)/ABS(F23)*100</f>
        <v>14.1138597085733</v>
      </c>
      <c r="H52" s="45">
        <f t="shared" si="30"/>
        <v>-81.9747587230883</v>
      </c>
      <c r="I52" s="45">
        <f t="shared" si="30"/>
        <v>-223.283909939594</v>
      </c>
      <c r="J52" s="45">
        <f t="shared" si="30"/>
        <v>-4977.95100222716</v>
      </c>
      <c r="K52" s="45">
        <f t="shared" si="30"/>
        <v>-114.473684210526</v>
      </c>
      <c r="L52" s="45">
        <f t="shared" si="30"/>
        <v>-11.2474437627812</v>
      </c>
      <c r="M52" s="45">
        <f t="shared" si="30"/>
        <v>32.9044117647059</v>
      </c>
      <c r="N52" s="45">
        <f t="shared" si="30"/>
        <v>71.5068493150685</v>
      </c>
      <c r="O52" s="45">
        <f t="shared" si="30"/>
        <v>302.884615384615</v>
      </c>
      <c r="P52" s="45">
        <f>(P23-O23)/ABS(O23)*100</f>
        <v>131.75355450237</v>
      </c>
      <c r="R52" s="43">
        <f>AVERAGEIF(E52:Q52,"&lt;&gt;0")</f>
        <v>-485.576750818782</v>
      </c>
      <c r="U52" s="43" cm="1">
        <f t="array" ref="U52">_xlfn.STDEV.S(IF(E52:Q52&lt;&gt;0,E52:Q52))</f>
        <v>1584.90966746793</v>
      </c>
    </row>
    <row r="56" ht="15.75" spans="2:2">
      <c r="B56" s="35" t="s">
        <v>53</v>
      </c>
    </row>
    <row r="57" spans="2:2">
      <c r="B57" t="s">
        <v>54</v>
      </c>
    </row>
    <row r="58" spans="3:16">
      <c r="C58" t="s">
        <v>43</v>
      </c>
      <c r="F58" s="46">
        <v>1921.877</v>
      </c>
      <c r="G58" s="46">
        <v>2874.448</v>
      </c>
      <c r="H58" s="46">
        <v>3431.587</v>
      </c>
      <c r="I58" s="46">
        <v>5589.007</v>
      </c>
      <c r="J58" s="46">
        <v>8535</v>
      </c>
      <c r="K58" s="46">
        <v>17632</v>
      </c>
      <c r="L58" s="31">
        <v>19358</v>
      </c>
      <c r="M58" s="31">
        <v>24604</v>
      </c>
      <c r="N58" s="31">
        <v>44125</v>
      </c>
      <c r="O58" s="31">
        <v>67210</v>
      </c>
      <c r="P58" s="31">
        <v>78509</v>
      </c>
    </row>
    <row r="59" spans="3:16">
      <c r="C59" t="s">
        <v>44</v>
      </c>
      <c r="F59" s="46"/>
      <c r="G59" s="46"/>
      <c r="H59" s="46"/>
      <c r="I59" s="46"/>
      <c r="J59" s="46"/>
      <c r="K59" s="46"/>
      <c r="L59" s="31">
        <v>594</v>
      </c>
      <c r="M59" s="31">
        <v>1580</v>
      </c>
      <c r="N59" s="31">
        <v>1465</v>
      </c>
      <c r="O59" s="31">
        <v>1776</v>
      </c>
      <c r="P59" s="31">
        <v>1790</v>
      </c>
    </row>
    <row r="60" spans="3:16">
      <c r="C60" t="s">
        <v>45</v>
      </c>
      <c r="F60" s="31">
        <v>0</v>
      </c>
      <c r="G60" s="31">
        <v>132.564</v>
      </c>
      <c r="H60" s="31">
        <v>309.386</v>
      </c>
      <c r="I60" s="31">
        <v>761.759</v>
      </c>
      <c r="J60" s="31">
        <v>1107</v>
      </c>
      <c r="K60" s="31">
        <v>883</v>
      </c>
      <c r="L60" s="31">
        <v>869</v>
      </c>
      <c r="M60" s="31">
        <v>1052</v>
      </c>
      <c r="N60" s="31">
        <v>1642</v>
      </c>
      <c r="O60" s="31">
        <v>2476</v>
      </c>
      <c r="P60" s="31">
        <v>2120</v>
      </c>
    </row>
    <row r="61" spans="4:16">
      <c r="D61" t="s">
        <v>55</v>
      </c>
      <c r="F61" s="47">
        <f t="shared" ref="F61:P61" si="31">SUM(F57:F60)</f>
        <v>1921.877</v>
      </c>
      <c r="G61" s="47">
        <f t="shared" si="31"/>
        <v>3007.012</v>
      </c>
      <c r="H61" s="47">
        <f t="shared" si="31"/>
        <v>3740.973</v>
      </c>
      <c r="I61" s="47">
        <f t="shared" si="31"/>
        <v>6350.766</v>
      </c>
      <c r="J61" s="47">
        <f t="shared" si="31"/>
        <v>9642</v>
      </c>
      <c r="K61" s="47">
        <f t="shared" si="31"/>
        <v>18515</v>
      </c>
      <c r="L61" s="47">
        <f t="shared" si="31"/>
        <v>20821</v>
      </c>
      <c r="M61" s="47">
        <f t="shared" si="31"/>
        <v>27236</v>
      </c>
      <c r="N61" s="47">
        <f t="shared" si="31"/>
        <v>47232</v>
      </c>
      <c r="O61" s="47">
        <f t="shared" si="31"/>
        <v>71462</v>
      </c>
      <c r="P61" s="47">
        <f t="shared" si="31"/>
        <v>82419</v>
      </c>
    </row>
    <row r="62" spans="3:16">
      <c r="C62" t="s">
        <v>46</v>
      </c>
      <c r="D62"/>
      <c r="F62" s="31">
        <v>0</v>
      </c>
      <c r="G62" s="31">
        <v>4.208</v>
      </c>
      <c r="H62" s="31">
        <v>14.477</v>
      </c>
      <c r="I62" s="31">
        <v>181.394</v>
      </c>
      <c r="J62" s="31">
        <v>1116</v>
      </c>
      <c r="K62" s="31">
        <v>1555</v>
      </c>
      <c r="L62" s="31">
        <v>1531</v>
      </c>
      <c r="M62" s="31">
        <v>1994</v>
      </c>
      <c r="N62" s="31">
        <v>2789</v>
      </c>
      <c r="O62" s="31">
        <v>3909</v>
      </c>
      <c r="P62" s="31">
        <v>6035</v>
      </c>
    </row>
    <row r="63" spans="3:16">
      <c r="C63" t="s">
        <v>47</v>
      </c>
      <c r="D63"/>
      <c r="F63" s="31">
        <v>91.619</v>
      </c>
      <c r="G63" s="31">
        <v>187.136</v>
      </c>
      <c r="H63" s="31">
        <v>290.575</v>
      </c>
      <c r="I63" s="31">
        <v>467.972</v>
      </c>
      <c r="J63" s="31">
        <v>1001</v>
      </c>
      <c r="K63" s="31">
        <v>1391</v>
      </c>
      <c r="L63" s="31">
        <v>2226</v>
      </c>
      <c r="M63" s="31">
        <v>2306</v>
      </c>
      <c r="N63" s="31">
        <v>3802</v>
      </c>
      <c r="O63" s="31">
        <v>6091</v>
      </c>
      <c r="P63" s="31">
        <v>8319</v>
      </c>
    </row>
    <row r="64" spans="4:16">
      <c r="D64" t="s">
        <v>56</v>
      </c>
      <c r="F64" s="47">
        <f t="shared" ref="F64:P64" si="32">SUM(F61:F63)</f>
        <v>2013.496</v>
      </c>
      <c r="G64" s="47">
        <f t="shared" si="32"/>
        <v>3198.356</v>
      </c>
      <c r="H64" s="47">
        <f t="shared" si="32"/>
        <v>4046.025</v>
      </c>
      <c r="I64" s="47">
        <f t="shared" si="32"/>
        <v>7000.132</v>
      </c>
      <c r="J64" s="47">
        <f t="shared" si="32"/>
        <v>11759</v>
      </c>
      <c r="K64" s="47">
        <f t="shared" si="32"/>
        <v>21461</v>
      </c>
      <c r="L64" s="47">
        <f t="shared" si="32"/>
        <v>24578</v>
      </c>
      <c r="M64" s="47">
        <f t="shared" si="32"/>
        <v>31536</v>
      </c>
      <c r="N64" s="47">
        <f t="shared" si="32"/>
        <v>53823</v>
      </c>
      <c r="O64" s="47">
        <f t="shared" si="32"/>
        <v>81462</v>
      </c>
      <c r="P64" s="47">
        <f t="shared" si="32"/>
        <v>96773</v>
      </c>
    </row>
    <row r="66" spans="2:2">
      <c r="B66" t="s">
        <v>57</v>
      </c>
    </row>
    <row r="67" spans="3:16">
      <c r="C67" t="s">
        <v>58</v>
      </c>
      <c r="F67" s="31">
        <v>1483.321</v>
      </c>
      <c r="G67" s="31">
        <v>2058.344</v>
      </c>
      <c r="H67" s="31">
        <v>2639.926</v>
      </c>
      <c r="I67" s="31">
        <v>4268.087</v>
      </c>
      <c r="J67" s="31">
        <v>6725</v>
      </c>
      <c r="K67" s="31">
        <v>13686</v>
      </c>
      <c r="L67" s="31">
        <v>15939</v>
      </c>
      <c r="M67" s="31">
        <v>19696</v>
      </c>
      <c r="N67" s="31">
        <v>32415</v>
      </c>
      <c r="O67" s="31">
        <v>49599</v>
      </c>
      <c r="P67" s="31">
        <v>65121</v>
      </c>
    </row>
    <row r="68" spans="3:16">
      <c r="C68" t="s">
        <v>45</v>
      </c>
      <c r="F68" s="31">
        <v>0</v>
      </c>
      <c r="G68" s="31">
        <v>87.405</v>
      </c>
      <c r="H68" s="31">
        <v>183.376</v>
      </c>
      <c r="I68" s="31">
        <v>481.994</v>
      </c>
      <c r="J68" s="31">
        <v>708</v>
      </c>
      <c r="K68" s="31">
        <v>488</v>
      </c>
      <c r="L68" s="31">
        <v>459</v>
      </c>
      <c r="M68" s="31">
        <v>563</v>
      </c>
      <c r="N68" s="31">
        <v>978</v>
      </c>
      <c r="O68" s="31">
        <v>1509</v>
      </c>
      <c r="P68" s="31">
        <v>1268</v>
      </c>
    </row>
    <row r="69" spans="4:16">
      <c r="D69" t="s">
        <v>59</v>
      </c>
      <c r="F69" s="47">
        <f t="shared" ref="F69:P69" si="33">SUM(F66:F68)</f>
        <v>1483.321</v>
      </c>
      <c r="G69" s="47">
        <f t="shared" si="33"/>
        <v>2145.749</v>
      </c>
      <c r="H69" s="47">
        <f t="shared" si="33"/>
        <v>2823.302</v>
      </c>
      <c r="I69" s="47">
        <f t="shared" si="33"/>
        <v>4750.081</v>
      </c>
      <c r="J69" s="47">
        <f t="shared" si="33"/>
        <v>7433</v>
      </c>
      <c r="K69" s="47">
        <f t="shared" si="33"/>
        <v>14174</v>
      </c>
      <c r="L69" s="47">
        <f t="shared" si="33"/>
        <v>16398</v>
      </c>
      <c r="M69" s="47">
        <f t="shared" si="33"/>
        <v>20259</v>
      </c>
      <c r="N69" s="47">
        <f t="shared" si="33"/>
        <v>33393</v>
      </c>
      <c r="O69" s="47">
        <f t="shared" si="33"/>
        <v>51108</v>
      </c>
      <c r="P69" s="47">
        <f t="shared" si="33"/>
        <v>66389</v>
      </c>
    </row>
    <row r="70" spans="3:16">
      <c r="C70" t="s">
        <v>46</v>
      </c>
      <c r="F70" s="31">
        <v>0</v>
      </c>
      <c r="G70" s="31">
        <v>4.005</v>
      </c>
      <c r="H70" s="31">
        <v>12.287</v>
      </c>
      <c r="I70" s="31">
        <v>178.332</v>
      </c>
      <c r="J70" s="31">
        <v>874</v>
      </c>
      <c r="K70" s="31">
        <v>1365</v>
      </c>
      <c r="L70" s="31">
        <v>1341</v>
      </c>
      <c r="M70" s="31">
        <v>1976</v>
      </c>
      <c r="N70" s="31">
        <v>2918</v>
      </c>
      <c r="O70" s="31">
        <v>3621</v>
      </c>
      <c r="P70" s="31">
        <v>4894</v>
      </c>
    </row>
    <row r="71" spans="3:16">
      <c r="C71" t="s">
        <v>47</v>
      </c>
      <c r="F71" s="31">
        <v>73.913</v>
      </c>
      <c r="G71" s="31">
        <v>166.931</v>
      </c>
      <c r="H71" s="31">
        <v>286.933</v>
      </c>
      <c r="I71" s="31">
        <v>472.462</v>
      </c>
      <c r="J71" s="31">
        <v>1229</v>
      </c>
      <c r="K71" s="31">
        <v>1880</v>
      </c>
      <c r="L71" s="31">
        <v>2770</v>
      </c>
      <c r="M71" s="31">
        <v>2671</v>
      </c>
      <c r="N71" s="31">
        <v>3906</v>
      </c>
      <c r="O71" s="31">
        <v>5880</v>
      </c>
      <c r="P71" s="31">
        <v>7830</v>
      </c>
    </row>
    <row r="72" spans="4:16">
      <c r="D72" t="s">
        <v>60</v>
      </c>
      <c r="F72" s="47">
        <f t="shared" ref="F72:P72" si="34">SUM(F69:F71)</f>
        <v>1557.234</v>
      </c>
      <c r="G72" s="47">
        <f t="shared" si="34"/>
        <v>2316.685</v>
      </c>
      <c r="H72" s="47">
        <f t="shared" si="34"/>
        <v>3122.522</v>
      </c>
      <c r="I72" s="47">
        <f t="shared" si="34"/>
        <v>5400.875</v>
      </c>
      <c r="J72" s="47">
        <f t="shared" si="34"/>
        <v>9536</v>
      </c>
      <c r="K72" s="47">
        <f t="shared" si="34"/>
        <v>17419</v>
      </c>
      <c r="L72" s="47">
        <f t="shared" si="34"/>
        <v>20509</v>
      </c>
      <c r="M72" s="47">
        <f t="shared" si="34"/>
        <v>24906</v>
      </c>
      <c r="N72" s="47">
        <f t="shared" si="34"/>
        <v>40217</v>
      </c>
      <c r="O72" s="47">
        <f t="shared" si="34"/>
        <v>60609</v>
      </c>
      <c r="P72" s="47">
        <f t="shared" si="34"/>
        <v>79113</v>
      </c>
    </row>
    <row r="74" spans="2:16">
      <c r="B74" t="s">
        <v>61</v>
      </c>
      <c r="F74" s="38">
        <f t="shared" ref="F74:P74" si="35">F64-F72</f>
        <v>456.262</v>
      </c>
      <c r="G74" s="38">
        <f t="shared" si="35"/>
        <v>881.670999999999</v>
      </c>
      <c r="H74" s="38">
        <f t="shared" si="35"/>
        <v>923.503</v>
      </c>
      <c r="I74" s="38">
        <f t="shared" si="35"/>
        <v>1599.257</v>
      </c>
      <c r="J74" s="38">
        <f t="shared" si="35"/>
        <v>2223</v>
      </c>
      <c r="K74" s="38">
        <f t="shared" si="35"/>
        <v>4042</v>
      </c>
      <c r="L74" s="38">
        <f t="shared" si="35"/>
        <v>4069</v>
      </c>
      <c r="M74" s="38">
        <f t="shared" si="35"/>
        <v>6630</v>
      </c>
      <c r="N74" s="38">
        <f t="shared" si="35"/>
        <v>13606</v>
      </c>
      <c r="O74" s="38">
        <f t="shared" si="35"/>
        <v>20853</v>
      </c>
      <c r="P74" s="38">
        <f t="shared" si="35"/>
        <v>17660</v>
      </c>
    </row>
    <row r="75" customFormat="1" spans="5:23">
      <c r="E75" s="30"/>
      <c r="F75" s="31"/>
      <c r="G75" s="31"/>
      <c r="H75" s="31"/>
      <c r="I75" s="31"/>
      <c r="J75" s="31"/>
      <c r="K75" s="31"/>
      <c r="L75" s="31"/>
      <c r="M75" s="31"/>
      <c r="N75" s="31"/>
      <c r="O75" s="31"/>
      <c r="P75" s="31"/>
      <c r="Q75" s="30"/>
      <c r="R75" s="31"/>
      <c r="S75" s="32"/>
      <c r="T75" s="32"/>
      <c r="U75" s="32"/>
      <c r="V75" s="31"/>
      <c r="W75" s="30"/>
    </row>
    <row r="76" s="24" customFormat="1" ht="15.75" spans="3:23">
      <c r="C76" s="52" t="s">
        <v>62</v>
      </c>
      <c r="D76" s="53"/>
      <c r="E76" s="54"/>
      <c r="F76" s="55">
        <f t="shared" ref="F76:O76" si="36">IFERROR(F74/F64*100,0)</f>
        <v>22.6601890443289</v>
      </c>
      <c r="G76" s="55">
        <f t="shared" si="36"/>
        <v>27.5663809782275</v>
      </c>
      <c r="H76" s="55">
        <f t="shared" si="36"/>
        <v>22.8249454711723</v>
      </c>
      <c r="I76" s="55">
        <f>IFERROR(I74/I64*100,0)</f>
        <v>22.8460977592994</v>
      </c>
      <c r="J76" s="55">
        <f t="shared" si="36"/>
        <v>18.9046687643507</v>
      </c>
      <c r="K76" s="55">
        <f t="shared" si="36"/>
        <v>18.834164298029</v>
      </c>
      <c r="L76" s="55">
        <f t="shared" si="36"/>
        <v>16.5554560989503</v>
      </c>
      <c r="M76" s="55">
        <f>IFERROR(M74/M64*100,0)</f>
        <v>21.0235920852359</v>
      </c>
      <c r="N76" s="55">
        <f t="shared" si="36"/>
        <v>25.2791557512588</v>
      </c>
      <c r="O76" s="55">
        <f t="shared" si="36"/>
        <v>25.598438535759</v>
      </c>
      <c r="P76" s="55">
        <f>IFERROR(P74/P64*100,0)</f>
        <v>18.2488917363314</v>
      </c>
      <c r="Q76" s="54"/>
      <c r="R76" s="69">
        <f t="shared" ref="R76:R80" si="37">AVERAGE(E76:Q76)</f>
        <v>21.8492709566312</v>
      </c>
      <c r="S76" s="55"/>
      <c r="T76" s="55"/>
      <c r="U76" s="55"/>
      <c r="V76" s="55"/>
      <c r="W76" s="54"/>
    </row>
    <row r="77" ht="15.75" spans="4:18">
      <c r="D77" s="52" t="s">
        <v>63</v>
      </c>
      <c r="F77" s="55">
        <f t="shared" ref="F77:O77" si="38">IFERROR((F58-F67)/F58*100,0)</f>
        <v>22.8191502369819</v>
      </c>
      <c r="G77" s="55">
        <f t="shared" si="38"/>
        <v>28.391677288996</v>
      </c>
      <c r="H77" s="55">
        <f t="shared" si="38"/>
        <v>23.0698216306333</v>
      </c>
      <c r="I77" s="55">
        <f t="shared" si="38"/>
        <v>23.63425202366</v>
      </c>
      <c r="J77" s="55">
        <f t="shared" si="38"/>
        <v>21.2067955477446</v>
      </c>
      <c r="K77" s="55">
        <f t="shared" si="38"/>
        <v>22.3797640653358</v>
      </c>
      <c r="L77" s="55">
        <f t="shared" si="38"/>
        <v>17.6619485484038</v>
      </c>
      <c r="M77" s="55">
        <f t="shared" si="38"/>
        <v>19.9479759388717</v>
      </c>
      <c r="N77" s="55">
        <f t="shared" si="38"/>
        <v>26.5382436260623</v>
      </c>
      <c r="O77" s="55">
        <f t="shared" si="38"/>
        <v>26.20294599018</v>
      </c>
      <c r="P77" s="55">
        <f>IFERROR((P58-P67)/P58*100,0)</f>
        <v>17.0528219694557</v>
      </c>
      <c r="R77" s="69">
        <f t="shared" si="37"/>
        <v>22.6277633514841</v>
      </c>
    </row>
    <row r="78" ht="15.75" spans="4:18">
      <c r="D78" s="52" t="s">
        <v>64</v>
      </c>
      <c r="F78" s="55">
        <f t="shared" ref="F78:O78" si="39">IFERROR((F60-F68)/F60*100,0)</f>
        <v>0</v>
      </c>
      <c r="G78" s="55">
        <f t="shared" si="39"/>
        <v>34.0658097220965</v>
      </c>
      <c r="H78" s="55">
        <f t="shared" si="39"/>
        <v>40.7290569062595</v>
      </c>
      <c r="I78" s="55">
        <f t="shared" si="39"/>
        <v>36.7261824277757</v>
      </c>
      <c r="J78" s="55">
        <f t="shared" si="39"/>
        <v>36.0433604336043</v>
      </c>
      <c r="K78" s="55">
        <f t="shared" si="39"/>
        <v>44.7338618346546</v>
      </c>
      <c r="L78" s="55">
        <f t="shared" si="39"/>
        <v>47.180667433832</v>
      </c>
      <c r="M78" s="55">
        <f t="shared" si="39"/>
        <v>46.4828897338403</v>
      </c>
      <c r="N78" s="55">
        <f t="shared" si="39"/>
        <v>40.4384896467722</v>
      </c>
      <c r="O78" s="55">
        <f t="shared" si="39"/>
        <v>39.0549273021002</v>
      </c>
      <c r="P78" s="55">
        <f>IFERROR((P60-P68)/P60*100,0)</f>
        <v>40.188679245283</v>
      </c>
      <c r="R78" s="69">
        <f t="shared" si="37"/>
        <v>36.8767204260199</v>
      </c>
    </row>
    <row r="79" ht="15.75" spans="4:18">
      <c r="D79" s="52" t="s">
        <v>65</v>
      </c>
      <c r="F79" s="55">
        <f t="shared" ref="F79:O79" si="40">IFERROR((F62-F70)/F62*100,0)</f>
        <v>0</v>
      </c>
      <c r="G79" s="55">
        <f t="shared" si="40"/>
        <v>4.82414448669202</v>
      </c>
      <c r="H79" s="55">
        <f t="shared" si="40"/>
        <v>15.1274435311183</v>
      </c>
      <c r="I79" s="55">
        <f t="shared" si="40"/>
        <v>1.68803819310452</v>
      </c>
      <c r="J79" s="55">
        <f t="shared" si="40"/>
        <v>21.6845878136201</v>
      </c>
      <c r="K79" s="55">
        <f t="shared" si="40"/>
        <v>12.2186495176849</v>
      </c>
      <c r="L79" s="55">
        <f t="shared" si="40"/>
        <v>12.4101894186806</v>
      </c>
      <c r="M79" s="55">
        <f t="shared" si="40"/>
        <v>0.902708124373119</v>
      </c>
      <c r="N79" s="55">
        <f t="shared" si="40"/>
        <v>-4.62531373252062</v>
      </c>
      <c r="O79" s="55">
        <f t="shared" si="40"/>
        <v>7.36761320030698</v>
      </c>
      <c r="P79" s="55">
        <f>IFERROR((P62-P70)/P62*100,0)</f>
        <v>18.9063794531897</v>
      </c>
      <c r="R79" s="69">
        <f t="shared" si="37"/>
        <v>8.22767636420451</v>
      </c>
    </row>
    <row r="80" ht="15.75" spans="4:18">
      <c r="D80" s="52" t="s">
        <v>66</v>
      </c>
      <c r="F80" s="55">
        <f t="shared" ref="F80:O80" si="41">IFERROR((F63-F71)/F63*100,0)</f>
        <v>19.3256857202109</v>
      </c>
      <c r="G80" s="55">
        <f t="shared" si="41"/>
        <v>10.796960499316</v>
      </c>
      <c r="H80" s="55">
        <f t="shared" si="41"/>
        <v>1.25337692506237</v>
      </c>
      <c r="I80" s="55">
        <f t="shared" si="41"/>
        <v>-0.959459112938383</v>
      </c>
      <c r="J80" s="55">
        <f t="shared" si="41"/>
        <v>-22.7772227772228</v>
      </c>
      <c r="K80" s="55">
        <f t="shared" si="41"/>
        <v>-35.1545650611071</v>
      </c>
      <c r="L80" s="55">
        <f t="shared" si="41"/>
        <v>-24.4384546271339</v>
      </c>
      <c r="M80" s="55">
        <f t="shared" si="41"/>
        <v>-15.8282740676496</v>
      </c>
      <c r="N80" s="55">
        <f t="shared" si="41"/>
        <v>-2.73540241977906</v>
      </c>
      <c r="O80" s="55">
        <f t="shared" si="41"/>
        <v>3.46412740108357</v>
      </c>
      <c r="P80" s="55">
        <f>IFERROR((P63-P71)/P63*100,0)</f>
        <v>5.87811034980166</v>
      </c>
      <c r="R80" s="69">
        <f t="shared" si="37"/>
        <v>-5.56137428821421</v>
      </c>
    </row>
    <row r="82" spans="2:18">
      <c r="B82" t="s">
        <v>67</v>
      </c>
      <c r="F82" s="31">
        <v>231.976</v>
      </c>
      <c r="G82" s="31">
        <v>464.7</v>
      </c>
      <c r="H82" s="31">
        <v>717.9</v>
      </c>
      <c r="I82" s="31">
        <v>834.408</v>
      </c>
      <c r="J82" s="31">
        <v>1378</v>
      </c>
      <c r="K82" s="31">
        <v>1460</v>
      </c>
      <c r="L82" s="31">
        <v>1343</v>
      </c>
      <c r="M82" s="31">
        <v>1491</v>
      </c>
      <c r="N82" s="31">
        <v>2593</v>
      </c>
      <c r="O82" s="31">
        <v>3075</v>
      </c>
      <c r="P82" s="31">
        <v>3969</v>
      </c>
      <c r="R82" s="32"/>
    </row>
    <row r="83" spans="2:18">
      <c r="B83" t="s">
        <v>68</v>
      </c>
      <c r="F83" s="31">
        <v>285.569</v>
      </c>
      <c r="G83" s="31">
        <v>603.66</v>
      </c>
      <c r="H83" s="31">
        <v>922.232</v>
      </c>
      <c r="I83" s="31">
        <v>1432.189</v>
      </c>
      <c r="J83" s="31">
        <v>2477</v>
      </c>
      <c r="K83" s="31">
        <v>2835</v>
      </c>
      <c r="L83" s="31">
        <v>2646</v>
      </c>
      <c r="M83" s="31">
        <v>3145</v>
      </c>
      <c r="N83" s="31">
        <v>4517</v>
      </c>
      <c r="O83" s="31">
        <v>3946</v>
      </c>
      <c r="P83" s="31">
        <v>4800</v>
      </c>
      <c r="R83" s="32"/>
    </row>
    <row r="84" spans="2:18">
      <c r="B84" t="s">
        <v>69</v>
      </c>
      <c r="G84" s="31">
        <v>0</v>
      </c>
      <c r="H84" s="31">
        <v>0</v>
      </c>
      <c r="I84" s="31">
        <v>0</v>
      </c>
      <c r="J84" s="31">
        <v>0</v>
      </c>
      <c r="K84" s="31">
        <v>135</v>
      </c>
      <c r="L84" s="31">
        <v>149</v>
      </c>
      <c r="M84" s="31">
        <v>0</v>
      </c>
      <c r="N84" s="31">
        <v>-27</v>
      </c>
      <c r="O84" s="31">
        <v>176</v>
      </c>
      <c r="P84" s="31">
        <v>0</v>
      </c>
      <c r="R84" s="32"/>
    </row>
    <row r="85" spans="2:16">
      <c r="B85" t="s">
        <v>70</v>
      </c>
      <c r="F85" s="38">
        <f>SUM(F82:F84)</f>
        <v>517.545</v>
      </c>
      <c r="G85" s="38">
        <f t="shared" ref="G85:P85" si="42">SUM(G82:G84)</f>
        <v>1068.36</v>
      </c>
      <c r="H85" s="38">
        <f t="shared" si="42"/>
        <v>1640.132</v>
      </c>
      <c r="I85" s="38">
        <f t="shared" si="42"/>
        <v>2266.597</v>
      </c>
      <c r="J85" s="38">
        <f t="shared" si="42"/>
        <v>3855</v>
      </c>
      <c r="K85" s="38">
        <f t="shared" si="42"/>
        <v>4430</v>
      </c>
      <c r="L85" s="38">
        <f t="shared" si="42"/>
        <v>4138</v>
      </c>
      <c r="M85" s="38">
        <f t="shared" si="42"/>
        <v>4636</v>
      </c>
      <c r="N85" s="38">
        <f t="shared" si="42"/>
        <v>7083</v>
      </c>
      <c r="O85" s="38">
        <f t="shared" si="42"/>
        <v>7197</v>
      </c>
      <c r="P85" s="38">
        <f t="shared" si="42"/>
        <v>8769</v>
      </c>
    </row>
    <row r="87" spans="2:16">
      <c r="B87" t="s">
        <v>71</v>
      </c>
      <c r="F87" s="38">
        <f t="shared" ref="F87:P87" si="43">F74-F85</f>
        <v>-61.2830000000001</v>
      </c>
      <c r="G87" s="38">
        <f t="shared" si="43"/>
        <v>-186.689000000001</v>
      </c>
      <c r="H87" s="38">
        <f t="shared" si="43"/>
        <v>-716.629</v>
      </c>
      <c r="I87" s="38">
        <f t="shared" si="43"/>
        <v>-667.340000000001</v>
      </c>
      <c r="J87" s="38">
        <f t="shared" si="43"/>
        <v>-1632</v>
      </c>
      <c r="K87" s="38">
        <f t="shared" si="43"/>
        <v>-388</v>
      </c>
      <c r="L87" s="38">
        <f t="shared" si="43"/>
        <v>-69</v>
      </c>
      <c r="M87" s="38">
        <f t="shared" si="43"/>
        <v>1994</v>
      </c>
      <c r="N87" s="38">
        <f t="shared" si="43"/>
        <v>6523</v>
      </c>
      <c r="O87" s="38">
        <f t="shared" si="43"/>
        <v>13656</v>
      </c>
      <c r="P87" s="38">
        <f t="shared" si="43"/>
        <v>8891</v>
      </c>
    </row>
    <row r="88" s="24" customFormat="1" ht="15.75" spans="3:23">
      <c r="C88" s="52" t="s">
        <v>72</v>
      </c>
      <c r="D88" s="53"/>
      <c r="E88" s="54"/>
      <c r="F88" s="55">
        <f t="shared" ref="F88:O88" si="44">IFERROR(F87/F64*100,0)</f>
        <v>-3.04361170819312</v>
      </c>
      <c r="G88" s="55">
        <f t="shared" si="44"/>
        <v>-5.83703002417494</v>
      </c>
      <c r="H88" s="55">
        <f t="shared" si="44"/>
        <v>-17.7119271383642</v>
      </c>
      <c r="I88" s="55">
        <f t="shared" si="44"/>
        <v>-9.53324880159404</v>
      </c>
      <c r="J88" s="55">
        <f t="shared" si="44"/>
        <v>-13.8787311846245</v>
      </c>
      <c r="K88" s="55">
        <f t="shared" si="44"/>
        <v>-1.80793066492708</v>
      </c>
      <c r="L88" s="55">
        <f t="shared" si="44"/>
        <v>-0.280738872162096</v>
      </c>
      <c r="M88" s="55">
        <f t="shared" si="44"/>
        <v>6.32293252156266</v>
      </c>
      <c r="N88" s="55">
        <f t="shared" si="44"/>
        <v>12.11935417944</v>
      </c>
      <c r="O88" s="55">
        <f t="shared" si="44"/>
        <v>16.7636443986153</v>
      </c>
      <c r="P88" s="55">
        <f>IFERROR(P87/P64*100,0)</f>
        <v>9.18747997891974</v>
      </c>
      <c r="Q88" s="54"/>
      <c r="R88" s="69">
        <f>AVERAGE(E88:Q88)</f>
        <v>-0.699982483227482</v>
      </c>
      <c r="S88" s="55"/>
      <c r="T88" s="55"/>
      <c r="U88" s="55"/>
      <c r="V88" s="55"/>
      <c r="W88" s="54"/>
    </row>
    <row r="90" spans="2:18">
      <c r="B90" t="s">
        <v>73</v>
      </c>
      <c r="F90" s="31">
        <f>0.189-32.934+22.602</f>
        <v>-10.143</v>
      </c>
      <c r="G90" s="31">
        <f>1.126-100.886+1.813</f>
        <v>-97.947</v>
      </c>
      <c r="H90" s="31">
        <f>1.508-118.851-41.652</f>
        <v>-158.995</v>
      </c>
      <c r="I90" s="31">
        <f>8.53-198.81+111.272</f>
        <v>-79.008</v>
      </c>
      <c r="J90" s="31">
        <f>19-471-125</f>
        <v>-577</v>
      </c>
      <c r="K90" s="31">
        <f>24-663+22</f>
        <v>-617</v>
      </c>
      <c r="L90" s="31">
        <f>44-685+45</f>
        <v>-596</v>
      </c>
      <c r="M90" s="31">
        <f>30-748-122</f>
        <v>-840</v>
      </c>
      <c r="N90" s="31">
        <f>56-371+135</f>
        <v>-180</v>
      </c>
      <c r="O90" s="31">
        <f>297-191-43</f>
        <v>63</v>
      </c>
      <c r="P90" s="31">
        <f>1066-156+172</f>
        <v>1082</v>
      </c>
      <c r="R90" s="32"/>
    </row>
    <row r="92" spans="2:16">
      <c r="B92" t="s">
        <v>74</v>
      </c>
      <c r="F92" s="38">
        <f t="shared" ref="F92:P92" si="45">F87+F90</f>
        <v>-71.4260000000001</v>
      </c>
      <c r="G92" s="38">
        <f t="shared" si="45"/>
        <v>-284.636000000001</v>
      </c>
      <c r="H92" s="38">
        <f t="shared" si="45"/>
        <v>-875.624</v>
      </c>
      <c r="I92" s="38">
        <f t="shared" si="45"/>
        <v>-746.348000000001</v>
      </c>
      <c r="J92" s="38">
        <f t="shared" si="45"/>
        <v>-2209</v>
      </c>
      <c r="K92" s="38">
        <f t="shared" si="45"/>
        <v>-1005</v>
      </c>
      <c r="L92" s="38">
        <f t="shared" si="45"/>
        <v>-665</v>
      </c>
      <c r="M92" s="38">
        <f t="shared" si="45"/>
        <v>1154</v>
      </c>
      <c r="N92" s="38">
        <f t="shared" si="45"/>
        <v>6343</v>
      </c>
      <c r="O92" s="38">
        <f t="shared" si="45"/>
        <v>13719</v>
      </c>
      <c r="P92" s="38">
        <f t="shared" si="45"/>
        <v>9973</v>
      </c>
    </row>
    <row r="94" spans="2:18">
      <c r="B94" t="s">
        <v>75</v>
      </c>
      <c r="F94" s="31">
        <v>2.588</v>
      </c>
      <c r="G94" s="31">
        <v>9.404</v>
      </c>
      <c r="H94" s="31">
        <v>13.039</v>
      </c>
      <c r="I94" s="31">
        <v>26.698</v>
      </c>
      <c r="J94" s="31">
        <v>32</v>
      </c>
      <c r="K94" s="31">
        <v>58</v>
      </c>
      <c r="L94" s="31">
        <v>110</v>
      </c>
      <c r="M94" s="31">
        <v>292</v>
      </c>
      <c r="N94" s="31">
        <v>699</v>
      </c>
      <c r="O94" s="31">
        <v>1132</v>
      </c>
      <c r="P94" s="31">
        <v>-5001</v>
      </c>
      <c r="R94" s="32"/>
    </row>
    <row r="96" spans="2:16">
      <c r="B96" t="s">
        <v>76</v>
      </c>
      <c r="F96" s="38">
        <f t="shared" ref="F96:P96" si="46">F92-F94</f>
        <v>-74.0140000000001</v>
      </c>
      <c r="G96" s="38">
        <f t="shared" si="46"/>
        <v>-294.040000000001</v>
      </c>
      <c r="H96" s="38">
        <f t="shared" si="46"/>
        <v>-888.663</v>
      </c>
      <c r="I96" s="38">
        <f t="shared" si="46"/>
        <v>-773.046000000001</v>
      </c>
      <c r="J96" s="38">
        <f t="shared" si="46"/>
        <v>-2241</v>
      </c>
      <c r="K96" s="38">
        <f t="shared" si="46"/>
        <v>-1063</v>
      </c>
      <c r="L96" s="38">
        <f t="shared" si="46"/>
        <v>-775</v>
      </c>
      <c r="M96" s="38">
        <f t="shared" si="46"/>
        <v>862</v>
      </c>
      <c r="N96" s="38">
        <f t="shared" si="46"/>
        <v>5644</v>
      </c>
      <c r="O96" s="38">
        <f t="shared" si="46"/>
        <v>12587</v>
      </c>
      <c r="P96" s="38">
        <f t="shared" si="46"/>
        <v>14974</v>
      </c>
    </row>
    <row r="97" ht="15.75" spans="3:18">
      <c r="C97" s="52" t="s">
        <v>77</v>
      </c>
      <c r="D97" s="40"/>
      <c r="F97" s="55">
        <f t="shared" ref="F97:O97" si="47">IFERROR(F96/F64*100,0)</f>
        <v>-3.67589506013422</v>
      </c>
      <c r="G97" s="55">
        <f t="shared" si="47"/>
        <v>-9.1934731468292</v>
      </c>
      <c r="H97" s="55">
        <f t="shared" si="47"/>
        <v>-21.9638534116818</v>
      </c>
      <c r="I97" s="55">
        <f t="shared" si="47"/>
        <v>-11.0433060405147</v>
      </c>
      <c r="J97" s="55">
        <f t="shared" si="47"/>
        <v>-19.0577430053576</v>
      </c>
      <c r="K97" s="55">
        <f t="shared" si="47"/>
        <v>-4.9531708680863</v>
      </c>
      <c r="L97" s="55">
        <f t="shared" si="47"/>
        <v>-3.15322646269021</v>
      </c>
      <c r="M97" s="55">
        <f t="shared" si="47"/>
        <v>2.73338406900051</v>
      </c>
      <c r="N97" s="55">
        <f t="shared" si="47"/>
        <v>10.4862233617598</v>
      </c>
      <c r="O97" s="55">
        <f t="shared" si="47"/>
        <v>15.4513761017407</v>
      </c>
      <c r="P97" s="55">
        <f>IFERROR(P96/P64*100,0)</f>
        <v>15.4733241709981</v>
      </c>
      <c r="R97" s="69">
        <f>AVERAGE(E97:Q97)</f>
        <v>-2.62694184470863</v>
      </c>
    </row>
    <row r="101" customFormat="1" ht="15.75" spans="3:23">
      <c r="C101" s="39" t="s">
        <v>78</v>
      </c>
      <c r="D101" s="40"/>
      <c r="E101" s="30"/>
      <c r="F101" s="31"/>
      <c r="G101" s="31"/>
      <c r="H101" s="31"/>
      <c r="I101" s="31"/>
      <c r="J101" s="31"/>
      <c r="K101" s="31"/>
      <c r="L101" s="31"/>
      <c r="M101" s="31"/>
      <c r="N101" s="31"/>
      <c r="O101" s="31"/>
      <c r="P101" s="31"/>
      <c r="Q101" s="30"/>
      <c r="R101" s="31"/>
      <c r="S101" s="32"/>
      <c r="T101" s="32"/>
      <c r="U101" s="32"/>
      <c r="V101" s="31"/>
      <c r="W101" s="30"/>
    </row>
    <row r="102" customFormat="1" spans="3:23">
      <c r="C102" s="56" t="s">
        <v>79</v>
      </c>
      <c r="D102" s="40"/>
      <c r="E102" s="30"/>
      <c r="F102" s="57">
        <f>123.09099</f>
        <v>123.09099</v>
      </c>
      <c r="G102" s="57">
        <v>125.688</v>
      </c>
      <c r="H102" s="57">
        <v>131.425</v>
      </c>
      <c r="I102" s="57">
        <v>161.561</v>
      </c>
      <c r="J102" s="57">
        <v>168.797</v>
      </c>
      <c r="K102" s="57">
        <v>173</v>
      </c>
      <c r="L102" s="57">
        <v>905</v>
      </c>
      <c r="M102" s="57">
        <v>960</v>
      </c>
      <c r="N102" s="57">
        <v>3100</v>
      </c>
      <c r="O102" s="57">
        <v>3164</v>
      </c>
      <c r="P102" s="57">
        <v>3185</v>
      </c>
      <c r="Q102" s="30"/>
      <c r="R102" s="31"/>
      <c r="S102" s="32"/>
      <c r="T102" s="32"/>
      <c r="U102" s="32"/>
      <c r="V102" s="31"/>
      <c r="W102" s="30"/>
    </row>
    <row r="103" s="25" customFormat="1" spans="3:23">
      <c r="C103" s="56" t="s">
        <v>80</v>
      </c>
      <c r="D103" s="56"/>
      <c r="E103" s="58"/>
      <c r="F103" s="57">
        <f t="shared" ref="F103:J103" si="48">F102*3*5</f>
        <v>1846.36485</v>
      </c>
      <c r="G103" s="57">
        <f t="shared" si="48"/>
        <v>1885.32</v>
      </c>
      <c r="H103" s="57">
        <f t="shared" si="48"/>
        <v>1971.375</v>
      </c>
      <c r="I103" s="57">
        <f t="shared" si="48"/>
        <v>2423.415</v>
      </c>
      <c r="J103" s="57">
        <f t="shared" si="48"/>
        <v>2531.955</v>
      </c>
      <c r="K103" s="57">
        <f>K102*3*5</f>
        <v>2595</v>
      </c>
      <c r="L103" s="57">
        <f>L102*3</f>
        <v>2715</v>
      </c>
      <c r="M103" s="57">
        <f>M102*3</f>
        <v>2880</v>
      </c>
      <c r="N103" s="57">
        <f>N102</f>
        <v>3100</v>
      </c>
      <c r="O103" s="57">
        <f>O102</f>
        <v>3164</v>
      </c>
      <c r="P103" s="57">
        <f>P102</f>
        <v>3185</v>
      </c>
      <c r="Q103" s="58"/>
      <c r="R103" s="57"/>
      <c r="S103" s="41"/>
      <c r="T103" s="41"/>
      <c r="U103" s="41"/>
      <c r="V103" s="57"/>
      <c r="W103" s="58"/>
    </row>
    <row r="104" s="26" customFormat="1" spans="3:23">
      <c r="C104" s="44" t="s">
        <v>81</v>
      </c>
      <c r="D104" s="59"/>
      <c r="E104" s="32"/>
      <c r="F104" s="32">
        <v>12.09</v>
      </c>
      <c r="G104" s="32">
        <v>13.57</v>
      </c>
      <c r="H104" s="32">
        <v>12.57</v>
      </c>
      <c r="I104" s="32">
        <v>16.8</v>
      </c>
      <c r="J104" s="32">
        <v>23.62</v>
      </c>
      <c r="K104" s="32">
        <v>20.47</v>
      </c>
      <c r="L104" s="32">
        <v>43.37</v>
      </c>
      <c r="M104" s="32">
        <v>264.51</v>
      </c>
      <c r="N104" s="32">
        <v>312.24</v>
      </c>
      <c r="O104" s="32">
        <v>173.22</v>
      </c>
      <c r="P104" s="32">
        <v>187.29</v>
      </c>
      <c r="Q104" s="32"/>
      <c r="R104" s="32"/>
      <c r="S104" s="32"/>
      <c r="T104" s="32">
        <f>((P104/F104)^(1/4)-1)*100</f>
        <v>98.3910482781061</v>
      </c>
      <c r="U104" s="32"/>
      <c r="V104" s="32"/>
      <c r="W104" s="32"/>
    </row>
    <row r="105" s="23" customFormat="1" spans="3:23">
      <c r="C105" s="44" t="s">
        <v>12</v>
      </c>
      <c r="D105" s="44"/>
      <c r="E105" s="41"/>
      <c r="F105" s="41">
        <f t="shared" ref="F105:P105" si="49">IFERROR(F96/F103,0)</f>
        <v>-0.0400863350491102</v>
      </c>
      <c r="G105" s="41">
        <f t="shared" si="49"/>
        <v>-0.155962913457663</v>
      </c>
      <c r="H105" s="41">
        <f t="shared" si="49"/>
        <v>-0.450783336503709</v>
      </c>
      <c r="I105" s="41">
        <f t="shared" si="49"/>
        <v>-0.318990350393969</v>
      </c>
      <c r="J105" s="41">
        <f t="shared" si="49"/>
        <v>-0.885086820263393</v>
      </c>
      <c r="K105" s="41">
        <f t="shared" si="49"/>
        <v>-0.409633911368015</v>
      </c>
      <c r="L105" s="41">
        <f t="shared" si="49"/>
        <v>-0.285451197053407</v>
      </c>
      <c r="M105" s="41">
        <f t="shared" si="49"/>
        <v>0.299305555555556</v>
      </c>
      <c r="N105" s="41">
        <f t="shared" si="49"/>
        <v>1.82064516129032</v>
      </c>
      <c r="O105" s="41">
        <f t="shared" si="49"/>
        <v>3.97819216182048</v>
      </c>
      <c r="P105" s="41">
        <f t="shared" si="49"/>
        <v>4.70141287284144</v>
      </c>
      <c r="Q105" s="41"/>
      <c r="R105" s="41"/>
      <c r="S105" s="41"/>
      <c r="T105" s="41"/>
      <c r="U105" s="41"/>
      <c r="V105" s="41"/>
      <c r="W105" s="41"/>
    </row>
    <row r="106" s="27" customFormat="1" spans="3:23">
      <c r="C106" s="60" t="s">
        <v>82</v>
      </c>
      <c r="D106" s="61"/>
      <c r="E106" s="62"/>
      <c r="F106" s="62">
        <f t="shared" ref="F106:P106" si="50">F104/F105</f>
        <v>-301.599035810792</v>
      </c>
      <c r="G106" s="62">
        <f t="shared" si="50"/>
        <v>-87.0078642361582</v>
      </c>
      <c r="H106" s="62">
        <f t="shared" si="50"/>
        <v>-27.8847929417563</v>
      </c>
      <c r="I106" s="62">
        <f t="shared" si="50"/>
        <v>-52.6661699303793</v>
      </c>
      <c r="J106" s="62">
        <f t="shared" si="50"/>
        <v>-26.686647523427</v>
      </c>
      <c r="K106" s="62">
        <f t="shared" si="50"/>
        <v>-49.9714487300094</v>
      </c>
      <c r="L106" s="62">
        <f t="shared" si="50"/>
        <v>-151.934903225806</v>
      </c>
      <c r="M106" s="62">
        <f t="shared" si="50"/>
        <v>883.745707656613</v>
      </c>
      <c r="N106" s="62">
        <f t="shared" si="50"/>
        <v>171.499645641389</v>
      </c>
      <c r="O106" s="62">
        <f t="shared" si="50"/>
        <v>43.5423913561611</v>
      </c>
      <c r="P106" s="62">
        <f t="shared" si="50"/>
        <v>39.8369607319354</v>
      </c>
      <c r="Q106" s="62"/>
      <c r="R106" s="62">
        <f>AVERAGE(E106:Q106)</f>
        <v>40.0794402716154</v>
      </c>
      <c r="S106" s="70"/>
      <c r="T106" s="70"/>
      <c r="U106" s="70">
        <f>_xlfn.STDEV.S(E106:Q106)</f>
        <v>304.073794056733</v>
      </c>
      <c r="V106" s="70">
        <f>R106-U106</f>
        <v>-263.994353785117</v>
      </c>
      <c r="W106" s="62"/>
    </row>
    <row r="107" s="28" customFormat="1" spans="3:23">
      <c r="C107" s="44" t="s">
        <v>83</v>
      </c>
      <c r="D107" s="63"/>
      <c r="E107" s="43"/>
      <c r="F107" s="43">
        <f t="shared" ref="F107:O107" si="51">F64/F103</f>
        <v>1.09051902715761</v>
      </c>
      <c r="G107" s="43">
        <f t="shared" si="51"/>
        <v>1.69645259160249</v>
      </c>
      <c r="H107" s="43">
        <f t="shared" si="51"/>
        <v>2.05238729313296</v>
      </c>
      <c r="I107" s="43">
        <f t="shared" si="51"/>
        <v>2.88854034492648</v>
      </c>
      <c r="J107" s="43">
        <f t="shared" si="51"/>
        <v>4.64423735808891</v>
      </c>
      <c r="K107" s="43">
        <f t="shared" si="51"/>
        <v>8.27013487475915</v>
      </c>
      <c r="L107" s="43">
        <f t="shared" si="51"/>
        <v>9.05267034990792</v>
      </c>
      <c r="M107" s="43">
        <f t="shared" si="51"/>
        <v>10.95</v>
      </c>
      <c r="N107" s="43">
        <f t="shared" si="51"/>
        <v>17.3622580645161</v>
      </c>
      <c r="O107" s="43">
        <f t="shared" si="51"/>
        <v>25.7465233881163</v>
      </c>
      <c r="P107" s="43">
        <f>P64/P103</f>
        <v>30.3839874411303</v>
      </c>
      <c r="Q107" s="43"/>
      <c r="R107" s="43"/>
      <c r="S107" s="43"/>
      <c r="T107" s="43"/>
      <c r="U107" s="43"/>
      <c r="V107" s="43"/>
      <c r="W107" s="43"/>
    </row>
    <row r="108" s="27" customFormat="1" spans="3:23">
      <c r="C108" s="60" t="s">
        <v>84</v>
      </c>
      <c r="D108" s="61"/>
      <c r="E108" s="62"/>
      <c r="F108" s="62">
        <f t="shared" ref="F108:P108" si="52">F104/F107</f>
        <v>11.0864640587813</v>
      </c>
      <c r="G108" s="62">
        <f t="shared" si="52"/>
        <v>7.99904463418081</v>
      </c>
      <c r="H108" s="62">
        <f t="shared" si="52"/>
        <v>6.12457504587836</v>
      </c>
      <c r="I108" s="62">
        <f t="shared" si="52"/>
        <v>5.8160863252293</v>
      </c>
      <c r="J108" s="62">
        <f t="shared" si="52"/>
        <v>5.08587270176035</v>
      </c>
      <c r="K108" s="62">
        <f t="shared" si="52"/>
        <v>2.4751712408555</v>
      </c>
      <c r="L108" s="62">
        <f t="shared" si="52"/>
        <v>4.79085157457889</v>
      </c>
      <c r="M108" s="62">
        <f t="shared" si="52"/>
        <v>24.1561643835616</v>
      </c>
      <c r="N108" s="62">
        <f t="shared" si="52"/>
        <v>17.9838359065827</v>
      </c>
      <c r="O108" s="62">
        <f t="shared" si="52"/>
        <v>6.72789865213228</v>
      </c>
      <c r="P108" s="62">
        <f t="shared" si="52"/>
        <v>6.16410207392558</v>
      </c>
      <c r="Q108" s="62"/>
      <c r="R108" s="62">
        <f t="shared" ref="R108:R113" si="53">AVERAGE(E108:Q108)</f>
        <v>8.94636969067879</v>
      </c>
      <c r="S108" s="70"/>
      <c r="T108" s="70"/>
      <c r="U108" s="70">
        <f>_xlfn.STDEV.S(E108:Q108)</f>
        <v>6.50356119266606</v>
      </c>
      <c r="V108" s="70">
        <f>R108-U108</f>
        <v>2.44280849801273</v>
      </c>
      <c r="W108" s="62"/>
    </row>
    <row r="109" s="29" customFormat="1" spans="3:23">
      <c r="C109" s="57"/>
      <c r="D109" s="31"/>
      <c r="E109" s="31"/>
      <c r="F109" s="31"/>
      <c r="G109" s="31"/>
      <c r="H109" s="31"/>
      <c r="I109" s="31"/>
      <c r="J109" s="31"/>
      <c r="K109" s="31"/>
      <c r="L109" s="31"/>
      <c r="M109" s="31"/>
      <c r="N109" s="31"/>
      <c r="O109" s="31"/>
      <c r="P109" s="31"/>
      <c r="Q109" s="31"/>
      <c r="R109" s="71"/>
      <c r="S109" s="32"/>
      <c r="T109" s="32"/>
      <c r="U109" s="32"/>
      <c r="V109" s="31"/>
      <c r="W109" s="31"/>
    </row>
    <row r="110" s="29" customFormat="1" spans="3:23">
      <c r="C110" s="64" t="s">
        <v>85</v>
      </c>
      <c r="D110" s="65"/>
      <c r="E110" s="31"/>
      <c r="F110" s="31">
        <f t="shared" ref="F110:P110" si="54">F103*F104</f>
        <v>22322.5510365</v>
      </c>
      <c r="G110" s="31">
        <f t="shared" si="54"/>
        <v>25583.7924</v>
      </c>
      <c r="H110" s="31">
        <f t="shared" si="54"/>
        <v>24780.18375</v>
      </c>
      <c r="I110" s="31">
        <f t="shared" si="54"/>
        <v>40713.372</v>
      </c>
      <c r="J110" s="31">
        <f t="shared" si="54"/>
        <v>59804.7771</v>
      </c>
      <c r="K110" s="31">
        <f t="shared" si="54"/>
        <v>53119.65</v>
      </c>
      <c r="L110" s="31">
        <f t="shared" si="54"/>
        <v>117749.55</v>
      </c>
      <c r="M110" s="31">
        <f t="shared" si="54"/>
        <v>761788.8</v>
      </c>
      <c r="N110" s="31">
        <f t="shared" si="54"/>
        <v>967944</v>
      </c>
      <c r="O110" s="31">
        <f t="shared" si="54"/>
        <v>548068.08</v>
      </c>
      <c r="P110" s="31">
        <f t="shared" si="54"/>
        <v>596518.65</v>
      </c>
      <c r="Q110" s="31"/>
      <c r="R110" s="31"/>
      <c r="S110" s="32"/>
      <c r="T110" s="32"/>
      <c r="U110" s="32"/>
      <c r="V110" s="31"/>
      <c r="W110" s="31"/>
    </row>
    <row r="111" s="29" customFormat="1" spans="3:23">
      <c r="C111" s="64" t="s">
        <v>86</v>
      </c>
      <c r="D111" s="65"/>
      <c r="E111" s="31"/>
      <c r="F111" s="31">
        <f t="shared" ref="F111:P111" si="55">F110+(F146+F150)-(F122+F123)</f>
        <v>22062.9630365</v>
      </c>
      <c r="G111" s="31">
        <f t="shared" si="55"/>
        <v>26107.9634</v>
      </c>
      <c r="H111" s="31">
        <f t="shared" si="55"/>
        <v>26232.29575</v>
      </c>
      <c r="I111" s="31">
        <f t="shared" si="55"/>
        <v>44439.803</v>
      </c>
      <c r="J111" s="31">
        <f t="shared" si="55"/>
        <v>66751.7311</v>
      </c>
      <c r="K111" s="31">
        <f t="shared" si="55"/>
        <v>61405.65</v>
      </c>
      <c r="L111" s="31">
        <f t="shared" si="55"/>
        <v>124900.55</v>
      </c>
      <c r="M111" s="31">
        <f t="shared" si="55"/>
        <v>754092.8</v>
      </c>
      <c r="N111" s="31">
        <f t="shared" si="55"/>
        <v>957071</v>
      </c>
      <c r="O111" s="31">
        <f t="shared" si="55"/>
        <v>528982.08</v>
      </c>
      <c r="P111" s="31">
        <f>P110+(P146+P150)-(P122+P123)</f>
        <v>572654.65</v>
      </c>
      <c r="Q111" s="31"/>
      <c r="R111" s="31"/>
      <c r="S111" s="31"/>
      <c r="T111" s="31"/>
      <c r="U111" s="31"/>
      <c r="V111" s="31"/>
      <c r="W111" s="31"/>
    </row>
    <row r="112" s="2" customFormat="1" spans="3:23">
      <c r="C112" s="66" t="s">
        <v>87</v>
      </c>
      <c r="D112" s="67"/>
      <c r="E112" s="68"/>
      <c r="F112" s="62">
        <f>F111/(F183+F184+F94)</f>
        <v>636.609142063652</v>
      </c>
      <c r="G112" s="62">
        <f t="shared" ref="G112:P112" si="56">G111/(G183+G184+G94)</f>
        <v>-495.360277013566</v>
      </c>
      <c r="H112" s="62">
        <f t="shared" si="56"/>
        <v>-57.9035916730312</v>
      </c>
      <c r="I112" s="62">
        <f t="shared" si="56"/>
        <v>221.367778989893</v>
      </c>
      <c r="J112" s="62">
        <f t="shared" si="56"/>
        <v>-116.495167713787</v>
      </c>
      <c r="K112" s="62">
        <f t="shared" si="56"/>
        <v>68.5330915178571</v>
      </c>
      <c r="L112" s="62">
        <f t="shared" si="56"/>
        <v>83.8821692411014</v>
      </c>
      <c r="M112" s="62">
        <f t="shared" si="56"/>
        <v>216.942692750288</v>
      </c>
      <c r="N112" s="62">
        <f t="shared" si="56"/>
        <v>103.422411929976</v>
      </c>
      <c r="O112" s="62">
        <f t="shared" si="56"/>
        <v>30.2863895568533</v>
      </c>
      <c r="P112" s="62">
        <f t="shared" si="56"/>
        <v>39.1157547814208</v>
      </c>
      <c r="Q112" s="68"/>
      <c r="R112" s="62">
        <f t="shared" si="53"/>
        <v>66.4000358573325</v>
      </c>
      <c r="S112" s="70"/>
      <c r="T112" s="70"/>
      <c r="U112" s="70"/>
      <c r="V112" s="62"/>
      <c r="W112" s="68"/>
    </row>
    <row r="113" s="2" customFormat="1" spans="3:23">
      <c r="C113" s="66" t="s">
        <v>88</v>
      </c>
      <c r="D113" s="67"/>
      <c r="E113" s="68"/>
      <c r="F113" s="62">
        <f t="shared" ref="F113:O113" si="57">F111/F64</f>
        <v>10.9575400380731</v>
      </c>
      <c r="G113" s="62">
        <f t="shared" si="57"/>
        <v>8.16293226895318</v>
      </c>
      <c r="H113" s="62">
        <f t="shared" si="57"/>
        <v>6.48347347087574</v>
      </c>
      <c r="I113" s="62">
        <f t="shared" si="57"/>
        <v>6.34842357258406</v>
      </c>
      <c r="J113" s="62">
        <f t="shared" si="57"/>
        <v>5.67665031890467</v>
      </c>
      <c r="K113" s="62">
        <f t="shared" si="57"/>
        <v>2.86126694934998</v>
      </c>
      <c r="L113" s="62">
        <f t="shared" si="57"/>
        <v>5.0818028318008</v>
      </c>
      <c r="M113" s="62">
        <f t="shared" si="57"/>
        <v>23.9121258244546</v>
      </c>
      <c r="N113" s="62">
        <f t="shared" si="57"/>
        <v>17.7818218977017</v>
      </c>
      <c r="O113" s="62">
        <f t="shared" si="57"/>
        <v>6.49360536200928</v>
      </c>
      <c r="P113" s="62">
        <f>P111/P64</f>
        <v>5.91750436588718</v>
      </c>
      <c r="Q113" s="68"/>
      <c r="R113" s="62">
        <f t="shared" si="53"/>
        <v>9.06155880914493</v>
      </c>
      <c r="S113" s="70"/>
      <c r="T113" s="70"/>
      <c r="U113" s="70"/>
      <c r="V113" s="62"/>
      <c r="W113" s="68"/>
    </row>
    <row r="115" spans="3:19">
      <c r="C115" s="44" t="s">
        <v>89</v>
      </c>
      <c r="D115" s="59"/>
      <c r="E115" s="32"/>
      <c r="F115" s="41">
        <f t="shared" ref="F115:P115" si="58">ABS(F222/F103)</f>
        <v>0</v>
      </c>
      <c r="G115" s="41">
        <f t="shared" si="58"/>
        <v>0</v>
      </c>
      <c r="H115" s="41">
        <f t="shared" si="58"/>
        <v>0</v>
      </c>
      <c r="I115" s="41">
        <f t="shared" si="58"/>
        <v>0</v>
      </c>
      <c r="J115" s="41">
        <f t="shared" si="58"/>
        <v>0</v>
      </c>
      <c r="K115" s="41">
        <f t="shared" si="58"/>
        <v>0</v>
      </c>
      <c r="L115" s="41">
        <f t="shared" si="58"/>
        <v>0</v>
      </c>
      <c r="M115" s="41">
        <f t="shared" si="58"/>
        <v>0</v>
      </c>
      <c r="N115" s="41">
        <f t="shared" si="58"/>
        <v>0</v>
      </c>
      <c r="O115" s="41">
        <f t="shared" si="58"/>
        <v>0</v>
      </c>
      <c r="P115" s="41">
        <f t="shared" si="58"/>
        <v>0</v>
      </c>
      <c r="Q115" s="32"/>
      <c r="R115" s="32">
        <f>AVERAGE(E115:Q115)</f>
        <v>0</v>
      </c>
      <c r="S115" s="32">
        <f>MEDIAN(E115:Q115)</f>
        <v>0</v>
      </c>
    </row>
    <row r="116" spans="3:19">
      <c r="C116" s="44" t="s">
        <v>90</v>
      </c>
      <c r="D116" s="59"/>
      <c r="E116" s="32"/>
      <c r="F116" s="41">
        <f t="shared" ref="F116:P116" si="59">F115/F104</f>
        <v>0</v>
      </c>
      <c r="G116" s="41">
        <f t="shared" si="59"/>
        <v>0</v>
      </c>
      <c r="H116" s="41">
        <f t="shared" si="59"/>
        <v>0</v>
      </c>
      <c r="I116" s="41">
        <f t="shared" si="59"/>
        <v>0</v>
      </c>
      <c r="J116" s="41">
        <f t="shared" si="59"/>
        <v>0</v>
      </c>
      <c r="K116" s="41">
        <f t="shared" si="59"/>
        <v>0</v>
      </c>
      <c r="L116" s="41">
        <f t="shared" si="59"/>
        <v>0</v>
      </c>
      <c r="M116" s="41">
        <f t="shared" si="59"/>
        <v>0</v>
      </c>
      <c r="N116" s="41">
        <f t="shared" si="59"/>
        <v>0</v>
      </c>
      <c r="O116" s="41">
        <f t="shared" si="59"/>
        <v>0</v>
      </c>
      <c r="P116" s="41">
        <f t="shared" si="59"/>
        <v>0</v>
      </c>
      <c r="Q116" s="32"/>
      <c r="R116" s="32">
        <f>AVERAGE(E116:Q116)</f>
        <v>0</v>
      </c>
      <c r="S116" s="32">
        <f>MEDIAN(E116:Q116)</f>
        <v>0</v>
      </c>
    </row>
    <row r="120" ht="15.75" spans="2:2">
      <c r="B120" s="35" t="s">
        <v>91</v>
      </c>
    </row>
    <row r="121" spans="2:2">
      <c r="B121" t="s">
        <v>92</v>
      </c>
    </row>
    <row r="122" spans="3:16">
      <c r="C122" t="s">
        <v>93</v>
      </c>
      <c r="F122" s="31">
        <v>845.889</v>
      </c>
      <c r="G122" s="31">
        <v>1905.713</v>
      </c>
      <c r="H122" s="31">
        <v>1196.908</v>
      </c>
      <c r="I122" s="31">
        <v>3393.216</v>
      </c>
      <c r="J122" s="31">
        <v>3367.914</v>
      </c>
      <c r="K122" s="31">
        <v>3686</v>
      </c>
      <c r="L122" s="31">
        <v>6268</v>
      </c>
      <c r="M122" s="31">
        <v>19384</v>
      </c>
      <c r="N122" s="31">
        <v>17576</v>
      </c>
      <c r="O122" s="31">
        <v>16253</v>
      </c>
      <c r="P122" s="31">
        <v>16398</v>
      </c>
    </row>
    <row r="123" spans="3:16">
      <c r="C123" t="s">
        <v>94</v>
      </c>
      <c r="F123" s="31">
        <v>0</v>
      </c>
      <c r="G123" s="31">
        <v>0</v>
      </c>
      <c r="H123" s="31">
        <v>0</v>
      </c>
      <c r="I123" s="31">
        <v>0</v>
      </c>
      <c r="J123" s="31">
        <v>0</v>
      </c>
      <c r="K123" s="31">
        <v>0</v>
      </c>
      <c r="L123" s="31">
        <v>0</v>
      </c>
      <c r="M123" s="31">
        <v>0</v>
      </c>
      <c r="N123" s="31">
        <v>131</v>
      </c>
      <c r="O123" s="31">
        <v>5932</v>
      </c>
      <c r="P123" s="31">
        <v>12696</v>
      </c>
    </row>
    <row r="124" spans="3:16">
      <c r="C124" t="s">
        <v>95</v>
      </c>
      <c r="F124" s="31">
        <v>49.109</v>
      </c>
      <c r="G124" s="31">
        <v>226.604</v>
      </c>
      <c r="H124" s="31">
        <v>168.965</v>
      </c>
      <c r="I124" s="31">
        <v>499.142</v>
      </c>
      <c r="J124" s="31">
        <v>515.381</v>
      </c>
      <c r="K124" s="31">
        <v>949</v>
      </c>
      <c r="L124" s="31">
        <v>1324</v>
      </c>
      <c r="M124" s="31">
        <v>1886</v>
      </c>
      <c r="N124" s="31">
        <v>1913</v>
      </c>
      <c r="O124" s="31">
        <v>2952</v>
      </c>
      <c r="P124" s="31">
        <v>3508</v>
      </c>
    </row>
    <row r="125" spans="3:16">
      <c r="C125" t="s">
        <v>96</v>
      </c>
      <c r="F125" s="31">
        <v>340.355</v>
      </c>
      <c r="G125" s="31">
        <v>953.675</v>
      </c>
      <c r="H125" s="31">
        <v>1277.838</v>
      </c>
      <c r="I125" s="31">
        <v>2067.454</v>
      </c>
      <c r="J125" s="31">
        <v>2263.537</v>
      </c>
      <c r="K125" s="31">
        <v>3113</v>
      </c>
      <c r="L125" s="31">
        <v>3552</v>
      </c>
      <c r="M125" s="31">
        <v>4101</v>
      </c>
      <c r="N125" s="31">
        <v>5757</v>
      </c>
      <c r="O125" s="31">
        <v>12839</v>
      </c>
      <c r="P125" s="31">
        <v>13626</v>
      </c>
    </row>
    <row r="126" spans="3:16">
      <c r="C126" t="s">
        <v>97</v>
      </c>
      <c r="F126" s="31">
        <f>3.012+27.574</f>
        <v>30.586</v>
      </c>
      <c r="G126" s="31">
        <f>17.947+76.134</f>
        <v>94.081</v>
      </c>
      <c r="H126" s="31">
        <f>22.628+115.667</f>
        <v>138.295</v>
      </c>
      <c r="I126" s="31">
        <f>105.519+194.465</f>
        <v>299.984</v>
      </c>
      <c r="J126" s="31">
        <f>155.323+268.365</f>
        <v>423.688</v>
      </c>
      <c r="K126" s="31">
        <f>193+366</f>
        <v>559</v>
      </c>
      <c r="L126" s="31">
        <v>959</v>
      </c>
      <c r="M126" s="31">
        <v>1346</v>
      </c>
      <c r="N126" s="31">
        <v>1723</v>
      </c>
      <c r="O126" s="31">
        <v>2941</v>
      </c>
      <c r="P126" s="31">
        <v>3388</v>
      </c>
    </row>
    <row r="127" spans="2:16">
      <c r="B127" t="s">
        <v>98</v>
      </c>
      <c r="F127" s="38">
        <f t="shared" ref="F127:P127" si="60">SUM(F122:F126)</f>
        <v>1265.939</v>
      </c>
      <c r="G127" s="38">
        <f t="shared" si="60"/>
        <v>3180.073</v>
      </c>
      <c r="H127" s="38">
        <f t="shared" si="60"/>
        <v>2782.006</v>
      </c>
      <c r="I127" s="38">
        <f t="shared" si="60"/>
        <v>6259.796</v>
      </c>
      <c r="J127" s="38">
        <f t="shared" si="60"/>
        <v>6570.52</v>
      </c>
      <c r="K127" s="38">
        <f t="shared" si="60"/>
        <v>8307</v>
      </c>
      <c r="L127" s="38">
        <f t="shared" si="60"/>
        <v>12103</v>
      </c>
      <c r="M127" s="38">
        <f t="shared" si="60"/>
        <v>26717</v>
      </c>
      <c r="N127" s="38">
        <f t="shared" si="60"/>
        <v>27100</v>
      </c>
      <c r="O127" s="38">
        <f t="shared" si="60"/>
        <v>40917</v>
      </c>
      <c r="P127" s="38">
        <f t="shared" si="60"/>
        <v>49616</v>
      </c>
    </row>
    <row r="129" spans="2:2">
      <c r="B129" t="s">
        <v>99</v>
      </c>
    </row>
    <row r="130" spans="3:16">
      <c r="C130" t="s">
        <v>100</v>
      </c>
      <c r="F130" s="31">
        <v>382.425</v>
      </c>
      <c r="G130" s="31">
        <v>766.744</v>
      </c>
      <c r="H130" s="31">
        <v>1791.403</v>
      </c>
      <c r="I130" s="31">
        <v>3134.08</v>
      </c>
      <c r="J130" s="31">
        <v>4116.604</v>
      </c>
      <c r="K130" s="31">
        <v>2090</v>
      </c>
      <c r="L130" s="31">
        <v>2447</v>
      </c>
      <c r="M130" s="31">
        <v>3091</v>
      </c>
      <c r="N130" s="31">
        <v>4511</v>
      </c>
      <c r="O130" s="31">
        <v>5035</v>
      </c>
      <c r="P130" s="31">
        <v>5989</v>
      </c>
    </row>
    <row r="131" spans="3:16">
      <c r="C131" t="s">
        <v>101</v>
      </c>
      <c r="F131" s="31">
        <v>0</v>
      </c>
      <c r="G131" s="31">
        <v>0</v>
      </c>
      <c r="H131" s="31">
        <v>0</v>
      </c>
      <c r="I131" s="31">
        <v>5919.88</v>
      </c>
      <c r="J131" s="31">
        <v>6347.49</v>
      </c>
      <c r="K131" s="31">
        <v>6271</v>
      </c>
      <c r="L131" s="31">
        <v>6138</v>
      </c>
      <c r="M131" s="31">
        <v>5979</v>
      </c>
      <c r="N131" s="31">
        <v>5765</v>
      </c>
      <c r="O131" s="31">
        <v>5489</v>
      </c>
      <c r="P131" s="31">
        <v>5229</v>
      </c>
    </row>
    <row r="132" spans="3:16">
      <c r="C132" t="s">
        <v>102</v>
      </c>
      <c r="F132" s="31">
        <v>738.494</v>
      </c>
      <c r="G132" s="31">
        <v>1829.267</v>
      </c>
      <c r="H132" s="31">
        <v>3403.334</v>
      </c>
      <c r="I132" s="31">
        <v>5982.957</v>
      </c>
      <c r="J132" s="31">
        <v>10027.522</v>
      </c>
      <c r="K132" s="31">
        <v>11330</v>
      </c>
      <c r="L132" s="31">
        <v>10396</v>
      </c>
      <c r="M132" s="31">
        <v>12747</v>
      </c>
      <c r="N132" s="31">
        <v>18884</v>
      </c>
      <c r="O132" s="31">
        <v>23548</v>
      </c>
      <c r="P132" s="31">
        <v>29725</v>
      </c>
    </row>
    <row r="133" spans="3:16">
      <c r="C133" t="s">
        <v>103</v>
      </c>
      <c r="F133" s="31">
        <v>0</v>
      </c>
      <c r="G133" s="31">
        <v>0</v>
      </c>
      <c r="H133" s="31">
        <v>0</v>
      </c>
      <c r="I133" s="31">
        <v>0</v>
      </c>
      <c r="J133" s="31">
        <v>0</v>
      </c>
      <c r="K133" s="31">
        <v>0</v>
      </c>
      <c r="L133" s="31">
        <v>1218</v>
      </c>
      <c r="M133" s="31">
        <v>1558</v>
      </c>
      <c r="N133" s="31">
        <v>2016</v>
      </c>
      <c r="O133" s="31">
        <v>2563</v>
      </c>
      <c r="P133" s="31">
        <v>4180</v>
      </c>
    </row>
    <row r="134" spans="3:16">
      <c r="C134" t="s">
        <v>104</v>
      </c>
      <c r="F134" s="31">
        <v>0</v>
      </c>
      <c r="G134" s="31">
        <v>0</v>
      </c>
      <c r="H134" s="31">
        <v>0</v>
      </c>
      <c r="I134" s="31">
        <v>0</v>
      </c>
      <c r="J134" s="31">
        <v>0</v>
      </c>
      <c r="K134" s="31">
        <v>0</v>
      </c>
      <c r="L134" s="31">
        <v>0</v>
      </c>
      <c r="M134" s="31">
        <v>0</v>
      </c>
      <c r="N134" s="31">
        <v>1260</v>
      </c>
      <c r="O134" s="31">
        <v>184</v>
      </c>
      <c r="P134" s="31">
        <v>184</v>
      </c>
    </row>
    <row r="135" spans="3:16">
      <c r="C135" t="s">
        <v>105</v>
      </c>
      <c r="F135" s="31">
        <v>0</v>
      </c>
      <c r="G135" s="31">
        <v>0</v>
      </c>
      <c r="H135" s="31">
        <v>12.816</v>
      </c>
      <c r="I135" s="31">
        <v>376.145</v>
      </c>
      <c r="J135" s="31">
        <v>361.502</v>
      </c>
      <c r="K135" s="31">
        <v>282</v>
      </c>
      <c r="L135" s="31">
        <v>339</v>
      </c>
      <c r="M135" s="31">
        <v>313</v>
      </c>
      <c r="N135" s="31">
        <v>257</v>
      </c>
      <c r="O135" s="31">
        <v>215</v>
      </c>
      <c r="P135" s="31">
        <v>178</v>
      </c>
    </row>
    <row r="136" spans="3:16">
      <c r="C136" t="s">
        <v>106</v>
      </c>
      <c r="F136" s="31">
        <v>0</v>
      </c>
      <c r="G136" s="31">
        <v>0</v>
      </c>
      <c r="H136" s="31">
        <v>0</v>
      </c>
      <c r="I136" s="31">
        <v>0</v>
      </c>
      <c r="J136" s="31">
        <v>60.237</v>
      </c>
      <c r="K136" s="31">
        <v>68</v>
      </c>
      <c r="L136" s="31">
        <v>198</v>
      </c>
      <c r="M136" s="31">
        <v>207</v>
      </c>
      <c r="N136" s="31">
        <v>200</v>
      </c>
      <c r="O136" s="31">
        <v>194</v>
      </c>
      <c r="P136" s="31">
        <v>253</v>
      </c>
    </row>
    <row r="137" spans="3:16">
      <c r="C137" t="s">
        <v>107</v>
      </c>
      <c r="F137" s="31">
        <f>6.435+23.637</f>
        <v>30.072</v>
      </c>
      <c r="G137" s="31">
        <f>11.374+43.209</f>
        <v>54.583</v>
      </c>
      <c r="H137" s="31">
        <f>31.522+46.858</f>
        <v>78.38</v>
      </c>
      <c r="I137" s="31">
        <f>506.302+268.165+216.751</f>
        <v>991.218</v>
      </c>
      <c r="J137" s="31">
        <f>456.652+441.722+273.123</f>
        <v>1171.497</v>
      </c>
      <c r="K137" s="31">
        <f>422+398+572</f>
        <v>1392</v>
      </c>
      <c r="L137" s="31">
        <v>1470</v>
      </c>
      <c r="M137" s="31">
        <v>1536</v>
      </c>
      <c r="N137" s="31">
        <v>2138</v>
      </c>
      <c r="O137" s="31">
        <f>3865+328</f>
        <v>4193</v>
      </c>
      <c r="P137" s="31">
        <f>4531+6733</f>
        <v>11264</v>
      </c>
    </row>
    <row r="138" spans="2:16">
      <c r="B138" t="s">
        <v>108</v>
      </c>
      <c r="F138" s="38">
        <f t="shared" ref="F138:P138" si="61">SUM(F130:F137)</f>
        <v>1150.991</v>
      </c>
      <c r="G138" s="38">
        <f t="shared" si="61"/>
        <v>2650.594</v>
      </c>
      <c r="H138" s="38">
        <f t="shared" si="61"/>
        <v>5285.933</v>
      </c>
      <c r="I138" s="38">
        <f t="shared" si="61"/>
        <v>16404.28</v>
      </c>
      <c r="J138" s="38">
        <f t="shared" si="61"/>
        <v>22084.852</v>
      </c>
      <c r="K138" s="38">
        <f t="shared" si="61"/>
        <v>21433</v>
      </c>
      <c r="L138" s="38">
        <f t="shared" si="61"/>
        <v>22206</v>
      </c>
      <c r="M138" s="38">
        <f t="shared" si="61"/>
        <v>25431</v>
      </c>
      <c r="N138" s="38">
        <f t="shared" si="61"/>
        <v>35031</v>
      </c>
      <c r="O138" s="38">
        <f t="shared" si="61"/>
        <v>41421</v>
      </c>
      <c r="P138" s="38">
        <f t="shared" si="61"/>
        <v>57002</v>
      </c>
    </row>
    <row r="140" spans="2:16">
      <c r="B140" t="s">
        <v>109</v>
      </c>
      <c r="F140" s="38">
        <f t="shared" ref="F140:L140" si="62">F127+F138</f>
        <v>2416.93</v>
      </c>
      <c r="G140" s="38">
        <f t="shared" si="62"/>
        <v>5830.667</v>
      </c>
      <c r="H140" s="38">
        <f t="shared" si="62"/>
        <v>8067.939</v>
      </c>
      <c r="I140" s="38">
        <f t="shared" si="62"/>
        <v>22664.076</v>
      </c>
      <c r="J140" s="38">
        <f t="shared" si="62"/>
        <v>28655.372</v>
      </c>
      <c r="K140" s="38">
        <f t="shared" si="62"/>
        <v>29740</v>
      </c>
      <c r="L140" s="38">
        <f t="shared" si="62"/>
        <v>34309</v>
      </c>
      <c r="M140" s="38">
        <f t="shared" ref="L140:P140" si="63">M127+M138</f>
        <v>52148</v>
      </c>
      <c r="N140" s="38">
        <f t="shared" si="63"/>
        <v>62131</v>
      </c>
      <c r="O140" s="38">
        <f t="shared" si="63"/>
        <v>82338</v>
      </c>
      <c r="P140" s="38">
        <f t="shared" si="63"/>
        <v>106618</v>
      </c>
    </row>
    <row r="142" spans="2:2">
      <c r="B142" t="s">
        <v>110</v>
      </c>
    </row>
    <row r="143" spans="3:16">
      <c r="C143" t="s">
        <v>111</v>
      </c>
      <c r="F143" s="31">
        <v>303.969</v>
      </c>
      <c r="G143" s="31">
        <v>777.946</v>
      </c>
      <c r="H143" s="31">
        <v>916.148</v>
      </c>
      <c r="I143" s="31">
        <v>1860.341</v>
      </c>
      <c r="J143" s="31">
        <v>2390.25</v>
      </c>
      <c r="K143" s="31">
        <v>3405</v>
      </c>
      <c r="L143" s="31">
        <v>3771</v>
      </c>
      <c r="M143" s="31">
        <v>6051</v>
      </c>
      <c r="N143" s="31">
        <v>10025</v>
      </c>
      <c r="O143" s="31">
        <v>15255</v>
      </c>
      <c r="P143" s="31">
        <v>14431</v>
      </c>
    </row>
    <row r="144" spans="3:16">
      <c r="C144" t="s">
        <v>112</v>
      </c>
      <c r="F144" s="31">
        <f>108.252+7.722+163.153</f>
        <v>279.127</v>
      </c>
      <c r="G144" s="31">
        <f>268.883+257.587</f>
        <v>526.47</v>
      </c>
      <c r="H144" s="31">
        <f>422.798+136.831+283.37</f>
        <v>842.999</v>
      </c>
      <c r="I144" s="31">
        <f>1210.028+179.504+663.859</f>
        <v>2053.391</v>
      </c>
      <c r="J144" s="31">
        <f>1731.366+787.333+853.919</f>
        <v>3372.618</v>
      </c>
      <c r="K144" s="31">
        <f>2094+503+793</f>
        <v>3390</v>
      </c>
      <c r="L144" s="31">
        <f>3222+726</f>
        <v>3948</v>
      </c>
      <c r="M144" s="31">
        <f>3855+752</f>
        <v>4607</v>
      </c>
      <c r="N144" s="31">
        <f>5719+925</f>
        <v>6644</v>
      </c>
      <c r="O144" s="31">
        <v>8205</v>
      </c>
      <c r="P144" s="31">
        <v>9080</v>
      </c>
    </row>
    <row r="145" spans="3:16">
      <c r="C145" t="s">
        <v>113</v>
      </c>
      <c r="F145" s="31">
        <v>91.882</v>
      </c>
      <c r="G145" s="31">
        <v>191.651</v>
      </c>
      <c r="H145" s="31">
        <v>423.961</v>
      </c>
      <c r="I145" s="31">
        <v>763.126</v>
      </c>
      <c r="J145" s="31">
        <v>1015.253</v>
      </c>
      <c r="K145" s="31">
        <v>630</v>
      </c>
      <c r="L145" s="31">
        <v>1163</v>
      </c>
      <c r="M145" s="31">
        <v>1458</v>
      </c>
      <c r="N145" s="31">
        <v>1447</v>
      </c>
      <c r="O145" s="31">
        <v>1747</v>
      </c>
      <c r="P145" s="31">
        <v>2864</v>
      </c>
    </row>
    <row r="146" spans="3:16">
      <c r="C146" t="s">
        <v>114</v>
      </c>
      <c r="F146" s="31">
        <v>0.182</v>
      </c>
      <c r="G146" s="31">
        <v>611.099</v>
      </c>
      <c r="H146" s="31">
        <v>627.927</v>
      </c>
      <c r="I146" s="31">
        <f>984.211+165.936</f>
        <v>1150.147</v>
      </c>
      <c r="J146" s="31">
        <f>796.549+100</f>
        <v>896.549</v>
      </c>
      <c r="K146" s="31">
        <v>2568</v>
      </c>
      <c r="L146" s="31">
        <v>1785</v>
      </c>
      <c r="M146" s="31">
        <v>2132</v>
      </c>
      <c r="N146" s="31">
        <v>1589</v>
      </c>
      <c r="O146" s="31">
        <v>1502</v>
      </c>
      <c r="P146" s="31">
        <v>2373</v>
      </c>
    </row>
    <row r="147" spans="2:16">
      <c r="B147" t="s">
        <v>115</v>
      </c>
      <c r="F147" s="38">
        <f t="shared" ref="F147:P147" si="64">SUM(F143:F146)</f>
        <v>675.16</v>
      </c>
      <c r="G147" s="38">
        <f t="shared" si="64"/>
        <v>2107.166</v>
      </c>
      <c r="H147" s="38">
        <f t="shared" si="64"/>
        <v>2811.035</v>
      </c>
      <c r="I147" s="38">
        <f t="shared" si="64"/>
        <v>5827.005</v>
      </c>
      <c r="J147" s="38">
        <f t="shared" si="64"/>
        <v>7674.67</v>
      </c>
      <c r="K147" s="38">
        <f t="shared" si="64"/>
        <v>9993</v>
      </c>
      <c r="L147" s="38">
        <f t="shared" si="64"/>
        <v>10667</v>
      </c>
      <c r="M147" s="38">
        <f t="shared" si="64"/>
        <v>14248</v>
      </c>
      <c r="N147" s="38">
        <f t="shared" si="64"/>
        <v>19705</v>
      </c>
      <c r="O147" s="38">
        <f t="shared" si="64"/>
        <v>26709</v>
      </c>
      <c r="P147" s="38">
        <f t="shared" si="64"/>
        <v>28748</v>
      </c>
    </row>
    <row r="149" spans="2:2">
      <c r="B149" t="s">
        <v>116</v>
      </c>
    </row>
    <row r="150" spans="3:16">
      <c r="C150" t="s">
        <v>114</v>
      </c>
      <c r="F150" s="31">
        <v>586.119</v>
      </c>
      <c r="G150" s="31">
        <v>1818.785</v>
      </c>
      <c r="H150" s="31">
        <v>2021.093</v>
      </c>
      <c r="I150" s="31">
        <f>5860.049+99.164+10.287</f>
        <v>5969.5</v>
      </c>
      <c r="J150" s="31">
        <v>9418.319</v>
      </c>
      <c r="K150" s="31">
        <v>9404</v>
      </c>
      <c r="L150" s="31">
        <v>11634</v>
      </c>
      <c r="M150" s="31">
        <v>9556</v>
      </c>
      <c r="N150" s="31">
        <v>5245</v>
      </c>
      <c r="O150" s="31">
        <v>1597</v>
      </c>
      <c r="P150" s="31">
        <v>2857</v>
      </c>
    </row>
    <row r="151" spans="3:16">
      <c r="C151" t="s">
        <v>113</v>
      </c>
      <c r="F151" s="31">
        <v>181.18</v>
      </c>
      <c r="G151" s="31">
        <v>292.271</v>
      </c>
      <c r="H151" s="31">
        <v>446.105</v>
      </c>
      <c r="I151" s="31">
        <v>851.79</v>
      </c>
      <c r="J151" s="31">
        <v>1177.799</v>
      </c>
      <c r="K151" s="31">
        <v>991</v>
      </c>
      <c r="L151" s="31">
        <v>1207</v>
      </c>
      <c r="M151" s="31">
        <v>1284</v>
      </c>
      <c r="N151" s="31">
        <v>2052</v>
      </c>
      <c r="O151" s="31">
        <v>2804</v>
      </c>
      <c r="P151" s="31">
        <v>3251</v>
      </c>
    </row>
    <row r="152" spans="3:16">
      <c r="C152" t="s">
        <v>117</v>
      </c>
      <c r="F152" s="31">
        <f>12.855+236.299+58.197</f>
        <v>307.351</v>
      </c>
      <c r="G152" s="31">
        <f>487.879+154.66</f>
        <v>642.539</v>
      </c>
      <c r="H152" s="31">
        <f>1293.741+364.976</f>
        <v>1658.717</v>
      </c>
      <c r="I152" s="31">
        <f>2210.423+1891.449</f>
        <v>4101.872</v>
      </c>
      <c r="J152" s="31">
        <f>2309.222+2442.97</f>
        <v>4752.192</v>
      </c>
      <c r="K152" s="31">
        <f>329+2710</f>
        <v>3039</v>
      </c>
      <c r="L152" s="31">
        <v>2691</v>
      </c>
      <c r="M152" s="31">
        <v>3330</v>
      </c>
      <c r="N152" s="31">
        <v>3546</v>
      </c>
      <c r="O152" s="31">
        <v>5330</v>
      </c>
      <c r="P152" s="31">
        <v>8153</v>
      </c>
    </row>
    <row r="153" spans="2:16">
      <c r="B153" t="s">
        <v>118</v>
      </c>
      <c r="F153" s="38">
        <f t="shared" ref="F153:P153" si="65">SUM(F150:F152)</f>
        <v>1074.65</v>
      </c>
      <c r="G153" s="38">
        <f t="shared" si="65"/>
        <v>2753.595</v>
      </c>
      <c r="H153" s="38">
        <f t="shared" si="65"/>
        <v>4125.915</v>
      </c>
      <c r="I153" s="38">
        <f t="shared" si="65"/>
        <v>10923.162</v>
      </c>
      <c r="J153" s="38">
        <f t="shared" si="65"/>
        <v>15348.31</v>
      </c>
      <c r="K153" s="38">
        <f t="shared" si="65"/>
        <v>13434</v>
      </c>
      <c r="L153" s="38">
        <f t="shared" si="65"/>
        <v>15532</v>
      </c>
      <c r="M153" s="38">
        <f t="shared" si="65"/>
        <v>14170</v>
      </c>
      <c r="N153" s="38">
        <f t="shared" si="65"/>
        <v>10843</v>
      </c>
      <c r="O153" s="38">
        <f t="shared" si="65"/>
        <v>9731</v>
      </c>
      <c r="P153" s="38">
        <f t="shared" si="65"/>
        <v>14261</v>
      </c>
    </row>
    <row r="155" spans="2:16">
      <c r="B155" t="s">
        <v>119</v>
      </c>
      <c r="F155" s="38">
        <f t="shared" ref="F155:L155" si="66">F147+F153</f>
        <v>1749.81</v>
      </c>
      <c r="G155" s="38">
        <f t="shared" si="66"/>
        <v>4860.761</v>
      </c>
      <c r="H155" s="38">
        <f t="shared" si="66"/>
        <v>6936.95</v>
      </c>
      <c r="I155" s="38">
        <f t="shared" si="66"/>
        <v>16750.167</v>
      </c>
      <c r="J155" s="38">
        <f t="shared" si="66"/>
        <v>23022.98</v>
      </c>
      <c r="K155" s="38">
        <f t="shared" si="66"/>
        <v>23427</v>
      </c>
      <c r="L155" s="38">
        <f t="shared" si="66"/>
        <v>26199</v>
      </c>
      <c r="M155" s="38">
        <f t="shared" ref="L155:P155" si="67">M147+M153</f>
        <v>28418</v>
      </c>
      <c r="N155" s="38">
        <f t="shared" si="67"/>
        <v>30548</v>
      </c>
      <c r="O155" s="38">
        <f t="shared" si="67"/>
        <v>36440</v>
      </c>
      <c r="P155" s="38">
        <f t="shared" si="67"/>
        <v>43009</v>
      </c>
    </row>
    <row r="157" spans="2:2">
      <c r="B157" t="s">
        <v>120</v>
      </c>
    </row>
    <row r="158" spans="3:16">
      <c r="C158" t="s">
        <v>121</v>
      </c>
      <c r="F158" s="31">
        <v>0</v>
      </c>
      <c r="G158" s="31">
        <v>0</v>
      </c>
      <c r="H158" s="31">
        <v>0</v>
      </c>
      <c r="I158" s="31">
        <v>367.039</v>
      </c>
      <c r="J158" s="31">
        <v>397.734</v>
      </c>
      <c r="K158" s="31">
        <v>556</v>
      </c>
      <c r="L158" s="31">
        <v>643</v>
      </c>
      <c r="M158" s="31">
        <v>604</v>
      </c>
      <c r="N158" s="31">
        <v>568</v>
      </c>
      <c r="O158" s="31">
        <v>409</v>
      </c>
      <c r="P158" s="31">
        <v>242</v>
      </c>
    </row>
    <row r="159" spans="3:16">
      <c r="C159" t="s">
        <v>122</v>
      </c>
      <c r="F159" s="31">
        <v>0</v>
      </c>
      <c r="G159" s="31">
        <v>58.196</v>
      </c>
      <c r="H159" s="31">
        <v>47.285</v>
      </c>
      <c r="I159" s="31">
        <v>8.784</v>
      </c>
      <c r="J159" s="31">
        <v>0.07</v>
      </c>
      <c r="K159" s="31">
        <v>0</v>
      </c>
      <c r="L159" s="31">
        <v>0</v>
      </c>
      <c r="M159" s="31">
        <v>51</v>
      </c>
      <c r="N159" s="31">
        <v>0</v>
      </c>
      <c r="O159" s="31">
        <v>0</v>
      </c>
      <c r="P159" s="31">
        <v>0</v>
      </c>
    </row>
    <row r="160" spans="3:16">
      <c r="C160" t="s">
        <v>123</v>
      </c>
      <c r="F160" s="31">
        <v>0.123</v>
      </c>
      <c r="G160" s="31">
        <v>0.126</v>
      </c>
      <c r="H160" s="31">
        <v>0.131</v>
      </c>
      <c r="I160" s="31">
        <v>0.161</v>
      </c>
      <c r="J160" s="31">
        <v>0.169</v>
      </c>
      <c r="K160" s="31">
        <v>0</v>
      </c>
      <c r="L160" s="31">
        <v>1</v>
      </c>
      <c r="M160" s="31">
        <v>1</v>
      </c>
      <c r="N160" s="31">
        <v>3</v>
      </c>
      <c r="O160" s="31">
        <v>3</v>
      </c>
      <c r="P160" s="31">
        <v>3</v>
      </c>
    </row>
    <row r="161" spans="3:16">
      <c r="C161" t="s">
        <v>124</v>
      </c>
      <c r="F161" s="31">
        <v>1806.617</v>
      </c>
      <c r="G161" s="31">
        <v>2345.266</v>
      </c>
      <c r="H161" s="31">
        <v>3409.452</v>
      </c>
      <c r="I161" s="31">
        <v>7773.727</v>
      </c>
      <c r="J161" s="31">
        <v>9178.024</v>
      </c>
      <c r="K161" s="31">
        <v>10249</v>
      </c>
      <c r="L161" s="31">
        <v>12736</v>
      </c>
      <c r="M161" s="31">
        <v>27260</v>
      </c>
      <c r="N161" s="31">
        <v>29803</v>
      </c>
      <c r="O161" s="31">
        <v>32177</v>
      </c>
      <c r="P161" s="31">
        <v>34892</v>
      </c>
    </row>
    <row r="162" spans="3:16">
      <c r="C162" t="s">
        <v>125</v>
      </c>
      <c r="F162" s="31">
        <v>0</v>
      </c>
      <c r="G162" s="31">
        <v>0.022</v>
      </c>
      <c r="H162" s="31">
        <v>-3.556</v>
      </c>
      <c r="I162" s="31">
        <v>-23.74</v>
      </c>
      <c r="J162" s="31">
        <v>33.348</v>
      </c>
      <c r="K162" s="31">
        <v>-8</v>
      </c>
      <c r="L162" s="31">
        <v>-36</v>
      </c>
      <c r="M162" s="31">
        <v>363</v>
      </c>
      <c r="N162" s="31">
        <v>54</v>
      </c>
      <c r="O162" s="31">
        <v>-361</v>
      </c>
      <c r="P162" s="31">
        <v>-143</v>
      </c>
    </row>
    <row r="163" spans="3:16">
      <c r="C163" t="s">
        <v>126</v>
      </c>
      <c r="F163" s="31">
        <v>-1139.62</v>
      </c>
      <c r="G163" s="31">
        <v>-1433.66</v>
      </c>
      <c r="H163" s="31">
        <v>-2322.323</v>
      </c>
      <c r="I163" s="31">
        <v>-2997.237</v>
      </c>
      <c r="J163" s="31">
        <v>-4974.299</v>
      </c>
      <c r="K163" s="31">
        <v>-5318</v>
      </c>
      <c r="L163" s="31">
        <v>-6083</v>
      </c>
      <c r="M163" s="31">
        <v>-5399</v>
      </c>
      <c r="N163" s="31">
        <v>329</v>
      </c>
      <c r="O163" s="31">
        <v>12885</v>
      </c>
      <c r="P163" s="31">
        <v>27882</v>
      </c>
    </row>
    <row r="164" spans="3:16">
      <c r="C164" t="s">
        <v>127</v>
      </c>
      <c r="F164" s="31">
        <v>0</v>
      </c>
      <c r="G164" s="31">
        <v>0</v>
      </c>
      <c r="H164" s="31">
        <v>0</v>
      </c>
      <c r="I164" s="31">
        <v>785.175</v>
      </c>
      <c r="J164" s="31">
        <v>997.346</v>
      </c>
      <c r="K164" s="31">
        <v>834</v>
      </c>
      <c r="L164" s="31">
        <v>849</v>
      </c>
      <c r="M164" s="31">
        <v>850</v>
      </c>
      <c r="N164" s="31">
        <v>826</v>
      </c>
      <c r="O164" s="31">
        <v>785</v>
      </c>
      <c r="P164" s="31">
        <v>733</v>
      </c>
    </row>
    <row r="165" spans="2:16">
      <c r="B165" t="s">
        <v>128</v>
      </c>
      <c r="F165" s="38">
        <f t="shared" ref="F165:O165" si="68">SUM(F158:F164)</f>
        <v>667.12</v>
      </c>
      <c r="G165" s="38">
        <f t="shared" si="68"/>
        <v>969.95</v>
      </c>
      <c r="H165" s="38">
        <f t="shared" si="68"/>
        <v>1130.989</v>
      </c>
      <c r="I165" s="38">
        <f t="shared" si="68"/>
        <v>5913.909</v>
      </c>
      <c r="J165" s="38">
        <f t="shared" si="68"/>
        <v>5632.392</v>
      </c>
      <c r="K165" s="38">
        <f t="shared" si="68"/>
        <v>6313</v>
      </c>
      <c r="L165" s="38">
        <f t="shared" si="68"/>
        <v>8110</v>
      </c>
      <c r="M165" s="38">
        <f t="shared" si="68"/>
        <v>23730</v>
      </c>
      <c r="N165" s="38">
        <f t="shared" si="68"/>
        <v>31583</v>
      </c>
      <c r="O165" s="38">
        <f t="shared" si="68"/>
        <v>45898</v>
      </c>
      <c r="P165" s="38">
        <f>SUM(P158:P164)</f>
        <v>63609</v>
      </c>
    </row>
    <row r="167" spans="2:16">
      <c r="B167" t="s">
        <v>129</v>
      </c>
      <c r="F167" s="38">
        <f t="shared" ref="F167:L167" si="69">F155+F165</f>
        <v>2416.93</v>
      </c>
      <c r="G167" s="38">
        <f t="shared" si="69"/>
        <v>5830.711</v>
      </c>
      <c r="H167" s="38">
        <f t="shared" si="69"/>
        <v>8067.939</v>
      </c>
      <c r="I167" s="38">
        <f t="shared" si="69"/>
        <v>22664.076</v>
      </c>
      <c r="J167" s="38">
        <f t="shared" si="69"/>
        <v>28655.372</v>
      </c>
      <c r="K167" s="38">
        <f t="shared" si="69"/>
        <v>29740</v>
      </c>
      <c r="L167" s="38">
        <f t="shared" si="69"/>
        <v>34309</v>
      </c>
      <c r="M167" s="38">
        <f t="shared" ref="L167:P167" si="70">M155+M165</f>
        <v>52148</v>
      </c>
      <c r="N167" s="38">
        <f t="shared" si="70"/>
        <v>62131</v>
      </c>
      <c r="O167" s="38">
        <f t="shared" si="70"/>
        <v>82338</v>
      </c>
      <c r="P167" s="38">
        <f t="shared" si="70"/>
        <v>106618</v>
      </c>
    </row>
    <row r="169" ht="15.75" spans="3:4">
      <c r="C169" s="39" t="s">
        <v>4</v>
      </c>
      <c r="D169" s="40"/>
    </row>
    <row r="170" s="26" customFormat="1" spans="3:23">
      <c r="C170" s="44" t="s">
        <v>130</v>
      </c>
      <c r="D170" s="59"/>
      <c r="E170" s="32"/>
      <c r="F170" s="32">
        <f t="shared" ref="F170:P170" si="71">F155/F140</f>
        <v>0.723980421443732</v>
      </c>
      <c r="G170" s="32">
        <f t="shared" si="71"/>
        <v>0.833654365786967</v>
      </c>
      <c r="H170" s="32">
        <f t="shared" si="71"/>
        <v>0.859816862770033</v>
      </c>
      <c r="I170" s="32">
        <f t="shared" si="71"/>
        <v>0.739062426370261</v>
      </c>
      <c r="J170" s="32">
        <f t="shared" si="71"/>
        <v>0.803443766146187</v>
      </c>
      <c r="K170" s="32">
        <f t="shared" si="71"/>
        <v>0.787726967047747</v>
      </c>
      <c r="L170" s="32">
        <f t="shared" si="71"/>
        <v>0.763618875513714</v>
      </c>
      <c r="M170" s="32">
        <f t="shared" si="71"/>
        <v>0.544948991332362</v>
      </c>
      <c r="N170" s="32">
        <f t="shared" si="71"/>
        <v>0.491670824548132</v>
      </c>
      <c r="O170" s="32">
        <f t="shared" si="71"/>
        <v>0.442566008404382</v>
      </c>
      <c r="P170" s="32">
        <f t="shared" si="71"/>
        <v>0.403393423249358</v>
      </c>
      <c r="Q170" s="32"/>
      <c r="R170" s="73">
        <f>AVERAGE(E170:Q170)</f>
        <v>0.67217117569208</v>
      </c>
      <c r="S170" s="32"/>
      <c r="T170" s="32"/>
      <c r="U170" s="32"/>
      <c r="V170" s="32"/>
      <c r="W170" s="32"/>
    </row>
    <row r="171" s="26" customFormat="1" spans="3:23">
      <c r="C171" s="44" t="s">
        <v>131</v>
      </c>
      <c r="D171" s="59"/>
      <c r="E171" s="32"/>
      <c r="F171" s="32">
        <f t="shared" ref="F171:P171" si="72">F155/F165</f>
        <v>2.62293140664348</v>
      </c>
      <c r="G171" s="32">
        <f t="shared" si="72"/>
        <v>5.01135213155317</v>
      </c>
      <c r="H171" s="32">
        <f t="shared" si="72"/>
        <v>6.13352561342329</v>
      </c>
      <c r="I171" s="32">
        <f t="shared" si="72"/>
        <v>2.83233424795681</v>
      </c>
      <c r="J171" s="32">
        <f t="shared" si="72"/>
        <v>4.08760256743494</v>
      </c>
      <c r="K171" s="32">
        <f t="shared" si="72"/>
        <v>3.71091398701093</v>
      </c>
      <c r="L171" s="32">
        <f t="shared" si="72"/>
        <v>3.23045622688039</v>
      </c>
      <c r="M171" s="32">
        <f t="shared" si="72"/>
        <v>1.19755583649389</v>
      </c>
      <c r="N171" s="32">
        <f t="shared" si="72"/>
        <v>0.967229205585283</v>
      </c>
      <c r="O171" s="32">
        <f t="shared" si="72"/>
        <v>0.793934376225544</v>
      </c>
      <c r="P171" s="32">
        <f t="shared" si="72"/>
        <v>0.676146457262337</v>
      </c>
      <c r="Q171" s="32"/>
      <c r="R171" s="73">
        <f>AVERAGE(E171:Q171)</f>
        <v>2.84218018695182</v>
      </c>
      <c r="S171" s="32"/>
      <c r="T171" s="32"/>
      <c r="U171" s="32"/>
      <c r="V171" s="32"/>
      <c r="W171" s="32"/>
    </row>
    <row r="172" s="26" customFormat="1" spans="3:23">
      <c r="C172" s="44" t="s">
        <v>132</v>
      </c>
      <c r="D172" s="59"/>
      <c r="E172" s="32"/>
      <c r="F172" s="32">
        <f t="shared" ref="F172:O172" si="73">F155/F64</f>
        <v>0.869040713266875</v>
      </c>
      <c r="G172" s="32">
        <f t="shared" si="73"/>
        <v>1.51976859361497</v>
      </c>
      <c r="H172" s="32">
        <f t="shared" si="73"/>
        <v>1.71450992023035</v>
      </c>
      <c r="I172" s="32">
        <f t="shared" si="73"/>
        <v>2.39283587795202</v>
      </c>
      <c r="J172" s="32">
        <f t="shared" si="73"/>
        <v>1.95790288289821</v>
      </c>
      <c r="K172" s="32">
        <f t="shared" si="73"/>
        <v>1.09160803317646</v>
      </c>
      <c r="L172" s="32">
        <f t="shared" si="73"/>
        <v>1.06595329156156</v>
      </c>
      <c r="M172" s="32">
        <f t="shared" si="73"/>
        <v>0.901128868594622</v>
      </c>
      <c r="N172" s="32">
        <f t="shared" si="73"/>
        <v>0.567564052542593</v>
      </c>
      <c r="O172" s="32">
        <f t="shared" si="73"/>
        <v>0.447325133190936</v>
      </c>
      <c r="P172" s="32">
        <f>P155/P64</f>
        <v>0.444431814659047</v>
      </c>
      <c r="Q172" s="32"/>
      <c r="R172" s="73">
        <f>AVERAGE(E172:Q172)</f>
        <v>1.17927901651706</v>
      </c>
      <c r="S172" s="32"/>
      <c r="T172" s="32"/>
      <c r="U172" s="32"/>
      <c r="V172" s="32"/>
      <c r="W172" s="32"/>
    </row>
    <row r="174" customFormat="1" ht="15.75" spans="3:22">
      <c r="C174" s="39" t="s">
        <v>5</v>
      </c>
      <c r="D174" s="40"/>
      <c r="E174" s="30"/>
      <c r="F174" s="31"/>
      <c r="G174" s="31"/>
      <c r="H174" s="31"/>
      <c r="I174" s="31"/>
      <c r="J174" s="31"/>
      <c r="K174" s="31"/>
      <c r="L174" s="31"/>
      <c r="M174" s="31"/>
      <c r="N174" s="31"/>
      <c r="O174" s="31"/>
      <c r="P174" s="31"/>
      <c r="Q174" s="30"/>
      <c r="R174" s="31"/>
      <c r="S174" s="32"/>
      <c r="T174" s="32"/>
      <c r="U174" s="32"/>
      <c r="V174" s="31"/>
    </row>
    <row r="175" customFormat="1" spans="3:22">
      <c r="C175" s="44" t="s">
        <v>133</v>
      </c>
      <c r="D175" s="59"/>
      <c r="E175" s="32"/>
      <c r="F175" s="32">
        <f t="shared" ref="F175:O175" si="74">F72/F125</f>
        <v>4.57532282469774</v>
      </c>
      <c r="G175" s="32">
        <f t="shared" si="74"/>
        <v>2.42921854929614</v>
      </c>
      <c r="H175" s="32">
        <f t="shared" si="74"/>
        <v>2.4435977017431</v>
      </c>
      <c r="I175" s="32">
        <f t="shared" si="74"/>
        <v>2.612331398909</v>
      </c>
      <c r="J175" s="32">
        <f t="shared" si="74"/>
        <v>4.21287568968389</v>
      </c>
      <c r="K175" s="32">
        <f t="shared" si="74"/>
        <v>5.59556697719242</v>
      </c>
      <c r="L175" s="32">
        <f t="shared" si="74"/>
        <v>5.77393018018018</v>
      </c>
      <c r="M175" s="32">
        <f t="shared" si="74"/>
        <v>6.07315288953914</v>
      </c>
      <c r="N175" s="32">
        <f t="shared" si="74"/>
        <v>6.98575647038388</v>
      </c>
      <c r="O175" s="32">
        <f t="shared" si="74"/>
        <v>4.72069475815873</v>
      </c>
      <c r="P175" s="32">
        <f>P72/P125</f>
        <v>5.80603258476442</v>
      </c>
      <c r="Q175" s="32"/>
      <c r="R175" s="73">
        <f>AVERAGE(E175:Q175)</f>
        <v>4.65713454768624</v>
      </c>
      <c r="S175" s="32"/>
      <c r="T175" s="32"/>
      <c r="U175" s="32"/>
      <c r="V175" s="31"/>
    </row>
    <row r="176" s="26" customFormat="1" spans="3:22">
      <c r="C176" s="44" t="s">
        <v>134</v>
      </c>
      <c r="D176" s="59"/>
      <c r="E176" s="32"/>
      <c r="F176" s="32">
        <f t="shared" ref="F176:O176" si="75">F64/F124</f>
        <v>41.0005497973895</v>
      </c>
      <c r="G176" s="32">
        <f t="shared" si="75"/>
        <v>14.1142963054492</v>
      </c>
      <c r="H176" s="32">
        <f t="shared" si="75"/>
        <v>23.9459355487823</v>
      </c>
      <c r="I176" s="32">
        <f t="shared" si="75"/>
        <v>14.0243297498507</v>
      </c>
      <c r="J176" s="32">
        <f t="shared" si="75"/>
        <v>22.8161302027044</v>
      </c>
      <c r="K176" s="32">
        <f t="shared" si="75"/>
        <v>22.6143308746048</v>
      </c>
      <c r="L176" s="32">
        <f t="shared" si="75"/>
        <v>18.5634441087613</v>
      </c>
      <c r="M176" s="32">
        <f t="shared" si="75"/>
        <v>16.7211028632025</v>
      </c>
      <c r="N176" s="32">
        <f t="shared" si="75"/>
        <v>28.1353894406691</v>
      </c>
      <c r="O176" s="32">
        <f t="shared" si="75"/>
        <v>27.5955284552846</v>
      </c>
      <c r="P176" s="32">
        <f>P64/P124</f>
        <v>27.5863740022805</v>
      </c>
      <c r="Q176" s="32"/>
      <c r="R176" s="73">
        <f>AVERAGE(E176:Q176)</f>
        <v>23.3743101226345</v>
      </c>
      <c r="V176" s="32"/>
    </row>
    <row r="177" s="26" customFormat="1" spans="3:22">
      <c r="C177" s="44" t="s">
        <v>135</v>
      </c>
      <c r="D177" s="59"/>
      <c r="E177" s="32"/>
      <c r="F177" s="32">
        <f t="shared" ref="F177:O177" si="76">F72/F143</f>
        <v>5.12300267461485</v>
      </c>
      <c r="G177" s="32">
        <f t="shared" si="76"/>
        <v>2.97795091175994</v>
      </c>
      <c r="H177" s="32">
        <f t="shared" si="76"/>
        <v>3.40831612359575</v>
      </c>
      <c r="I177" s="32">
        <f t="shared" si="76"/>
        <v>2.90316398982767</v>
      </c>
      <c r="J177" s="32">
        <f t="shared" si="76"/>
        <v>3.98954084300805</v>
      </c>
      <c r="K177" s="32">
        <f t="shared" si="76"/>
        <v>5.11571218795888</v>
      </c>
      <c r="L177" s="32">
        <f t="shared" si="76"/>
        <v>5.43861044815699</v>
      </c>
      <c r="M177" s="32">
        <f t="shared" si="76"/>
        <v>4.11601388200297</v>
      </c>
      <c r="N177" s="32">
        <f t="shared" si="76"/>
        <v>4.01167082294264</v>
      </c>
      <c r="O177" s="32">
        <f t="shared" si="76"/>
        <v>3.97305801376598</v>
      </c>
      <c r="P177" s="32">
        <f>P72/P143</f>
        <v>5.48215646871319</v>
      </c>
      <c r="Q177" s="32"/>
      <c r="R177" s="73">
        <f>AVERAGE(E177:Q177)</f>
        <v>4.23083603330427</v>
      </c>
      <c r="V177" s="32"/>
    </row>
    <row r="181" ht="15.75" spans="2:16">
      <c r="B181" s="35" t="s">
        <v>136</v>
      </c>
      <c r="F181" s="72">
        <f t="shared" ref="F181:P181" si="77">F96</f>
        <v>-74.0140000000001</v>
      </c>
      <c r="G181" s="72">
        <f t="shared" si="77"/>
        <v>-294.040000000001</v>
      </c>
      <c r="H181" s="72">
        <f t="shared" si="77"/>
        <v>-888.663</v>
      </c>
      <c r="I181" s="72">
        <f t="shared" si="77"/>
        <v>-773.046000000001</v>
      </c>
      <c r="J181" s="72">
        <f t="shared" si="77"/>
        <v>-2241</v>
      </c>
      <c r="K181" s="72">
        <f t="shared" si="77"/>
        <v>-1063</v>
      </c>
      <c r="L181" s="72">
        <f t="shared" si="77"/>
        <v>-775</v>
      </c>
      <c r="M181" s="72">
        <f t="shared" si="77"/>
        <v>862</v>
      </c>
      <c r="N181" s="72">
        <f t="shared" si="77"/>
        <v>5644</v>
      </c>
      <c r="O181" s="72">
        <f t="shared" si="77"/>
        <v>12587</v>
      </c>
      <c r="P181" s="72">
        <f t="shared" si="77"/>
        <v>14974</v>
      </c>
    </row>
    <row r="182" spans="2:2">
      <c r="B182" t="s">
        <v>137</v>
      </c>
    </row>
    <row r="183" spans="3:16">
      <c r="C183" t="s">
        <v>138</v>
      </c>
      <c r="F183" s="31">
        <v>-74.014</v>
      </c>
      <c r="G183" s="31">
        <v>-294.04</v>
      </c>
      <c r="H183" s="31">
        <v>-888.663</v>
      </c>
      <c r="I183" s="31">
        <v>-773.046</v>
      </c>
      <c r="J183" s="31">
        <v>-2241</v>
      </c>
      <c r="K183" s="31">
        <v>-1063</v>
      </c>
      <c r="L183" s="31">
        <v>-775</v>
      </c>
      <c r="M183" s="31">
        <v>862</v>
      </c>
      <c r="N183" s="31">
        <v>5644</v>
      </c>
      <c r="O183" s="31">
        <v>12587</v>
      </c>
      <c r="P183" s="31">
        <v>14974</v>
      </c>
    </row>
    <row r="184" spans="3:16">
      <c r="C184" t="s">
        <v>139</v>
      </c>
      <c r="F184" s="31">
        <v>106.083</v>
      </c>
      <c r="G184" s="31">
        <v>231.931</v>
      </c>
      <c r="H184" s="31">
        <v>422.59</v>
      </c>
      <c r="I184" s="31">
        <v>947.099</v>
      </c>
      <c r="J184" s="31">
        <v>1636</v>
      </c>
      <c r="K184" s="31">
        <v>1901</v>
      </c>
      <c r="L184" s="31">
        <v>2154</v>
      </c>
      <c r="M184" s="31">
        <v>2322</v>
      </c>
      <c r="N184" s="31">
        <v>2911</v>
      </c>
      <c r="O184" s="31">
        <v>3747</v>
      </c>
      <c r="P184" s="31">
        <v>4667</v>
      </c>
    </row>
    <row r="185" spans="3:16">
      <c r="C185" t="s">
        <v>140</v>
      </c>
      <c r="F185" s="31">
        <v>80.737</v>
      </c>
      <c r="G185" s="31">
        <v>156.496</v>
      </c>
      <c r="H185" s="31">
        <v>197.999</v>
      </c>
      <c r="I185" s="31">
        <v>334.225</v>
      </c>
      <c r="J185" s="31">
        <v>467</v>
      </c>
      <c r="K185" s="31">
        <v>749</v>
      </c>
      <c r="L185" s="31">
        <v>898</v>
      </c>
      <c r="M185" s="31">
        <v>1734</v>
      </c>
      <c r="N185" s="31">
        <v>2121</v>
      </c>
      <c r="O185" s="31">
        <v>1560</v>
      </c>
      <c r="P185" s="31">
        <v>1812</v>
      </c>
    </row>
    <row r="186" spans="3:16">
      <c r="C186" t="s">
        <v>141</v>
      </c>
      <c r="F186" s="31">
        <v>8.918</v>
      </c>
      <c r="G186" s="31">
        <v>15.609</v>
      </c>
      <c r="H186" s="31">
        <v>44.94</v>
      </c>
      <c r="I186" s="31">
        <v>65.52</v>
      </c>
      <c r="J186" s="31">
        <v>132</v>
      </c>
      <c r="K186" s="31">
        <v>85</v>
      </c>
      <c r="L186" s="31">
        <v>193</v>
      </c>
      <c r="M186" s="31">
        <v>202</v>
      </c>
      <c r="N186" s="31">
        <v>140</v>
      </c>
      <c r="O186" s="31">
        <v>177</v>
      </c>
      <c r="P186" s="31">
        <v>463</v>
      </c>
    </row>
    <row r="187" spans="3:16">
      <c r="C187" t="s">
        <v>142</v>
      </c>
      <c r="F187" s="31">
        <v>-13.498</v>
      </c>
      <c r="G187" s="31">
        <v>-1.891</v>
      </c>
      <c r="H187" s="31">
        <v>55.765</v>
      </c>
      <c r="I187" s="31">
        <v>-29.183</v>
      </c>
      <c r="J187" s="31">
        <v>52</v>
      </c>
      <c r="K187" s="31">
        <v>-2</v>
      </c>
      <c r="L187" s="31">
        <v>-48</v>
      </c>
      <c r="M187" s="31">
        <v>114</v>
      </c>
      <c r="N187" s="31">
        <v>-55</v>
      </c>
      <c r="O187" s="31">
        <v>81</v>
      </c>
      <c r="P187" s="31">
        <v>-144</v>
      </c>
    </row>
    <row r="188" spans="3:16">
      <c r="C188" t="s">
        <v>143</v>
      </c>
      <c r="F188" s="31">
        <v>0</v>
      </c>
      <c r="G188" s="31">
        <v>0</v>
      </c>
      <c r="H188" s="31">
        <v>0</v>
      </c>
      <c r="I188" s="31">
        <v>0</v>
      </c>
      <c r="J188" s="31">
        <v>0</v>
      </c>
      <c r="K188" s="31">
        <v>0</v>
      </c>
      <c r="L188" s="31">
        <v>0</v>
      </c>
      <c r="M188" s="31">
        <v>0</v>
      </c>
      <c r="N188" s="31">
        <v>-149</v>
      </c>
      <c r="O188" s="31">
        <v>-196</v>
      </c>
      <c r="P188" s="31">
        <v>-6349</v>
      </c>
    </row>
    <row r="189" spans="3:16">
      <c r="C189" t="s">
        <v>144</v>
      </c>
      <c r="F189" s="31">
        <v>0</v>
      </c>
      <c r="G189" s="31">
        <v>0</v>
      </c>
      <c r="H189" s="31">
        <v>0</v>
      </c>
      <c r="I189" s="31">
        <v>0</v>
      </c>
      <c r="J189" s="31">
        <v>0</v>
      </c>
      <c r="K189" s="31">
        <v>0</v>
      </c>
      <c r="L189" s="31">
        <v>0</v>
      </c>
      <c r="M189" s="31">
        <v>0</v>
      </c>
      <c r="N189" s="31">
        <v>-27</v>
      </c>
      <c r="O189" s="31">
        <v>140</v>
      </c>
      <c r="P189" s="31">
        <v>0</v>
      </c>
    </row>
    <row r="190" spans="3:16">
      <c r="C190" t="s">
        <v>145</v>
      </c>
      <c r="F190" s="31">
        <f>9.143+5.558-10.692+1.796+1.815</f>
        <v>7.62</v>
      </c>
      <c r="G190" s="31">
        <f>69.734+14.178+7.471</f>
        <v>91.383</v>
      </c>
      <c r="H190" s="31">
        <f>78.054+37.723+20.382</f>
        <v>136.159</v>
      </c>
      <c r="I190" s="31">
        <f>94.69+34.633-88.727-15.179</f>
        <v>25.417</v>
      </c>
      <c r="J190" s="31">
        <f>91+106+58+135</f>
        <v>390</v>
      </c>
      <c r="K190" s="31">
        <f>159+162+49</f>
        <v>370</v>
      </c>
      <c r="L190" s="31">
        <f>-188+520</f>
        <v>332</v>
      </c>
      <c r="M190" s="31">
        <v>525</v>
      </c>
      <c r="N190" s="31">
        <v>245</v>
      </c>
      <c r="O190" s="31">
        <v>340</v>
      </c>
      <c r="P190" s="31">
        <v>81</v>
      </c>
    </row>
    <row r="191" spans="3:16">
      <c r="C191" t="s">
        <v>146</v>
      </c>
      <c r="F191" s="31">
        <f>-21.705-460.561-17.533-0.434+87.413+268.098+24.354+236.299+33.027</f>
        <v>148.958</v>
      </c>
      <c r="G191" s="31">
        <f>-183.658-1050.264-60.637-4.493+414.856+209.681+106.23+249.492+61.968</f>
        <v>-256.825</v>
      </c>
      <c r="H191" s="31">
        <f>46.267-369.364-1204.496-29.595-24.362+263.345+322.203+36.721+442.295+23.697</f>
        <v>-493.289</v>
      </c>
      <c r="I191" s="31">
        <f>-216.565-632.867-1832.836+56.806-49.353+750.64+382.962+388.361+326.934+132.057</f>
        <v>-693.861</v>
      </c>
      <c r="J191" s="31">
        <f>-25-179-1523-72-15+388+469+170+209+81</f>
        <v>-497</v>
      </c>
      <c r="K191" s="31">
        <f>-497-1023-215-82-207+1797+406-96-25</f>
        <v>58</v>
      </c>
      <c r="L191" s="31">
        <f>-367-429-764-288+115+646+801-58-5</f>
        <v>-349</v>
      </c>
      <c r="M191" s="31">
        <f>-652-422-1072-251-344+2102+321+7+495</f>
        <v>184</v>
      </c>
      <c r="N191" s="31">
        <f>-130-1709-2114-1540+5367+793</f>
        <v>667</v>
      </c>
      <c r="O191" s="31">
        <f>-1124-6465-1570-3713+8029+1131</f>
        <v>-3712</v>
      </c>
      <c r="P191" s="31">
        <f>-586-1195-1952-2652+2605+1532</f>
        <v>-2248</v>
      </c>
    </row>
    <row r="192" spans="2:16">
      <c r="B192" t="s">
        <v>147</v>
      </c>
      <c r="F192" s="38">
        <f t="shared" ref="F192:P192" si="78">SUM(F183:F191)</f>
        <v>264.804</v>
      </c>
      <c r="G192" s="38">
        <f t="shared" si="78"/>
        <v>-57.3369999999996</v>
      </c>
      <c r="H192" s="38">
        <f t="shared" si="78"/>
        <v>-524.499</v>
      </c>
      <c r="I192" s="38">
        <f t="shared" si="78"/>
        <v>-123.829</v>
      </c>
      <c r="J192" s="38">
        <f t="shared" si="78"/>
        <v>-61</v>
      </c>
      <c r="K192" s="38">
        <f t="shared" si="78"/>
        <v>2098</v>
      </c>
      <c r="L192" s="38">
        <f t="shared" si="78"/>
        <v>2405</v>
      </c>
      <c r="M192" s="38">
        <f t="shared" si="78"/>
        <v>5943</v>
      </c>
      <c r="N192" s="38">
        <f t="shared" si="78"/>
        <v>11497</v>
      </c>
      <c r="O192" s="38">
        <f t="shared" si="78"/>
        <v>14724</v>
      </c>
      <c r="P192" s="38">
        <f t="shared" si="78"/>
        <v>13256</v>
      </c>
    </row>
    <row r="194" spans="2:2">
      <c r="B194" t="s">
        <v>148</v>
      </c>
    </row>
    <row r="195" spans="3:16">
      <c r="C195" t="s">
        <v>149</v>
      </c>
      <c r="F195" s="31">
        <v>-264.224</v>
      </c>
      <c r="G195" s="31">
        <v>-969.885</v>
      </c>
      <c r="H195" s="31">
        <v>-1634.85</v>
      </c>
      <c r="I195" s="31">
        <v>-1280.802</v>
      </c>
      <c r="J195" s="31">
        <v>-3415</v>
      </c>
      <c r="K195" s="31">
        <v>-2101</v>
      </c>
      <c r="L195" s="31">
        <v>-1327</v>
      </c>
      <c r="M195" s="31">
        <v>-3157</v>
      </c>
      <c r="N195" s="31">
        <v>-6482</v>
      </c>
      <c r="O195" s="31">
        <v>-7158</v>
      </c>
      <c r="P195" s="31">
        <v>-8898</v>
      </c>
    </row>
    <row r="196" spans="3:16">
      <c r="C196" t="s">
        <v>150</v>
      </c>
      <c r="F196" s="31">
        <v>0</v>
      </c>
      <c r="G196" s="31">
        <v>0</v>
      </c>
      <c r="H196" s="31">
        <v>0</v>
      </c>
      <c r="I196" s="31">
        <v>-159.669</v>
      </c>
      <c r="J196" s="31">
        <v>-666</v>
      </c>
      <c r="K196" s="31">
        <v>-218</v>
      </c>
      <c r="L196" s="31">
        <v>-105</v>
      </c>
      <c r="M196" s="31">
        <v>-75</v>
      </c>
      <c r="N196" s="31">
        <v>-32</v>
      </c>
      <c r="O196" s="31">
        <v>-5</v>
      </c>
      <c r="P196" s="31">
        <v>-1</v>
      </c>
    </row>
    <row r="197" spans="3:16">
      <c r="C197" t="s">
        <v>151</v>
      </c>
      <c r="F197" s="31">
        <v>0</v>
      </c>
      <c r="G197" s="31">
        <v>0</v>
      </c>
      <c r="H197" s="31">
        <v>0</v>
      </c>
      <c r="I197" s="31">
        <v>0</v>
      </c>
      <c r="J197" s="31">
        <v>0</v>
      </c>
      <c r="K197" s="31">
        <v>0</v>
      </c>
      <c r="L197" s="31">
        <v>0</v>
      </c>
      <c r="M197" s="31">
        <v>0</v>
      </c>
      <c r="N197" s="31">
        <v>-1500</v>
      </c>
      <c r="O197" s="31">
        <v>0</v>
      </c>
      <c r="P197" s="31">
        <v>0</v>
      </c>
    </row>
    <row r="198" spans="3:16">
      <c r="C198" t="s">
        <v>152</v>
      </c>
      <c r="F198" s="31">
        <v>0</v>
      </c>
      <c r="G198" s="31">
        <v>0</v>
      </c>
      <c r="H198" s="31">
        <v>0</v>
      </c>
      <c r="I198" s="31">
        <v>0</v>
      </c>
      <c r="J198" s="31">
        <v>0</v>
      </c>
      <c r="K198" s="31">
        <v>0</v>
      </c>
      <c r="L198" s="31">
        <v>0</v>
      </c>
      <c r="M198" s="31">
        <v>0</v>
      </c>
      <c r="N198" s="31">
        <v>272</v>
      </c>
      <c r="O198" s="31">
        <v>936</v>
      </c>
      <c r="P198" s="31">
        <v>0</v>
      </c>
    </row>
    <row r="199" spans="3:16">
      <c r="C199" t="s">
        <v>153</v>
      </c>
      <c r="F199" s="31">
        <v>0</v>
      </c>
      <c r="G199" s="31">
        <v>0</v>
      </c>
      <c r="H199" s="31">
        <v>0</v>
      </c>
      <c r="I199" s="31">
        <v>0</v>
      </c>
      <c r="J199" s="31">
        <v>0</v>
      </c>
      <c r="K199" s="31">
        <v>0</v>
      </c>
      <c r="L199" s="31">
        <v>-5</v>
      </c>
      <c r="M199" s="31">
        <v>-10</v>
      </c>
      <c r="N199" s="31">
        <v>0</v>
      </c>
      <c r="O199" s="31">
        <v>-9</v>
      </c>
      <c r="P199" s="31">
        <v>0</v>
      </c>
    </row>
    <row r="200" spans="3:16">
      <c r="C200" t="s">
        <v>154</v>
      </c>
      <c r="F200" s="31">
        <v>0</v>
      </c>
      <c r="G200" s="31">
        <v>-205.841</v>
      </c>
      <c r="H200" s="31">
        <v>0</v>
      </c>
      <c r="I200" s="31">
        <v>0</v>
      </c>
      <c r="J200" s="31">
        <v>0</v>
      </c>
      <c r="K200" s="31">
        <v>0</v>
      </c>
      <c r="L200" s="31">
        <v>0</v>
      </c>
      <c r="M200" s="31">
        <v>0</v>
      </c>
      <c r="N200" s="31">
        <v>-132</v>
      </c>
      <c r="O200" s="31">
        <v>-5835</v>
      </c>
      <c r="P200" s="31">
        <v>-19112</v>
      </c>
    </row>
    <row r="201" spans="3:16">
      <c r="C201" t="s">
        <v>155</v>
      </c>
      <c r="F201" s="31">
        <v>0</v>
      </c>
      <c r="G201" s="31">
        <v>189.131</v>
      </c>
      <c r="H201" s="31">
        <v>0</v>
      </c>
      <c r="I201" s="31">
        <v>16.667</v>
      </c>
      <c r="J201" s="31">
        <v>0</v>
      </c>
      <c r="K201" s="31">
        <v>0</v>
      </c>
      <c r="L201" s="31">
        <v>0</v>
      </c>
      <c r="M201" s="31">
        <v>0</v>
      </c>
      <c r="N201" s="31">
        <v>0</v>
      </c>
      <c r="O201" s="31">
        <f>22+0</f>
        <v>22</v>
      </c>
      <c r="P201" s="31">
        <f>12353+138</f>
        <v>12491</v>
      </c>
    </row>
    <row r="202" spans="3:16">
      <c r="C202" t="s">
        <v>156</v>
      </c>
      <c r="F202" s="31">
        <v>0</v>
      </c>
      <c r="G202" s="31">
        <v>0</v>
      </c>
      <c r="H202" s="31">
        <v>0</v>
      </c>
      <c r="I202" s="31">
        <v>0</v>
      </c>
      <c r="J202" s="31">
        <v>0</v>
      </c>
      <c r="K202" s="31">
        <v>0</v>
      </c>
      <c r="L202" s="31">
        <v>46</v>
      </c>
      <c r="M202" s="31">
        <v>123</v>
      </c>
      <c r="N202" s="31">
        <v>6</v>
      </c>
      <c r="O202" s="31">
        <v>76</v>
      </c>
      <c r="P202" s="31">
        <v>0</v>
      </c>
    </row>
    <row r="203" spans="3:16">
      <c r="C203" t="s">
        <v>157</v>
      </c>
      <c r="F203" s="31">
        <v>0</v>
      </c>
      <c r="G203" s="31">
        <v>0</v>
      </c>
      <c r="H203" s="31">
        <v>-12.26</v>
      </c>
      <c r="I203" s="31">
        <v>342.719</v>
      </c>
      <c r="J203" s="31">
        <v>-115</v>
      </c>
      <c r="K203" s="31">
        <v>-18</v>
      </c>
      <c r="L203" s="31">
        <v>-45</v>
      </c>
      <c r="M203" s="31">
        <v>-13</v>
      </c>
      <c r="N203" s="31">
        <v>0</v>
      </c>
      <c r="O203" s="31">
        <v>0</v>
      </c>
      <c r="P203" s="31">
        <v>-64</v>
      </c>
    </row>
    <row r="204" spans="3:16">
      <c r="C204" t="s">
        <v>145</v>
      </c>
      <c r="F204" s="31">
        <f>14.752+0.055</f>
        <v>14.807</v>
      </c>
      <c r="G204" s="31">
        <v>-3.849</v>
      </c>
      <c r="H204" s="31">
        <v>-26.441</v>
      </c>
      <c r="I204" s="31">
        <v>0</v>
      </c>
      <c r="J204" s="31">
        <v>0</v>
      </c>
      <c r="K204" s="31">
        <v>0</v>
      </c>
      <c r="L204" s="31">
        <v>0</v>
      </c>
      <c r="M204" s="31">
        <v>0</v>
      </c>
      <c r="N204" s="31">
        <v>0</v>
      </c>
      <c r="O204" s="31">
        <v>0</v>
      </c>
      <c r="P204" s="31">
        <v>0</v>
      </c>
    </row>
    <row r="205" spans="2:16">
      <c r="B205" t="s">
        <v>158</v>
      </c>
      <c r="F205" s="38">
        <f t="shared" ref="F205:O205" si="79">SUM(F195:F204)</f>
        <v>-249.417</v>
      </c>
      <c r="G205" s="38">
        <f t="shared" si="79"/>
        <v>-990.444</v>
      </c>
      <c r="H205" s="38">
        <f t="shared" si="79"/>
        <v>-1673.551</v>
      </c>
      <c r="I205" s="38">
        <f t="shared" si="79"/>
        <v>-1081.085</v>
      </c>
      <c r="J205" s="38">
        <f t="shared" si="79"/>
        <v>-4196</v>
      </c>
      <c r="K205" s="38">
        <f t="shared" si="79"/>
        <v>-2337</v>
      </c>
      <c r="L205" s="38">
        <f t="shared" si="79"/>
        <v>-1436</v>
      </c>
      <c r="M205" s="38">
        <f t="shared" si="79"/>
        <v>-3132</v>
      </c>
      <c r="N205" s="38">
        <f t="shared" si="79"/>
        <v>-7868</v>
      </c>
      <c r="O205" s="38">
        <f t="shared" si="79"/>
        <v>-11973</v>
      </c>
      <c r="P205" s="38">
        <f>SUM(P195:P204)</f>
        <v>-15584</v>
      </c>
    </row>
    <row r="207" spans="2:2">
      <c r="B207" t="s">
        <v>159</v>
      </c>
    </row>
    <row r="208" spans="3:16">
      <c r="C208" t="s">
        <v>160</v>
      </c>
      <c r="F208" s="31">
        <f>360+55</f>
        <v>415</v>
      </c>
      <c r="G208" s="31">
        <v>0</v>
      </c>
      <c r="H208" s="31">
        <f>730+20</f>
        <v>750</v>
      </c>
      <c r="I208" s="31">
        <v>1701.734</v>
      </c>
      <c r="J208" s="31">
        <v>400</v>
      </c>
      <c r="K208" s="31">
        <v>0</v>
      </c>
      <c r="L208" s="31">
        <v>848</v>
      </c>
      <c r="M208" s="31">
        <v>12269</v>
      </c>
      <c r="N208" s="31">
        <v>0</v>
      </c>
      <c r="O208" s="31">
        <v>0</v>
      </c>
      <c r="P208" s="31">
        <v>0</v>
      </c>
    </row>
    <row r="209" spans="3:16">
      <c r="C209" t="s">
        <v>161</v>
      </c>
      <c r="F209" s="31">
        <v>660</v>
      </c>
      <c r="G209" s="31">
        <v>2300</v>
      </c>
      <c r="H209" s="31">
        <v>318.972</v>
      </c>
      <c r="I209" s="31">
        <v>2852.964</v>
      </c>
      <c r="J209" s="31">
        <v>7138</v>
      </c>
      <c r="K209" s="31">
        <v>6176</v>
      </c>
      <c r="L209" s="31">
        <v>10669</v>
      </c>
      <c r="M209" s="31">
        <v>9713</v>
      </c>
      <c r="N209" s="31">
        <v>8883</v>
      </c>
      <c r="O209" s="31">
        <v>0</v>
      </c>
      <c r="P209" s="31">
        <v>3931</v>
      </c>
    </row>
    <row r="210" spans="3:16">
      <c r="C210" t="s">
        <v>162</v>
      </c>
      <c r="F210" s="31">
        <v>-452.337</v>
      </c>
      <c r="G210" s="31">
        <v>0</v>
      </c>
      <c r="H210" s="31">
        <v>0</v>
      </c>
      <c r="I210" s="31">
        <v>-1857.594</v>
      </c>
      <c r="J210" s="31">
        <f>-3996-165</f>
        <v>-4161</v>
      </c>
      <c r="K210" s="31">
        <f>-5247-100</f>
        <v>-5347</v>
      </c>
      <c r="L210" s="31">
        <v>-9161</v>
      </c>
      <c r="M210" s="31">
        <v>-11623</v>
      </c>
      <c r="N210" s="31">
        <v>-14167</v>
      </c>
      <c r="O210" s="31">
        <v>-3364</v>
      </c>
      <c r="P210" s="31">
        <v>-1351</v>
      </c>
    </row>
    <row r="211" spans="3:16">
      <c r="C211" t="s">
        <v>163</v>
      </c>
      <c r="F211" s="31">
        <v>0</v>
      </c>
      <c r="G211" s="31">
        <v>3.271</v>
      </c>
      <c r="H211" s="31">
        <v>568.745</v>
      </c>
      <c r="I211" s="31">
        <v>769.709</v>
      </c>
      <c r="J211" s="31">
        <v>511</v>
      </c>
      <c r="K211" s="31">
        <v>-559</v>
      </c>
      <c r="L211" s="31">
        <v>-389</v>
      </c>
      <c r="M211" s="31">
        <v>-240</v>
      </c>
      <c r="N211" s="31">
        <v>-9</v>
      </c>
      <c r="O211" s="31">
        <v>0</v>
      </c>
      <c r="P211" s="31">
        <v>0</v>
      </c>
    </row>
    <row r="212" spans="3:16">
      <c r="C212" t="s">
        <v>164</v>
      </c>
      <c r="F212" s="31">
        <v>95.307</v>
      </c>
      <c r="G212" s="31">
        <v>100.455</v>
      </c>
      <c r="H212" s="31">
        <v>106.611</v>
      </c>
      <c r="I212" s="31">
        <v>163.817</v>
      </c>
      <c r="J212" s="31">
        <v>259</v>
      </c>
      <c r="K212" s="31">
        <v>296</v>
      </c>
      <c r="L212" s="31">
        <v>263</v>
      </c>
      <c r="M212" s="31">
        <v>417</v>
      </c>
      <c r="N212" s="31">
        <v>707</v>
      </c>
      <c r="O212" s="31">
        <v>541</v>
      </c>
      <c r="P212" s="31">
        <v>700</v>
      </c>
    </row>
    <row r="213" spans="3:16">
      <c r="C213" t="s">
        <v>165</v>
      </c>
      <c r="F213" s="31">
        <v>-8.425</v>
      </c>
      <c r="G213" s="31">
        <v>-11.179</v>
      </c>
      <c r="H213" s="31">
        <v>-203.78</v>
      </c>
      <c r="I213" s="31">
        <v>-46.889</v>
      </c>
      <c r="J213" s="31">
        <v>-103</v>
      </c>
      <c r="K213" s="31">
        <v>-181</v>
      </c>
      <c r="L213" s="31">
        <v>-321</v>
      </c>
      <c r="M213" s="31">
        <v>-338</v>
      </c>
      <c r="N213" s="31">
        <v>-439</v>
      </c>
      <c r="O213" s="31">
        <v>-502</v>
      </c>
      <c r="P213" s="31">
        <v>-464</v>
      </c>
    </row>
    <row r="214" spans="3:16">
      <c r="C214" t="s">
        <v>166</v>
      </c>
      <c r="F214" s="31">
        <v>-177.54</v>
      </c>
      <c r="G214" s="31">
        <v>-603.428</v>
      </c>
      <c r="H214" s="31">
        <v>0</v>
      </c>
      <c r="I214" s="31">
        <v>0</v>
      </c>
      <c r="J214" s="31">
        <v>-204</v>
      </c>
      <c r="K214" s="31">
        <v>0</v>
      </c>
      <c r="L214" s="31">
        <f>-476</f>
        <v>-476</v>
      </c>
      <c r="M214" s="31">
        <v>0</v>
      </c>
      <c r="N214" s="31">
        <v>0</v>
      </c>
      <c r="O214" s="31">
        <v>0</v>
      </c>
      <c r="P214" s="31">
        <v>0</v>
      </c>
    </row>
    <row r="215" spans="3:16">
      <c r="C215" t="s">
        <v>167</v>
      </c>
      <c r="F215" s="31">
        <v>0</v>
      </c>
      <c r="G215" s="31">
        <v>0</v>
      </c>
      <c r="H215" s="31">
        <v>0</v>
      </c>
      <c r="I215" s="31">
        <v>0</v>
      </c>
      <c r="J215" s="31">
        <v>287</v>
      </c>
      <c r="K215" s="31">
        <v>0</v>
      </c>
      <c r="L215" s="31">
        <v>0</v>
      </c>
      <c r="M215" s="31">
        <v>0</v>
      </c>
      <c r="N215" s="31">
        <v>0</v>
      </c>
      <c r="O215" s="31">
        <v>0</v>
      </c>
      <c r="P215" s="31">
        <v>0</v>
      </c>
    </row>
    <row r="216" spans="3:16">
      <c r="C216" t="s">
        <v>168</v>
      </c>
      <c r="F216" s="31">
        <v>120.318</v>
      </c>
      <c r="G216" s="31">
        <v>389.16</v>
      </c>
      <c r="H216" s="31">
        <v>0</v>
      </c>
      <c r="I216" s="31">
        <v>0</v>
      </c>
      <c r="J216" s="31">
        <v>53</v>
      </c>
      <c r="K216" s="31">
        <v>0</v>
      </c>
      <c r="L216" s="31">
        <v>174</v>
      </c>
      <c r="M216" s="31">
        <v>0</v>
      </c>
      <c r="N216" s="31">
        <v>0</v>
      </c>
      <c r="O216" s="31">
        <v>0</v>
      </c>
      <c r="P216" s="31">
        <v>0</v>
      </c>
    </row>
    <row r="217" spans="3:16">
      <c r="C217" t="s">
        <v>169</v>
      </c>
      <c r="F217" s="31">
        <v>0</v>
      </c>
      <c r="G217" s="31">
        <v>0</v>
      </c>
      <c r="H217" s="31">
        <v>0</v>
      </c>
      <c r="I217" s="31">
        <v>0</v>
      </c>
      <c r="J217" s="31">
        <v>-230</v>
      </c>
      <c r="K217" s="31">
        <v>0</v>
      </c>
      <c r="L217" s="31">
        <v>0</v>
      </c>
      <c r="M217" s="31">
        <v>0</v>
      </c>
      <c r="N217" s="31">
        <v>0</v>
      </c>
      <c r="O217" s="31">
        <v>0</v>
      </c>
      <c r="P217" s="31">
        <v>0</v>
      </c>
    </row>
    <row r="218" spans="3:16">
      <c r="C218" t="s">
        <v>170</v>
      </c>
      <c r="F218" s="31">
        <v>-16.901</v>
      </c>
      <c r="G218" s="31">
        <v>-35.149</v>
      </c>
      <c r="H218" s="31">
        <v>-17.025</v>
      </c>
      <c r="I218" s="31">
        <v>-20.042</v>
      </c>
      <c r="J218" s="31">
        <v>-63</v>
      </c>
      <c r="K218" s="31">
        <v>-15</v>
      </c>
      <c r="L218" s="31">
        <v>-37</v>
      </c>
      <c r="M218" s="31">
        <v>-6</v>
      </c>
      <c r="N218" s="31">
        <v>-9</v>
      </c>
      <c r="O218" s="31">
        <v>0</v>
      </c>
      <c r="P218" s="31">
        <v>-29</v>
      </c>
    </row>
    <row r="219" spans="3:16">
      <c r="C219" t="s">
        <v>171</v>
      </c>
      <c r="F219" s="31">
        <v>0</v>
      </c>
      <c r="G219" s="31">
        <v>0</v>
      </c>
      <c r="H219" s="31">
        <v>0</v>
      </c>
      <c r="I219" s="31">
        <v>201.527</v>
      </c>
      <c r="J219" s="31">
        <v>790</v>
      </c>
      <c r="K219" s="31">
        <v>437</v>
      </c>
      <c r="L219" s="31">
        <v>279</v>
      </c>
      <c r="M219" s="31">
        <v>24</v>
      </c>
      <c r="N219" s="31">
        <v>2</v>
      </c>
      <c r="O219" s="31">
        <v>0</v>
      </c>
      <c r="P219" s="31">
        <v>0</v>
      </c>
    </row>
    <row r="220" spans="3:16">
      <c r="C220" t="s">
        <v>172</v>
      </c>
      <c r="F220" s="31">
        <v>0</v>
      </c>
      <c r="G220" s="31">
        <v>0</v>
      </c>
      <c r="H220" s="31">
        <v>0</v>
      </c>
      <c r="I220" s="31">
        <v>-21.25</v>
      </c>
      <c r="J220" s="31">
        <v>-262</v>
      </c>
      <c r="K220" s="31">
        <v>-227</v>
      </c>
      <c r="L220" s="31">
        <v>-311</v>
      </c>
      <c r="M220" s="31">
        <v>-208</v>
      </c>
      <c r="N220" s="31">
        <v>-161</v>
      </c>
      <c r="O220" s="31">
        <v>-157</v>
      </c>
      <c r="P220" s="31">
        <v>-144</v>
      </c>
    </row>
    <row r="221" spans="3:16">
      <c r="C221" t="s">
        <v>173</v>
      </c>
      <c r="F221" s="31">
        <v>0</v>
      </c>
      <c r="G221" s="31">
        <v>0</v>
      </c>
      <c r="H221" s="31">
        <v>0</v>
      </c>
      <c r="I221" s="31">
        <v>0</v>
      </c>
      <c r="J221" s="31">
        <v>0</v>
      </c>
      <c r="K221" s="31">
        <v>-6</v>
      </c>
      <c r="L221" s="31">
        <v>-9</v>
      </c>
      <c r="M221" s="31">
        <v>-35</v>
      </c>
      <c r="N221" s="31">
        <v>-10</v>
      </c>
      <c r="O221" s="31">
        <v>-45</v>
      </c>
      <c r="P221" s="31">
        <v>-54</v>
      </c>
    </row>
    <row r="222" spans="3:16">
      <c r="C222" t="s">
        <v>174</v>
      </c>
      <c r="F222" s="31">
        <v>0</v>
      </c>
      <c r="G222" s="31">
        <v>0</v>
      </c>
      <c r="H222" s="31">
        <v>0</v>
      </c>
      <c r="I222" s="31">
        <v>0</v>
      </c>
      <c r="J222" s="31">
        <v>0</v>
      </c>
      <c r="K222" s="31">
        <v>0</v>
      </c>
      <c r="L222" s="31">
        <v>0</v>
      </c>
      <c r="M222" s="31">
        <v>0</v>
      </c>
      <c r="N222" s="31">
        <v>0</v>
      </c>
      <c r="O222" s="31">
        <v>0</v>
      </c>
      <c r="P222" s="31">
        <v>0</v>
      </c>
    </row>
    <row r="223" spans="2:16">
      <c r="B223" t="s">
        <v>175</v>
      </c>
      <c r="F223" s="38">
        <f t="shared" ref="F223:O223" si="80">SUM(F208:F222)</f>
        <v>635.422</v>
      </c>
      <c r="G223" s="38">
        <f t="shared" si="80"/>
        <v>2143.13</v>
      </c>
      <c r="H223" s="38">
        <f t="shared" si="80"/>
        <v>1523.523</v>
      </c>
      <c r="I223" s="38">
        <f t="shared" si="80"/>
        <v>3743.976</v>
      </c>
      <c r="J223" s="38">
        <f t="shared" si="80"/>
        <v>4415</v>
      </c>
      <c r="K223" s="38">
        <f t="shared" si="80"/>
        <v>574</v>
      </c>
      <c r="L223" s="38">
        <f t="shared" si="80"/>
        <v>1529</v>
      </c>
      <c r="M223" s="38">
        <f t="shared" si="80"/>
        <v>9973</v>
      </c>
      <c r="N223" s="38">
        <f t="shared" si="80"/>
        <v>-5203</v>
      </c>
      <c r="O223" s="38">
        <f t="shared" si="80"/>
        <v>-3527</v>
      </c>
      <c r="P223" s="38">
        <f>SUM(P208:P222)</f>
        <v>2589</v>
      </c>
    </row>
    <row r="225" spans="2:16">
      <c r="B225" t="s">
        <v>176</v>
      </c>
      <c r="F225" s="31">
        <v>-6.81</v>
      </c>
      <c r="G225" s="31">
        <v>-35.525</v>
      </c>
      <c r="H225" s="31">
        <v>-34.278</v>
      </c>
      <c r="I225" s="31">
        <v>-6.553</v>
      </c>
      <c r="J225" s="31">
        <v>40</v>
      </c>
      <c r="K225" s="31">
        <v>-23</v>
      </c>
      <c r="L225" s="31">
        <v>8</v>
      </c>
      <c r="M225" s="31">
        <v>334</v>
      </c>
      <c r="N225" s="31">
        <v>-183</v>
      </c>
      <c r="O225" s="31">
        <v>-444</v>
      </c>
      <c r="P225" s="31">
        <v>4</v>
      </c>
    </row>
    <row r="227" spans="2:16">
      <c r="B227" t="s">
        <v>177</v>
      </c>
      <c r="F227" s="38">
        <f t="shared" ref="F227:P227" si="81">F192+F205+F223+F225</f>
        <v>643.999</v>
      </c>
      <c r="G227" s="38">
        <f t="shared" si="81"/>
        <v>1059.824</v>
      </c>
      <c r="H227" s="38">
        <f t="shared" si="81"/>
        <v>-708.805</v>
      </c>
      <c r="I227" s="38">
        <f t="shared" si="81"/>
        <v>2532.509</v>
      </c>
      <c r="J227" s="38">
        <f t="shared" si="81"/>
        <v>198</v>
      </c>
      <c r="K227" s="38">
        <f t="shared" si="81"/>
        <v>312</v>
      </c>
      <c r="L227" s="38">
        <f t="shared" si="81"/>
        <v>2506</v>
      </c>
      <c r="M227" s="38">
        <f t="shared" si="81"/>
        <v>13118</v>
      </c>
      <c r="N227" s="38">
        <f t="shared" si="81"/>
        <v>-1757</v>
      </c>
      <c r="O227" s="38">
        <f t="shared" si="81"/>
        <v>-1220</v>
      </c>
      <c r="P227" s="38">
        <f t="shared" si="81"/>
        <v>265</v>
      </c>
    </row>
    <row r="228" spans="2:16">
      <c r="B228" t="s">
        <v>178</v>
      </c>
      <c r="F228" s="31">
        <v>201.89</v>
      </c>
      <c r="G228" s="31">
        <v>845.889</v>
      </c>
      <c r="H228" s="31">
        <v>1905.713</v>
      </c>
      <c r="I228" s="72">
        <v>1234.391</v>
      </c>
      <c r="J228" s="31">
        <v>3767</v>
      </c>
      <c r="K228" s="31">
        <v>3965</v>
      </c>
      <c r="L228" s="31">
        <v>4277</v>
      </c>
      <c r="M228" s="31">
        <v>6783</v>
      </c>
      <c r="N228" s="31">
        <v>19901</v>
      </c>
      <c r="O228" s="31">
        <v>18144</v>
      </c>
      <c r="P228" s="31">
        <v>16924</v>
      </c>
    </row>
    <row r="229" spans="2:16">
      <c r="B229" t="s">
        <v>179</v>
      </c>
      <c r="F229" s="38">
        <f t="shared" ref="F229:P229" si="82">SUM(F227:F228)</f>
        <v>845.889</v>
      </c>
      <c r="G229" s="38">
        <f t="shared" si="82"/>
        <v>1905.713</v>
      </c>
      <c r="H229" s="74">
        <f t="shared" si="82"/>
        <v>1196.908</v>
      </c>
      <c r="I229" s="38">
        <f t="shared" si="82"/>
        <v>3766.9</v>
      </c>
      <c r="J229" s="38">
        <f t="shared" si="82"/>
        <v>3965</v>
      </c>
      <c r="K229" s="38">
        <f t="shared" si="82"/>
        <v>4277</v>
      </c>
      <c r="L229" s="38">
        <f t="shared" si="82"/>
        <v>6783</v>
      </c>
      <c r="M229" s="38">
        <f t="shared" si="82"/>
        <v>19901</v>
      </c>
      <c r="N229" s="38">
        <f t="shared" si="82"/>
        <v>18144</v>
      </c>
      <c r="O229" s="38">
        <f t="shared" si="82"/>
        <v>16924</v>
      </c>
      <c r="P229" s="38">
        <f t="shared" si="82"/>
        <v>17189</v>
      </c>
    </row>
    <row r="231" spans="2:16">
      <c r="B231" t="s">
        <v>180</v>
      </c>
      <c r="F231" s="31">
        <v>9.041</v>
      </c>
      <c r="G231" s="31">
        <v>20.539</v>
      </c>
      <c r="H231" s="31">
        <v>32.06</v>
      </c>
      <c r="I231" s="31">
        <v>38.693</v>
      </c>
      <c r="J231" s="31">
        <v>183</v>
      </c>
      <c r="K231" s="31">
        <v>381</v>
      </c>
      <c r="L231" s="31">
        <v>455</v>
      </c>
      <c r="M231" s="31">
        <v>444</v>
      </c>
      <c r="N231" s="31">
        <v>266</v>
      </c>
      <c r="O231" s="31">
        <v>152</v>
      </c>
      <c r="P231" s="31">
        <v>126</v>
      </c>
    </row>
    <row r="232" spans="2:16">
      <c r="B232" t="s">
        <v>181</v>
      </c>
      <c r="F232" s="31">
        <v>0.257</v>
      </c>
      <c r="G232" s="31">
        <v>3.12</v>
      </c>
      <c r="H232" s="31">
        <v>9.461</v>
      </c>
      <c r="I232" s="31">
        <v>16.385</v>
      </c>
      <c r="J232" s="31">
        <v>66</v>
      </c>
      <c r="K232" s="31">
        <v>35</v>
      </c>
      <c r="L232" s="31">
        <v>54</v>
      </c>
      <c r="M232" s="31">
        <v>115</v>
      </c>
      <c r="N232" s="31">
        <v>561</v>
      </c>
      <c r="O232" s="31">
        <v>1203</v>
      </c>
      <c r="P232" s="31">
        <v>1119</v>
      </c>
    </row>
    <row r="234" ht="15.75" spans="3:4">
      <c r="C234" s="39" t="s">
        <v>136</v>
      </c>
      <c r="D234" s="40"/>
    </row>
    <row r="235" s="25" customFormat="1" spans="3:23">
      <c r="C235" s="56" t="s">
        <v>182</v>
      </c>
      <c r="D235" s="56"/>
      <c r="E235" s="58"/>
      <c r="F235" s="57">
        <f t="shared" ref="F235:O235" si="83">F192+F195</f>
        <v>0.580000000000041</v>
      </c>
      <c r="G235" s="57">
        <f t="shared" si="83"/>
        <v>-1027.222</v>
      </c>
      <c r="H235" s="57">
        <f t="shared" si="83"/>
        <v>-2159.349</v>
      </c>
      <c r="I235" s="57">
        <f t="shared" si="83"/>
        <v>-1404.631</v>
      </c>
      <c r="J235" s="57">
        <f t="shared" si="83"/>
        <v>-3476</v>
      </c>
      <c r="K235" s="57">
        <f t="shared" si="83"/>
        <v>-3</v>
      </c>
      <c r="L235" s="57">
        <f t="shared" si="83"/>
        <v>1078</v>
      </c>
      <c r="M235" s="57">
        <f t="shared" si="83"/>
        <v>2786</v>
      </c>
      <c r="N235" s="57">
        <f t="shared" si="83"/>
        <v>5015</v>
      </c>
      <c r="O235" s="57">
        <f t="shared" si="83"/>
        <v>7566</v>
      </c>
      <c r="P235" s="57">
        <f>P192+P195</f>
        <v>4358</v>
      </c>
      <c r="Q235" s="58"/>
      <c r="R235" s="75">
        <f>AVERAGE(E235:Q235)</f>
        <v>1157.57981818182</v>
      </c>
      <c r="S235" s="41"/>
      <c r="T235" s="41"/>
      <c r="U235" s="41"/>
      <c r="V235" s="57"/>
      <c r="W235" s="58"/>
    </row>
    <row r="236" spans="3:22">
      <c r="C236" s="56" t="s">
        <v>183</v>
      </c>
      <c r="D236" s="40"/>
      <c r="F236" s="32">
        <f t="shared" ref="F236:P236" si="84">IFERROR(F235/F103,0)</f>
        <v>0.00031413076348374</v>
      </c>
      <c r="G236" s="32">
        <f t="shared" si="84"/>
        <v>-0.544852863174421</v>
      </c>
      <c r="H236" s="32">
        <f t="shared" si="84"/>
        <v>-1.09535172151417</v>
      </c>
      <c r="I236" s="32">
        <f t="shared" si="84"/>
        <v>-0.579608114994749</v>
      </c>
      <c r="J236" s="32">
        <f t="shared" si="84"/>
        <v>-1.37285220313947</v>
      </c>
      <c r="K236" s="32">
        <f t="shared" si="84"/>
        <v>-0.00115606936416185</v>
      </c>
      <c r="L236" s="32">
        <f t="shared" si="84"/>
        <v>0.397053406998158</v>
      </c>
      <c r="M236" s="32">
        <f t="shared" si="84"/>
        <v>0.967361111111111</v>
      </c>
      <c r="N236" s="32">
        <f t="shared" si="84"/>
        <v>1.61774193548387</v>
      </c>
      <c r="O236" s="32">
        <f t="shared" si="84"/>
        <v>2.39127686472819</v>
      </c>
      <c r="P236" s="32">
        <f t="shared" si="84"/>
        <v>1.36828885400314</v>
      </c>
      <c r="R236" s="73">
        <f>AVERAGE(E236:Q236)</f>
        <v>0.286201393718271</v>
      </c>
      <c r="V236" s="32"/>
    </row>
  </sheetData>
  <mergeCells count="6">
    <mergeCell ref="F58:F59"/>
    <mergeCell ref="G58:G59"/>
    <mergeCell ref="H58:H59"/>
    <mergeCell ref="I58:I59"/>
    <mergeCell ref="J58:J59"/>
    <mergeCell ref="K58:K59"/>
  </mergeCell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Z192"/>
  <sheetViews>
    <sheetView workbookViewId="0">
      <selection activeCell="L8" sqref="L8"/>
    </sheetView>
    <sheetView workbookViewId="1">
      <selection activeCell="S16" sqref="S16"/>
    </sheetView>
  </sheetViews>
  <sheetFormatPr defaultColWidth="9.14285714285714" defaultRowHeight="15"/>
  <cols>
    <col min="1" max="1" width="7.14285714285714" customWidth="1"/>
    <col min="2" max="2" width="9.71428571428571"/>
    <col min="7" max="7" width="9.57142857142857"/>
    <col min="8" max="8" width="10.5714285714286"/>
    <col min="9" max="9" width="4.28571428571429" customWidth="1"/>
    <col min="10" max="10" width="10.5714285714286" customWidth="1"/>
    <col min="12" max="13" width="12.8571428571429"/>
    <col min="14" max="14" width="18.8571428571429" customWidth="1"/>
    <col min="15" max="15" width="10.5714285714286"/>
    <col min="18" max="18" width="12.8571428571429"/>
    <col min="19" max="19" width="9.71428571428571" customWidth="1"/>
    <col min="20" max="20" width="6.85714285714286" customWidth="1"/>
    <col min="21" max="22" width="10.7142857142857" customWidth="1"/>
    <col min="24" max="24" width="9.85714285714286" customWidth="1"/>
    <col min="25" max="25" width="10.7142857142857" customWidth="1"/>
    <col min="26" max="26" width="10.2857142857143" customWidth="1"/>
  </cols>
  <sheetData>
    <row r="3" spans="2:12">
      <c r="B3" t="s">
        <v>184</v>
      </c>
      <c r="G3" s="1"/>
      <c r="L3" t="s">
        <v>185</v>
      </c>
    </row>
    <row r="4" spans="2:12">
      <c r="B4" s="84" t="s">
        <v>186</v>
      </c>
      <c r="L4" s="84" t="s">
        <v>187</v>
      </c>
    </row>
    <row r="5" spans="2:19">
      <c r="B5" t="s">
        <v>188</v>
      </c>
      <c r="L5" t="s">
        <v>189</v>
      </c>
      <c r="O5" s="9">
        <f>[1]Sheet1!$E$6</f>
        <v>0.0246945</v>
      </c>
      <c r="S5" t="s">
        <v>190</v>
      </c>
    </row>
    <row r="6" spans="2:15">
      <c r="B6" s="2"/>
      <c r="O6" s="8"/>
    </row>
    <row r="7" spans="6:24">
      <c r="F7" s="3" t="s">
        <v>191</v>
      </c>
      <c r="G7" s="3" t="s">
        <v>192</v>
      </c>
      <c r="H7" s="3" t="s">
        <v>193</v>
      </c>
      <c r="J7" s="3" t="s">
        <v>193</v>
      </c>
      <c r="S7" s="11" t="s">
        <v>194</v>
      </c>
      <c r="X7" s="11" t="s">
        <v>195</v>
      </c>
    </row>
    <row r="8" ht="75" spans="2:26">
      <c r="B8" t="s">
        <v>196</v>
      </c>
      <c r="C8" t="s">
        <v>197</v>
      </c>
      <c r="D8" t="s">
        <v>198</v>
      </c>
      <c r="F8" t="s">
        <v>199</v>
      </c>
      <c r="G8" s="4" t="s">
        <v>200</v>
      </c>
      <c r="H8" s="4" t="s">
        <v>201</v>
      </c>
      <c r="J8" s="4" t="s">
        <v>202</v>
      </c>
      <c r="M8" s="10"/>
      <c r="R8" s="4"/>
      <c r="S8" s="4" t="s">
        <v>203</v>
      </c>
      <c r="U8" s="4" t="s">
        <v>204</v>
      </c>
      <c r="V8" s="10" t="s">
        <v>205</v>
      </c>
      <c r="X8" s="4" t="s">
        <v>206</v>
      </c>
      <c r="Y8" s="4" t="s">
        <v>204</v>
      </c>
      <c r="Z8" s="10" t="s">
        <v>205</v>
      </c>
    </row>
    <row r="9" spans="1:26">
      <c r="A9">
        <v>1</v>
      </c>
      <c r="B9" s="5">
        <v>45261</v>
      </c>
      <c r="C9" s="6">
        <v>248.48</v>
      </c>
      <c r="D9" s="7">
        <v>0.035</v>
      </c>
      <c r="F9" s="8">
        <f t="shared" ref="F9:F68" si="0">D9</f>
        <v>0.035</v>
      </c>
      <c r="G9" s="8">
        <f>O$5/12</f>
        <v>0.002057875</v>
      </c>
      <c r="H9" s="8">
        <f t="shared" ref="H9:H68" si="1">F9-G9</f>
        <v>0.032942125</v>
      </c>
      <c r="J9" s="8" t="str">
        <f t="shared" ref="J9:J68" si="2">IF(H9&lt;0,H9,"")</f>
        <v/>
      </c>
      <c r="L9" s="11" t="s">
        <v>20</v>
      </c>
      <c r="O9" s="12" t="s">
        <v>207</v>
      </c>
      <c r="P9" s="12" t="s">
        <v>208</v>
      </c>
      <c r="Q9" s="12" t="s">
        <v>209</v>
      </c>
      <c r="R9" s="8"/>
      <c r="S9" s="8">
        <f>AVERAGE(H9:H68)</f>
        <v>0.0603487916666667</v>
      </c>
      <c r="T9">
        <v>1</v>
      </c>
      <c r="U9" s="8">
        <f t="shared" ref="U9:U68" si="3">(H9-S$9)^2</f>
        <v>0.000751125377777778</v>
      </c>
      <c r="V9" s="8">
        <f>(U70/T68)^(1/2)</f>
        <v>0.219603394681311</v>
      </c>
      <c r="X9" s="8">
        <f>AVERAGE(J9:J68)</f>
        <v>-0.128904028846154</v>
      </c>
      <c r="Y9" s="8" t="str">
        <f t="shared" ref="Y9:Y68" si="4">IF(J9="","",(J9-X$9)^2)</f>
        <v/>
      </c>
      <c r="Z9" s="8">
        <f>(Y70/(COUNT(Y9:Y69)-1))^(1/2)</f>
        <v>0.0768813279321799</v>
      </c>
    </row>
    <row r="10" spans="1:25">
      <c r="A10">
        <v>2</v>
      </c>
      <c r="B10" s="5">
        <v>45231</v>
      </c>
      <c r="C10" s="6">
        <v>240.08</v>
      </c>
      <c r="D10" s="7">
        <v>0.1954</v>
      </c>
      <c r="F10" s="8">
        <f t="shared" si="0"/>
        <v>0.1954</v>
      </c>
      <c r="G10" s="8">
        <f>O$5/12</f>
        <v>0.002057875</v>
      </c>
      <c r="H10" s="8">
        <f t="shared" si="1"/>
        <v>0.193342125</v>
      </c>
      <c r="J10" s="8" t="str">
        <f t="shared" si="2"/>
        <v/>
      </c>
      <c r="T10">
        <v>2</v>
      </c>
      <c r="U10" s="8">
        <f t="shared" si="3"/>
        <v>0.0176872267111111</v>
      </c>
      <c r="Y10" s="8" t="str">
        <f t="shared" si="4"/>
        <v/>
      </c>
    </row>
    <row r="11" spans="1:25">
      <c r="A11">
        <v>3</v>
      </c>
      <c r="B11" s="5">
        <v>45200</v>
      </c>
      <c r="C11" s="6">
        <v>200.84</v>
      </c>
      <c r="D11" s="7">
        <v>-0.1973</v>
      </c>
      <c r="F11" s="8">
        <f t="shared" si="0"/>
        <v>-0.1973</v>
      </c>
      <c r="G11" s="8">
        <f>O$5/12</f>
        <v>0.002057875</v>
      </c>
      <c r="H11" s="8">
        <f t="shared" si="1"/>
        <v>-0.199357875</v>
      </c>
      <c r="J11" s="8">
        <f t="shared" si="2"/>
        <v>-0.199357875</v>
      </c>
      <c r="L11" s="13" t="s">
        <v>205</v>
      </c>
      <c r="O11" s="9">
        <f>STDEV.P(H9:H20)</f>
        <v>0.181270119956072</v>
      </c>
      <c r="P11" s="9">
        <f>STDEV.P(H9:H44)</f>
        <v>0.178682685071734</v>
      </c>
      <c r="Q11" s="9">
        <f>STDEV.P(H9:H68)</f>
        <v>0.219603394681311</v>
      </c>
      <c r="T11">
        <v>3</v>
      </c>
      <c r="U11" s="8">
        <f t="shared" si="3"/>
        <v>0.0674475527111111</v>
      </c>
      <c r="Y11" s="8">
        <f t="shared" si="4"/>
        <v>0.00496374443786983</v>
      </c>
    </row>
    <row r="12" spans="1:25">
      <c r="A12">
        <v>4</v>
      </c>
      <c r="B12" s="5">
        <v>45170</v>
      </c>
      <c r="C12" s="6">
        <v>250.22</v>
      </c>
      <c r="D12" s="7">
        <v>-0.0305</v>
      </c>
      <c r="F12" s="8">
        <f t="shared" si="0"/>
        <v>-0.0305</v>
      </c>
      <c r="G12" s="8">
        <f>O$5/12</f>
        <v>0.002057875</v>
      </c>
      <c r="H12" s="8">
        <f t="shared" si="1"/>
        <v>-0.032557875</v>
      </c>
      <c r="J12" s="8">
        <f t="shared" si="2"/>
        <v>-0.032557875</v>
      </c>
      <c r="L12" s="14" t="s">
        <v>210</v>
      </c>
      <c r="O12" s="8">
        <f t="shared" ref="O12:Q12" si="5">(1+O19)^(1/12)-1</f>
        <v>0.0305232243239175</v>
      </c>
      <c r="P12" s="8">
        <f t="shared" si="5"/>
        <v>-0.0017350679807937</v>
      </c>
      <c r="Q12" s="8">
        <f t="shared" si="5"/>
        <v>0.0424843883019761</v>
      </c>
      <c r="T12">
        <v>4</v>
      </c>
      <c r="U12" s="8">
        <f t="shared" si="3"/>
        <v>0.00863164871111111</v>
      </c>
      <c r="Y12" s="8">
        <f t="shared" si="4"/>
        <v>0.00928258136094674</v>
      </c>
    </row>
    <row r="13" spans="1:25">
      <c r="A13">
        <v>5</v>
      </c>
      <c r="B13" s="5">
        <v>45139</v>
      </c>
      <c r="C13" s="6">
        <v>258.08</v>
      </c>
      <c r="D13" s="7">
        <v>-0.035</v>
      </c>
      <c r="F13" s="8">
        <f t="shared" si="0"/>
        <v>-0.035</v>
      </c>
      <c r="G13" s="8">
        <f>O$5/12</f>
        <v>0.002057875</v>
      </c>
      <c r="H13" s="8">
        <f t="shared" si="1"/>
        <v>-0.037057875</v>
      </c>
      <c r="J13" s="8">
        <f t="shared" si="2"/>
        <v>-0.037057875</v>
      </c>
      <c r="L13" s="14" t="s">
        <v>211</v>
      </c>
      <c r="O13" s="15">
        <f t="shared" ref="O13:Q13" si="6">O20/12</f>
        <v>0.002057875</v>
      </c>
      <c r="P13" s="15">
        <f t="shared" si="6"/>
        <v>0.002057875</v>
      </c>
      <c r="Q13" s="15">
        <f t="shared" si="6"/>
        <v>0.002057875</v>
      </c>
      <c r="T13">
        <v>5</v>
      </c>
      <c r="U13" s="8">
        <f t="shared" si="3"/>
        <v>0.00948805871111111</v>
      </c>
      <c r="Y13" s="8">
        <f t="shared" si="4"/>
        <v>0.00843571597633135</v>
      </c>
    </row>
    <row r="14" spans="1:25">
      <c r="A14">
        <v>6</v>
      </c>
      <c r="B14" s="5">
        <v>45108</v>
      </c>
      <c r="C14" s="6">
        <v>267.43</v>
      </c>
      <c r="D14" s="7">
        <v>0.0216</v>
      </c>
      <c r="F14" s="8">
        <f t="shared" si="0"/>
        <v>0.0216</v>
      </c>
      <c r="G14" s="8">
        <f>O$5/12</f>
        <v>0.002057875</v>
      </c>
      <c r="H14" s="8">
        <f t="shared" si="1"/>
        <v>0.019542125</v>
      </c>
      <c r="J14" s="8" t="str">
        <f t="shared" si="2"/>
        <v/>
      </c>
      <c r="L14" s="13" t="s">
        <v>212</v>
      </c>
      <c r="O14" s="8">
        <f t="shared" ref="O14:Q14" si="7">O12-O13</f>
        <v>0.0284653493239175</v>
      </c>
      <c r="P14" s="8">
        <f t="shared" si="7"/>
        <v>-0.0037929429807937</v>
      </c>
      <c r="Q14" s="8">
        <f t="shared" si="7"/>
        <v>0.0404265133019761</v>
      </c>
      <c r="T14">
        <v>6</v>
      </c>
      <c r="U14" s="8">
        <f t="shared" si="3"/>
        <v>0.00166518404444444</v>
      </c>
      <c r="Y14" s="8" t="str">
        <f t="shared" si="4"/>
        <v/>
      </c>
    </row>
    <row r="15" spans="1:25">
      <c r="A15">
        <v>7</v>
      </c>
      <c r="B15" s="5">
        <v>45078</v>
      </c>
      <c r="C15" s="6">
        <v>261.77</v>
      </c>
      <c r="D15" s="7">
        <v>0.2836</v>
      </c>
      <c r="F15" s="8">
        <f t="shared" si="0"/>
        <v>0.2836</v>
      </c>
      <c r="G15" s="8">
        <f>O$5/12</f>
        <v>0.002057875</v>
      </c>
      <c r="H15" s="8">
        <f t="shared" si="1"/>
        <v>0.281542125</v>
      </c>
      <c r="J15" s="8" t="str">
        <f t="shared" si="2"/>
        <v/>
      </c>
      <c r="T15">
        <v>7</v>
      </c>
      <c r="U15" s="8">
        <f t="shared" si="3"/>
        <v>0.0489264907111111</v>
      </c>
      <c r="Y15" s="8" t="str">
        <f t="shared" si="4"/>
        <v/>
      </c>
    </row>
    <row r="16" spans="1:25">
      <c r="A16">
        <v>8</v>
      </c>
      <c r="B16" s="5">
        <v>45047</v>
      </c>
      <c r="C16" s="6">
        <v>203.93</v>
      </c>
      <c r="D16" s="7">
        <v>0.2411</v>
      </c>
      <c r="F16" s="8">
        <f t="shared" si="0"/>
        <v>0.2411</v>
      </c>
      <c r="G16" s="8">
        <f>O$5/12</f>
        <v>0.002057875</v>
      </c>
      <c r="H16" s="8">
        <f t="shared" si="1"/>
        <v>0.239042125</v>
      </c>
      <c r="J16" s="8" t="str">
        <f t="shared" si="2"/>
        <v/>
      </c>
      <c r="L16" s="13" t="s">
        <v>213</v>
      </c>
      <c r="O16" s="16">
        <f t="shared" ref="O16:Q16" si="8">O14/O11</f>
        <v>0.15703277148388</v>
      </c>
      <c r="P16" s="16">
        <f t="shared" si="8"/>
        <v>-0.0212272553396597</v>
      </c>
      <c r="Q16" s="16">
        <f t="shared" si="8"/>
        <v>0.184088744896877</v>
      </c>
      <c r="T16">
        <v>8</v>
      </c>
      <c r="U16" s="8">
        <f t="shared" si="3"/>
        <v>0.0319313073777778</v>
      </c>
      <c r="Y16" s="8" t="str">
        <f t="shared" si="4"/>
        <v/>
      </c>
    </row>
    <row r="17" spans="1:25">
      <c r="A17">
        <v>9</v>
      </c>
      <c r="B17" s="5">
        <v>45017</v>
      </c>
      <c r="C17" s="6">
        <v>164.31</v>
      </c>
      <c r="D17" s="7">
        <v>-0.208</v>
      </c>
      <c r="F17" s="8">
        <f t="shared" si="0"/>
        <v>-0.208</v>
      </c>
      <c r="G17" s="8">
        <f>O$5/12</f>
        <v>0.002057875</v>
      </c>
      <c r="H17" s="8">
        <f t="shared" si="1"/>
        <v>-0.210057875</v>
      </c>
      <c r="J17" s="8">
        <f t="shared" si="2"/>
        <v>-0.210057875</v>
      </c>
      <c r="T17">
        <v>9</v>
      </c>
      <c r="U17" s="8">
        <f t="shared" si="3"/>
        <v>0.0731197653777778</v>
      </c>
      <c r="Y17" s="8">
        <f t="shared" si="4"/>
        <v>0.00658594674556214</v>
      </c>
    </row>
    <row r="18" spans="1:25">
      <c r="A18">
        <v>10</v>
      </c>
      <c r="B18" s="5">
        <v>44986</v>
      </c>
      <c r="C18" s="6">
        <v>207.46</v>
      </c>
      <c r="D18" s="7">
        <v>0.0085</v>
      </c>
      <c r="F18" s="8">
        <f t="shared" si="0"/>
        <v>0.0085</v>
      </c>
      <c r="G18" s="8">
        <f>O$5/12</f>
        <v>0.002057875</v>
      </c>
      <c r="H18" s="8">
        <f t="shared" si="1"/>
        <v>0.006442125</v>
      </c>
      <c r="J18" s="8" t="str">
        <f t="shared" si="2"/>
        <v/>
      </c>
      <c r="L18" s="13" t="s">
        <v>214</v>
      </c>
      <c r="O18" s="8">
        <f t="shared" ref="O18:Q18" si="9">O11*12^(1/2)</f>
        <v>0.627938115316045</v>
      </c>
      <c r="P18" s="8">
        <f t="shared" si="9"/>
        <v>0.618974977954144</v>
      </c>
      <c r="Q18" s="8">
        <f t="shared" si="9"/>
        <v>0.760728474205263</v>
      </c>
      <c r="T18">
        <v>10</v>
      </c>
      <c r="U18" s="8">
        <f t="shared" si="3"/>
        <v>0.00290592871111111</v>
      </c>
      <c r="Y18" s="8" t="str">
        <f t="shared" si="4"/>
        <v/>
      </c>
    </row>
    <row r="19" spans="1:25">
      <c r="A19">
        <v>11</v>
      </c>
      <c r="B19" s="5">
        <v>44958</v>
      </c>
      <c r="C19" s="6">
        <v>205.71</v>
      </c>
      <c r="D19" s="7">
        <v>0.1876</v>
      </c>
      <c r="F19" s="8">
        <f t="shared" si="0"/>
        <v>0.1876</v>
      </c>
      <c r="G19" s="8">
        <f>O$5/12</f>
        <v>0.002057875</v>
      </c>
      <c r="H19" s="8">
        <f t="shared" si="1"/>
        <v>0.185542125</v>
      </c>
      <c r="J19" s="8" t="str">
        <f t="shared" si="2"/>
        <v/>
      </c>
      <c r="L19" s="14" t="s">
        <v>215</v>
      </c>
      <c r="O19" s="8">
        <f>($C$9/$C$20)^(1/($A$20/12))-1</f>
        <v>0.434476388407805</v>
      </c>
      <c r="P19" s="8">
        <f>($C$9/$C$44)^(1/($A$44/12))-1</f>
        <v>-0.0206232700145126</v>
      </c>
      <c r="Q19" s="8">
        <f>($C$9/$C$68)^(1/($A$68/12))-1</f>
        <v>0.647535264375033</v>
      </c>
      <c r="T19">
        <v>11</v>
      </c>
      <c r="U19" s="8">
        <f t="shared" si="3"/>
        <v>0.0156733707111111</v>
      </c>
      <c r="Y19" s="8" t="str">
        <f t="shared" si="4"/>
        <v/>
      </c>
    </row>
    <row r="20" spans="1:25">
      <c r="A20">
        <v>12</v>
      </c>
      <c r="B20" s="5">
        <v>44927</v>
      </c>
      <c r="C20" s="6">
        <v>173.22</v>
      </c>
      <c r="D20" s="7">
        <v>0.4062</v>
      </c>
      <c r="F20" s="8">
        <f t="shared" si="0"/>
        <v>0.4062</v>
      </c>
      <c r="G20" s="8">
        <f>O$5/12</f>
        <v>0.002057875</v>
      </c>
      <c r="H20" s="8">
        <f t="shared" si="1"/>
        <v>0.404142125</v>
      </c>
      <c r="J20" s="8" t="str">
        <f t="shared" si="2"/>
        <v/>
      </c>
      <c r="L20" s="14" t="s">
        <v>216</v>
      </c>
      <c r="O20" s="15">
        <f t="shared" ref="O20:Q20" si="10">$O$5</f>
        <v>0.0246945</v>
      </c>
      <c r="P20" s="15">
        <f t="shared" si="10"/>
        <v>0.0246945</v>
      </c>
      <c r="Q20" s="15">
        <f t="shared" si="10"/>
        <v>0.0246945</v>
      </c>
      <c r="T20">
        <v>12</v>
      </c>
      <c r="U20" s="8">
        <f t="shared" si="3"/>
        <v>0.118193856044444</v>
      </c>
      <c r="Y20" s="8" t="str">
        <f t="shared" si="4"/>
        <v/>
      </c>
    </row>
    <row r="21" spans="1:25">
      <c r="A21">
        <v>13</v>
      </c>
      <c r="B21" s="5">
        <v>44896</v>
      </c>
      <c r="C21" s="6">
        <v>123.18</v>
      </c>
      <c r="D21" s="7">
        <v>-0.3673</v>
      </c>
      <c r="F21" s="8">
        <f t="shared" si="0"/>
        <v>-0.3673</v>
      </c>
      <c r="G21" s="8">
        <f>O$5/12</f>
        <v>0.002057875</v>
      </c>
      <c r="H21" s="8">
        <f t="shared" si="1"/>
        <v>-0.369357875</v>
      </c>
      <c r="J21" s="8">
        <f t="shared" si="2"/>
        <v>-0.369357875</v>
      </c>
      <c r="L21" s="13" t="s">
        <v>212</v>
      </c>
      <c r="O21" s="8">
        <f t="shared" ref="O21:Q21" si="11">O19-O20</f>
        <v>0.409781888407805</v>
      </c>
      <c r="P21" s="8">
        <f t="shared" si="11"/>
        <v>-0.0453177700145126</v>
      </c>
      <c r="Q21" s="8">
        <f t="shared" si="11"/>
        <v>0.622840764375033</v>
      </c>
      <c r="T21">
        <v>13</v>
      </c>
      <c r="U21" s="8">
        <f t="shared" si="3"/>
        <v>0.184647819377778</v>
      </c>
      <c r="Y21" s="8">
        <f t="shared" si="4"/>
        <v>0.0578180521301775</v>
      </c>
    </row>
    <row r="22" spans="1:25">
      <c r="A22">
        <v>14</v>
      </c>
      <c r="B22" s="5">
        <v>44866</v>
      </c>
      <c r="C22" s="6">
        <v>194.7</v>
      </c>
      <c r="D22" s="7">
        <v>-0.1443</v>
      </c>
      <c r="F22" s="8">
        <f t="shared" si="0"/>
        <v>-0.1443</v>
      </c>
      <c r="G22" s="8">
        <f>O$5/12</f>
        <v>0.002057875</v>
      </c>
      <c r="H22" s="8">
        <f t="shared" si="1"/>
        <v>-0.146357875</v>
      </c>
      <c r="J22" s="8">
        <f t="shared" si="2"/>
        <v>-0.146357875</v>
      </c>
      <c r="T22">
        <v>14</v>
      </c>
      <c r="U22" s="8">
        <f t="shared" si="3"/>
        <v>0.0427276460444444</v>
      </c>
      <c r="Y22" s="8">
        <f t="shared" si="4"/>
        <v>0.00030463674556213</v>
      </c>
    </row>
    <row r="23" spans="1:25">
      <c r="A23">
        <v>15</v>
      </c>
      <c r="B23" s="5">
        <v>44835</v>
      </c>
      <c r="C23" s="6">
        <v>227.54</v>
      </c>
      <c r="D23" s="7">
        <v>-0.1422</v>
      </c>
      <c r="F23" s="8">
        <f t="shared" si="0"/>
        <v>-0.1422</v>
      </c>
      <c r="G23" s="8">
        <f>O$5/12</f>
        <v>0.002057875</v>
      </c>
      <c r="H23" s="8">
        <f t="shared" si="1"/>
        <v>-0.144257875</v>
      </c>
      <c r="J23" s="8">
        <f t="shared" si="2"/>
        <v>-0.144257875</v>
      </c>
      <c r="L23" s="13" t="s">
        <v>217</v>
      </c>
      <c r="O23" s="16">
        <f t="shared" ref="O23:Q23" si="12">O21/O18</f>
        <v>0.652583237763103</v>
      </c>
      <c r="P23" s="16">
        <f t="shared" si="12"/>
        <v>-0.0732142196834811</v>
      </c>
      <c r="Q23" s="16">
        <f t="shared" si="12"/>
        <v>0.818742541516825</v>
      </c>
      <c r="T23">
        <v>15</v>
      </c>
      <c r="U23" s="8">
        <f t="shared" si="3"/>
        <v>0.0418638880444444</v>
      </c>
      <c r="Y23" s="8">
        <f t="shared" si="4"/>
        <v>0.000235740591715977</v>
      </c>
    </row>
    <row r="24" ht="15.75" spans="1:25">
      <c r="A24">
        <v>16</v>
      </c>
      <c r="B24" s="5">
        <v>44805</v>
      </c>
      <c r="C24" s="6">
        <v>265.25</v>
      </c>
      <c r="D24" s="7">
        <v>-0.0376</v>
      </c>
      <c r="F24" s="8">
        <f t="shared" si="0"/>
        <v>-0.0376</v>
      </c>
      <c r="G24" s="8">
        <f>O$5/12</f>
        <v>0.002057875</v>
      </c>
      <c r="H24" s="8">
        <f t="shared" si="1"/>
        <v>-0.039657875</v>
      </c>
      <c r="J24" s="8">
        <f t="shared" si="2"/>
        <v>-0.039657875</v>
      </c>
      <c r="T24">
        <v>16</v>
      </c>
      <c r="U24" s="8">
        <f t="shared" si="3"/>
        <v>0.0100013333777778</v>
      </c>
      <c r="Y24" s="8">
        <f t="shared" si="4"/>
        <v>0.00796487597633136</v>
      </c>
    </row>
    <row r="25" ht="15.75" spans="1:25">
      <c r="A25">
        <v>17</v>
      </c>
      <c r="B25" s="5">
        <v>44774</v>
      </c>
      <c r="C25" s="6">
        <v>275.61</v>
      </c>
      <c r="D25" s="7">
        <v>-0.0725</v>
      </c>
      <c r="F25" s="8">
        <f t="shared" si="0"/>
        <v>-0.0725</v>
      </c>
      <c r="G25" s="8">
        <f>O$5/12</f>
        <v>0.002057875</v>
      </c>
      <c r="H25" s="8">
        <f t="shared" si="1"/>
        <v>-0.074557875</v>
      </c>
      <c r="J25" s="8">
        <f t="shared" si="2"/>
        <v>-0.074557875</v>
      </c>
      <c r="L25" s="17"/>
      <c r="M25" s="17"/>
      <c r="N25" s="17"/>
      <c r="O25" s="17"/>
      <c r="P25" s="17"/>
      <c r="Q25" s="17"/>
      <c r="T25">
        <v>17</v>
      </c>
      <c r="U25" s="8">
        <f t="shared" si="3"/>
        <v>0.0181998087111111</v>
      </c>
      <c r="Y25" s="8">
        <f t="shared" si="4"/>
        <v>0.00295350443786982</v>
      </c>
    </row>
    <row r="26" spans="1:25">
      <c r="A26">
        <v>18</v>
      </c>
      <c r="B26" s="5">
        <v>44743</v>
      </c>
      <c r="C26" s="6">
        <v>297.15</v>
      </c>
      <c r="D26" s="7">
        <v>0.3238</v>
      </c>
      <c r="F26" s="8">
        <f t="shared" si="0"/>
        <v>0.3238</v>
      </c>
      <c r="G26" s="8">
        <f>O$5/12</f>
        <v>0.002057875</v>
      </c>
      <c r="H26" s="8">
        <f t="shared" si="1"/>
        <v>0.321742125</v>
      </c>
      <c r="J26" s="8" t="str">
        <f t="shared" si="2"/>
        <v/>
      </c>
      <c r="L26" s="11" t="s">
        <v>21</v>
      </c>
      <c r="O26" s="12" t="s">
        <v>207</v>
      </c>
      <c r="P26" s="12" t="s">
        <v>208</v>
      </c>
      <c r="Q26" s="12" t="s">
        <v>209</v>
      </c>
      <c r="T26">
        <v>18</v>
      </c>
      <c r="U26" s="8">
        <f t="shared" si="3"/>
        <v>0.0683264747111111</v>
      </c>
      <c r="Y26" s="8" t="str">
        <f t="shared" si="4"/>
        <v/>
      </c>
    </row>
    <row r="27" spans="1:25">
      <c r="A27">
        <v>19</v>
      </c>
      <c r="B27" s="5">
        <v>44713</v>
      </c>
      <c r="C27" s="6">
        <v>224.47</v>
      </c>
      <c r="D27" s="7">
        <v>-0.1119</v>
      </c>
      <c r="F27" s="8">
        <f t="shared" si="0"/>
        <v>-0.1119</v>
      </c>
      <c r="G27" s="8">
        <f>O$5/12</f>
        <v>0.002057875</v>
      </c>
      <c r="H27" s="8">
        <f t="shared" si="1"/>
        <v>-0.113957875</v>
      </c>
      <c r="J27" s="8">
        <f t="shared" si="2"/>
        <v>-0.113957875</v>
      </c>
      <c r="T27">
        <v>19</v>
      </c>
      <c r="U27" s="8">
        <f t="shared" si="3"/>
        <v>0.0303828140444444</v>
      </c>
      <c r="Y27" s="8">
        <f t="shared" si="4"/>
        <v>0.000223387514792899</v>
      </c>
    </row>
    <row r="28" ht="18.75" spans="1:25">
      <c r="A28">
        <v>20</v>
      </c>
      <c r="B28" s="5">
        <v>44682</v>
      </c>
      <c r="C28" s="6">
        <v>252.75</v>
      </c>
      <c r="D28" s="7">
        <v>-0.1292</v>
      </c>
      <c r="F28" s="8">
        <f t="shared" si="0"/>
        <v>-0.1292</v>
      </c>
      <c r="G28" s="8">
        <f>O$5/12</f>
        <v>0.002057875</v>
      </c>
      <c r="H28" s="8">
        <f t="shared" si="1"/>
        <v>-0.131257875</v>
      </c>
      <c r="J28" s="8">
        <f t="shared" si="2"/>
        <v>-0.131257875</v>
      </c>
      <c r="L28" s="13" t="s">
        <v>218</v>
      </c>
      <c r="O28" s="9">
        <f>_xlfn.STDEV.S(J9:J20)</f>
        <v>0.0982062116161702</v>
      </c>
      <c r="P28" s="9">
        <f>_xlfn.STDEV.S(J9:J44)</f>
        <v>0.0848587700221562</v>
      </c>
      <c r="Q28" s="9">
        <f>_xlfn.STDEV.S(J9:J68)</f>
        <v>0.0768813279321799</v>
      </c>
      <c r="T28">
        <v>20</v>
      </c>
      <c r="U28" s="8">
        <f t="shared" si="3"/>
        <v>0.0367131147111111</v>
      </c>
      <c r="Y28" s="8">
        <f t="shared" si="4"/>
        <v>5.54059171597645e-6</v>
      </c>
    </row>
    <row r="29" spans="1:25">
      <c r="A29">
        <v>21</v>
      </c>
      <c r="B29" s="5">
        <v>44652</v>
      </c>
      <c r="C29" s="6">
        <v>290.25</v>
      </c>
      <c r="D29" s="7">
        <v>-0.1919</v>
      </c>
      <c r="F29" s="8">
        <f t="shared" si="0"/>
        <v>-0.1919</v>
      </c>
      <c r="G29" s="8">
        <f>O$5/12</f>
        <v>0.002057875</v>
      </c>
      <c r="H29" s="8">
        <f t="shared" si="1"/>
        <v>-0.193957875</v>
      </c>
      <c r="J29" s="8">
        <f t="shared" si="2"/>
        <v>-0.193957875</v>
      </c>
      <c r="L29" s="14" t="s">
        <v>210</v>
      </c>
      <c r="O29" s="8">
        <f t="shared" ref="O29:Q29" si="13">(1+O36)^(1/12)-1</f>
        <v>0.0305232243239175</v>
      </c>
      <c r="P29" s="8">
        <f t="shared" si="13"/>
        <v>-0.0017350679807937</v>
      </c>
      <c r="Q29" s="8">
        <f t="shared" si="13"/>
        <v>0.0424843883019761</v>
      </c>
      <c r="T29">
        <v>21</v>
      </c>
      <c r="U29" s="8">
        <f t="shared" si="3"/>
        <v>0.0646718807111111</v>
      </c>
      <c r="Y29" s="8">
        <f t="shared" si="4"/>
        <v>0.00423200289940829</v>
      </c>
    </row>
    <row r="30" spans="1:25">
      <c r="A30">
        <v>22</v>
      </c>
      <c r="B30" s="5">
        <v>44621</v>
      </c>
      <c r="C30" s="6">
        <v>359.2</v>
      </c>
      <c r="D30" s="7">
        <v>0.238</v>
      </c>
      <c r="F30" s="8">
        <f t="shared" si="0"/>
        <v>0.238</v>
      </c>
      <c r="G30" s="8">
        <f>O$5/12</f>
        <v>0.002057875</v>
      </c>
      <c r="H30" s="8">
        <f t="shared" si="1"/>
        <v>0.235942125</v>
      </c>
      <c r="J30" s="8" t="str">
        <f t="shared" si="2"/>
        <v/>
      </c>
      <c r="L30" s="14" t="s">
        <v>211</v>
      </c>
      <c r="O30" s="15">
        <f t="shared" ref="O30:Q30" si="14">O37/12</f>
        <v>0.002057875</v>
      </c>
      <c r="P30" s="15">
        <f t="shared" si="14"/>
        <v>0.002057875</v>
      </c>
      <c r="Q30" s="15">
        <f t="shared" si="14"/>
        <v>0.002057875</v>
      </c>
      <c r="T30">
        <v>22</v>
      </c>
      <c r="U30" s="8">
        <f t="shared" si="3"/>
        <v>0.0308330187111111</v>
      </c>
      <c r="Y30" s="8" t="str">
        <f t="shared" si="4"/>
        <v/>
      </c>
    </row>
    <row r="31" spans="1:25">
      <c r="A31">
        <v>23</v>
      </c>
      <c r="B31" s="5">
        <v>44593</v>
      </c>
      <c r="C31" s="6">
        <v>290.14</v>
      </c>
      <c r="D31" s="7">
        <v>-0.0708</v>
      </c>
      <c r="F31" s="8">
        <f t="shared" si="0"/>
        <v>-0.0708</v>
      </c>
      <c r="G31" s="8">
        <f>O$5/12</f>
        <v>0.002057875</v>
      </c>
      <c r="H31" s="8">
        <f t="shared" si="1"/>
        <v>-0.072857875</v>
      </c>
      <c r="J31" s="8">
        <f t="shared" si="2"/>
        <v>-0.072857875</v>
      </c>
      <c r="L31" s="13" t="s">
        <v>212</v>
      </c>
      <c r="O31" s="8">
        <f t="shared" ref="O31:Q31" si="15">O29-O30</f>
        <v>0.0284653493239175</v>
      </c>
      <c r="P31" s="8">
        <f t="shared" si="15"/>
        <v>-0.0037929429807937</v>
      </c>
      <c r="Q31" s="8">
        <f t="shared" si="15"/>
        <v>0.0404265133019761</v>
      </c>
      <c r="T31">
        <v>23</v>
      </c>
      <c r="U31" s="8">
        <f t="shared" si="3"/>
        <v>0.0177440160444444</v>
      </c>
      <c r="Y31" s="8">
        <f t="shared" si="4"/>
        <v>0.00314117136094674</v>
      </c>
    </row>
    <row r="32" spans="1:25">
      <c r="A32">
        <v>24</v>
      </c>
      <c r="B32" s="5">
        <v>44562</v>
      </c>
      <c r="C32" s="6">
        <v>312.24</v>
      </c>
      <c r="D32" s="7">
        <v>-0.1136</v>
      </c>
      <c r="F32" s="8">
        <f t="shared" si="0"/>
        <v>-0.1136</v>
      </c>
      <c r="G32" s="8">
        <f>O$5/12</f>
        <v>0.002057875</v>
      </c>
      <c r="H32" s="8">
        <f t="shared" si="1"/>
        <v>-0.115657875</v>
      </c>
      <c r="J32" s="8">
        <f t="shared" si="2"/>
        <v>-0.115657875</v>
      </c>
      <c r="T32">
        <v>24</v>
      </c>
      <c r="U32" s="8">
        <f t="shared" si="3"/>
        <v>0.0309783467111111</v>
      </c>
      <c r="Y32" s="8">
        <f t="shared" si="4"/>
        <v>0.000175460591715976</v>
      </c>
    </row>
    <row r="33" spans="1:25">
      <c r="A33">
        <v>25</v>
      </c>
      <c r="B33" s="5">
        <v>44531</v>
      </c>
      <c r="C33" s="6">
        <v>352.26</v>
      </c>
      <c r="D33" s="7">
        <v>-0.0769</v>
      </c>
      <c r="F33" s="8">
        <f t="shared" si="0"/>
        <v>-0.0769</v>
      </c>
      <c r="G33" s="8">
        <f>O$5/12</f>
        <v>0.002057875</v>
      </c>
      <c r="H33" s="8">
        <f t="shared" si="1"/>
        <v>-0.078957875</v>
      </c>
      <c r="J33" s="8">
        <f t="shared" si="2"/>
        <v>-0.078957875</v>
      </c>
      <c r="L33" s="13" t="s">
        <v>219</v>
      </c>
      <c r="O33" s="16">
        <f t="shared" ref="O33:Q33" si="16">O31/O28</f>
        <v>0.289852839809886</v>
      </c>
      <c r="P33" s="16">
        <f t="shared" si="16"/>
        <v>-0.0446971241723558</v>
      </c>
      <c r="Q33" s="16">
        <f t="shared" si="16"/>
        <v>0.525830060292896</v>
      </c>
      <c r="T33">
        <v>25</v>
      </c>
      <c r="U33" s="8">
        <f t="shared" si="3"/>
        <v>0.0194063473777778</v>
      </c>
      <c r="Y33" s="8">
        <f t="shared" si="4"/>
        <v>0.00249461828402366</v>
      </c>
    </row>
    <row r="34" spans="1:25">
      <c r="A34">
        <v>26</v>
      </c>
      <c r="B34" s="5">
        <v>44501</v>
      </c>
      <c r="C34" s="6">
        <v>381.59</v>
      </c>
      <c r="D34" s="7">
        <v>0.0276</v>
      </c>
      <c r="F34" s="8">
        <f t="shared" si="0"/>
        <v>0.0276</v>
      </c>
      <c r="G34" s="8">
        <f>O$5/12</f>
        <v>0.002057875</v>
      </c>
      <c r="H34" s="8">
        <f t="shared" si="1"/>
        <v>0.025542125</v>
      </c>
      <c r="J34" s="8" t="str">
        <f t="shared" si="2"/>
        <v/>
      </c>
      <c r="T34">
        <v>26</v>
      </c>
      <c r="U34" s="8">
        <f t="shared" si="3"/>
        <v>0.00121150404444444</v>
      </c>
      <c r="Y34" s="8" t="str">
        <f t="shared" si="4"/>
        <v/>
      </c>
    </row>
    <row r="35" spans="1:25">
      <c r="A35">
        <v>27</v>
      </c>
      <c r="B35" s="5">
        <v>44470</v>
      </c>
      <c r="C35" s="6">
        <v>371.33</v>
      </c>
      <c r="D35" s="7">
        <v>0.4365</v>
      </c>
      <c r="F35" s="8">
        <f t="shared" si="0"/>
        <v>0.4365</v>
      </c>
      <c r="G35" s="8">
        <f>O$5/12</f>
        <v>0.002057875</v>
      </c>
      <c r="H35" s="8">
        <f t="shared" si="1"/>
        <v>0.434442125</v>
      </c>
      <c r="J35" s="8" t="str">
        <f t="shared" si="2"/>
        <v/>
      </c>
      <c r="L35" s="13" t="s">
        <v>220</v>
      </c>
      <c r="O35" s="8">
        <f t="shared" ref="O35:Q35" si="17">O28*12^(1/2)</f>
        <v>0.340196296276135</v>
      </c>
      <c r="P35" s="8">
        <f t="shared" si="17"/>
        <v>0.293959402292355</v>
      </c>
      <c r="Q35" s="8">
        <f t="shared" si="17"/>
        <v>0.2663247322638</v>
      </c>
      <c r="T35">
        <v>27</v>
      </c>
      <c r="U35" s="8">
        <f t="shared" si="3"/>
        <v>0.139945822044444</v>
      </c>
      <c r="Y35" s="8" t="str">
        <f t="shared" si="4"/>
        <v/>
      </c>
    </row>
    <row r="36" spans="1:25">
      <c r="A36">
        <v>28</v>
      </c>
      <c r="B36" s="5">
        <v>44440</v>
      </c>
      <c r="C36" s="6">
        <v>258.49</v>
      </c>
      <c r="D36" s="7">
        <v>0.054</v>
      </c>
      <c r="F36" s="8">
        <f t="shared" si="0"/>
        <v>0.054</v>
      </c>
      <c r="G36" s="8">
        <f>O$5/12</f>
        <v>0.002057875</v>
      </c>
      <c r="H36" s="8">
        <f t="shared" si="1"/>
        <v>0.051942125</v>
      </c>
      <c r="J36" s="8" t="str">
        <f t="shared" si="2"/>
        <v/>
      </c>
      <c r="L36" s="14" t="s">
        <v>215</v>
      </c>
      <c r="O36" s="8">
        <f>($C$9/$C$20)^(1/($A$20/12))-1</f>
        <v>0.434476388407805</v>
      </c>
      <c r="P36" s="8">
        <f>($C$9/$C$44)^(1/($A$44/12))-1</f>
        <v>-0.0206232700145126</v>
      </c>
      <c r="Q36" s="8">
        <f>($C$9/$C$68)^(1/($A$68/12))-1</f>
        <v>0.647535264375033</v>
      </c>
      <c r="T36">
        <v>28</v>
      </c>
      <c r="U36" s="8">
        <f t="shared" si="3"/>
        <v>7.06720444444444e-5</v>
      </c>
      <c r="Y36" s="8" t="str">
        <f t="shared" si="4"/>
        <v/>
      </c>
    </row>
    <row r="37" spans="1:25">
      <c r="A37">
        <v>29</v>
      </c>
      <c r="B37" s="5">
        <v>44409</v>
      </c>
      <c r="C37" s="6">
        <v>245.24</v>
      </c>
      <c r="D37" s="7">
        <v>0.0706</v>
      </c>
      <c r="F37" s="8">
        <f t="shared" si="0"/>
        <v>0.0706</v>
      </c>
      <c r="G37" s="8">
        <f>O$5/12</f>
        <v>0.002057875</v>
      </c>
      <c r="H37" s="8">
        <f t="shared" si="1"/>
        <v>0.068542125</v>
      </c>
      <c r="J37" s="8" t="str">
        <f t="shared" si="2"/>
        <v/>
      </c>
      <c r="L37" s="14" t="s">
        <v>216</v>
      </c>
      <c r="O37" s="15">
        <f t="shared" ref="O37:Q37" si="18">$O$5</f>
        <v>0.0246945</v>
      </c>
      <c r="P37" s="15">
        <f t="shared" si="18"/>
        <v>0.0246945</v>
      </c>
      <c r="Q37" s="15">
        <f t="shared" si="18"/>
        <v>0.0246945</v>
      </c>
      <c r="T37">
        <v>29</v>
      </c>
      <c r="U37" s="8">
        <f t="shared" si="3"/>
        <v>6.71307111111109e-5</v>
      </c>
      <c r="Y37" s="8" t="str">
        <f t="shared" si="4"/>
        <v/>
      </c>
    </row>
    <row r="38" spans="1:25">
      <c r="A38">
        <v>30</v>
      </c>
      <c r="B38" s="5">
        <v>44378</v>
      </c>
      <c r="C38" s="6">
        <v>229.07</v>
      </c>
      <c r="D38" s="7">
        <v>0.011</v>
      </c>
      <c r="F38" s="8">
        <f t="shared" si="0"/>
        <v>0.011</v>
      </c>
      <c r="G38" s="8">
        <f>O$5/12</f>
        <v>0.002057875</v>
      </c>
      <c r="H38" s="8">
        <f t="shared" si="1"/>
        <v>0.008942125</v>
      </c>
      <c r="J38" s="8" t="str">
        <f t="shared" si="2"/>
        <v/>
      </c>
      <c r="L38" s="13" t="s">
        <v>212</v>
      </c>
      <c r="O38" s="8">
        <f t="shared" ref="O38:Q38" si="19">O36-O37</f>
        <v>0.409781888407805</v>
      </c>
      <c r="P38" s="8">
        <f t="shared" si="19"/>
        <v>-0.0453177700145126</v>
      </c>
      <c r="Q38" s="8">
        <f t="shared" si="19"/>
        <v>0.622840764375033</v>
      </c>
      <c r="T38">
        <v>30</v>
      </c>
      <c r="U38" s="8">
        <f t="shared" si="3"/>
        <v>0.00264264537777778</v>
      </c>
      <c r="Y38" s="8" t="str">
        <f t="shared" si="4"/>
        <v/>
      </c>
    </row>
    <row r="39" spans="1:25">
      <c r="A39">
        <v>31</v>
      </c>
      <c r="B39" s="5">
        <v>44348</v>
      </c>
      <c r="C39" s="6">
        <v>226.57</v>
      </c>
      <c r="D39" s="7">
        <v>0.0871</v>
      </c>
      <c r="F39" s="8">
        <f t="shared" si="0"/>
        <v>0.0871</v>
      </c>
      <c r="G39" s="8">
        <f>O$5/12</f>
        <v>0.002057875</v>
      </c>
      <c r="H39" s="8">
        <f t="shared" si="1"/>
        <v>0.085042125</v>
      </c>
      <c r="J39" s="8" t="str">
        <f t="shared" si="2"/>
        <v/>
      </c>
      <c r="T39">
        <v>31</v>
      </c>
      <c r="U39" s="8">
        <f t="shared" si="3"/>
        <v>0.000609760711111111</v>
      </c>
      <c r="Y39" s="8" t="str">
        <f t="shared" si="4"/>
        <v/>
      </c>
    </row>
    <row r="40" ht="18.75" spans="1:25">
      <c r="A40">
        <v>32</v>
      </c>
      <c r="B40" s="5">
        <v>44317</v>
      </c>
      <c r="C40" s="6">
        <v>208.41</v>
      </c>
      <c r="D40" s="7">
        <v>-0.1187</v>
      </c>
      <c r="F40" s="8">
        <f t="shared" si="0"/>
        <v>-0.1187</v>
      </c>
      <c r="G40" s="8">
        <f>O$5/12</f>
        <v>0.002057875</v>
      </c>
      <c r="H40" s="8">
        <f t="shared" si="1"/>
        <v>-0.120757875</v>
      </c>
      <c r="J40" s="8">
        <f t="shared" si="2"/>
        <v>-0.120757875</v>
      </c>
      <c r="L40" s="13" t="s">
        <v>221</v>
      </c>
      <c r="O40" s="16">
        <f t="shared" ref="O40:Q40" si="20">O38/O35</f>
        <v>1.20454541361376</v>
      </c>
      <c r="P40" s="16">
        <f t="shared" si="20"/>
        <v>-0.154163362903569</v>
      </c>
      <c r="Q40" s="16">
        <f t="shared" si="20"/>
        <v>2.33865161181537</v>
      </c>
      <c r="T40">
        <v>32</v>
      </c>
      <c r="U40" s="8">
        <f t="shared" si="3"/>
        <v>0.0327996247111111</v>
      </c>
      <c r="Y40" s="8">
        <f t="shared" si="4"/>
        <v>6.63598224852068e-5</v>
      </c>
    </row>
    <row r="41" spans="1:25">
      <c r="A41">
        <v>33</v>
      </c>
      <c r="B41" s="5">
        <v>44287</v>
      </c>
      <c r="C41" s="6">
        <v>236.48</v>
      </c>
      <c r="D41" s="7">
        <v>0.0621</v>
      </c>
      <c r="E41" s="4"/>
      <c r="F41" s="8">
        <f t="shared" si="0"/>
        <v>0.0621</v>
      </c>
      <c r="G41" s="8">
        <f>O$5/12</f>
        <v>0.002057875</v>
      </c>
      <c r="H41" s="8">
        <f t="shared" si="1"/>
        <v>0.060042125</v>
      </c>
      <c r="J41" s="8" t="str">
        <f t="shared" si="2"/>
        <v/>
      </c>
      <c r="T41">
        <v>33</v>
      </c>
      <c r="U41" s="8">
        <f t="shared" si="3"/>
        <v>9.40444444444467e-8</v>
      </c>
      <c r="Y41" s="8" t="str">
        <f t="shared" si="4"/>
        <v/>
      </c>
    </row>
    <row r="42" spans="1:25">
      <c r="A42">
        <v>34</v>
      </c>
      <c r="B42" s="5">
        <v>44256</v>
      </c>
      <c r="C42" s="6">
        <v>222.64</v>
      </c>
      <c r="D42" s="7">
        <v>-0.0112</v>
      </c>
      <c r="E42" s="4"/>
      <c r="F42" s="8">
        <f t="shared" si="0"/>
        <v>-0.0112</v>
      </c>
      <c r="G42" s="8">
        <f>O$5/12</f>
        <v>0.002057875</v>
      </c>
      <c r="H42" s="8">
        <f t="shared" si="1"/>
        <v>-0.013257875</v>
      </c>
      <c r="J42" s="8">
        <f t="shared" si="2"/>
        <v>-0.013257875</v>
      </c>
      <c r="T42">
        <v>34</v>
      </c>
      <c r="U42" s="8">
        <f t="shared" si="3"/>
        <v>0.00541794137777778</v>
      </c>
      <c r="Y42" s="8">
        <f t="shared" si="4"/>
        <v>0.0133740328994083</v>
      </c>
    </row>
    <row r="43" spans="1:25">
      <c r="A43">
        <v>35</v>
      </c>
      <c r="B43" s="5">
        <v>44228</v>
      </c>
      <c r="C43" s="6">
        <v>225.17</v>
      </c>
      <c r="D43" s="7">
        <v>-0.1487</v>
      </c>
      <c r="E43" s="4"/>
      <c r="F43" s="8">
        <f t="shared" si="0"/>
        <v>-0.1487</v>
      </c>
      <c r="G43" s="8">
        <f>O$5/12</f>
        <v>0.002057875</v>
      </c>
      <c r="H43" s="8">
        <f t="shared" si="1"/>
        <v>-0.150757875</v>
      </c>
      <c r="J43" s="8">
        <f t="shared" si="2"/>
        <v>-0.150757875</v>
      </c>
      <c r="T43">
        <v>35</v>
      </c>
      <c r="U43" s="8">
        <f t="shared" si="3"/>
        <v>0.0445660247111111</v>
      </c>
      <c r="Y43" s="8">
        <f t="shared" si="4"/>
        <v>0.000477590591715977</v>
      </c>
    </row>
    <row r="44" spans="1:25">
      <c r="A44">
        <v>36</v>
      </c>
      <c r="B44" s="5">
        <v>44197</v>
      </c>
      <c r="C44" s="6">
        <v>264.51</v>
      </c>
      <c r="D44" s="7">
        <v>0.1245</v>
      </c>
      <c r="E44" s="4"/>
      <c r="F44" s="8">
        <f t="shared" si="0"/>
        <v>0.1245</v>
      </c>
      <c r="G44" s="8">
        <f>O$5/12</f>
        <v>0.002057875</v>
      </c>
      <c r="H44" s="8">
        <f t="shared" si="1"/>
        <v>0.122442125</v>
      </c>
      <c r="J44" s="8" t="str">
        <f t="shared" si="2"/>
        <v/>
      </c>
      <c r="T44">
        <v>36</v>
      </c>
      <c r="U44" s="8">
        <f t="shared" si="3"/>
        <v>0.00385558204444444</v>
      </c>
      <c r="Y44" s="8" t="str">
        <f t="shared" si="4"/>
        <v/>
      </c>
    </row>
    <row r="45" spans="1:25">
      <c r="A45">
        <v>37</v>
      </c>
      <c r="B45" s="5">
        <v>44166</v>
      </c>
      <c r="C45" s="6">
        <v>235.22</v>
      </c>
      <c r="D45" s="7">
        <v>0.2433</v>
      </c>
      <c r="E45" s="4"/>
      <c r="F45" s="8">
        <f t="shared" si="0"/>
        <v>0.2433</v>
      </c>
      <c r="G45" s="8">
        <f>O$5/12</f>
        <v>0.002057875</v>
      </c>
      <c r="H45" s="8">
        <f t="shared" si="1"/>
        <v>0.241242125</v>
      </c>
      <c r="J45" s="8" t="str">
        <f t="shared" si="2"/>
        <v/>
      </c>
      <c r="T45">
        <v>37</v>
      </c>
      <c r="U45" s="8">
        <f t="shared" si="3"/>
        <v>0.0327223980444444</v>
      </c>
      <c r="Y45" s="8" t="str">
        <f t="shared" si="4"/>
        <v/>
      </c>
    </row>
    <row r="46" spans="1:25">
      <c r="A46">
        <v>38</v>
      </c>
      <c r="B46" s="5">
        <v>44136</v>
      </c>
      <c r="C46" s="6">
        <v>189.2</v>
      </c>
      <c r="D46" s="7">
        <v>0.4627</v>
      </c>
      <c r="E46" s="4"/>
      <c r="F46" s="8">
        <f t="shared" si="0"/>
        <v>0.4627</v>
      </c>
      <c r="G46" s="8">
        <f>O$5/12</f>
        <v>0.002057875</v>
      </c>
      <c r="H46" s="8">
        <f t="shared" si="1"/>
        <v>0.460642125</v>
      </c>
      <c r="J46" s="8" t="str">
        <f t="shared" si="2"/>
        <v/>
      </c>
      <c r="T46">
        <v>38</v>
      </c>
      <c r="U46" s="8">
        <f t="shared" si="3"/>
        <v>0.160234752711111</v>
      </c>
      <c r="Y46" s="8" t="str">
        <f t="shared" si="4"/>
        <v/>
      </c>
    </row>
    <row r="47" spans="1:25">
      <c r="A47">
        <v>39</v>
      </c>
      <c r="B47" s="5">
        <v>44105</v>
      </c>
      <c r="C47" s="6">
        <v>129.35</v>
      </c>
      <c r="D47" s="7">
        <v>-0.0955</v>
      </c>
      <c r="E47" s="4"/>
      <c r="F47" s="8">
        <f t="shared" si="0"/>
        <v>-0.0955</v>
      </c>
      <c r="G47" s="8">
        <f>O$5/12</f>
        <v>0.002057875</v>
      </c>
      <c r="H47" s="8">
        <f t="shared" si="1"/>
        <v>-0.097557875</v>
      </c>
      <c r="J47" s="8">
        <f t="shared" si="2"/>
        <v>-0.097557875</v>
      </c>
      <c r="T47">
        <v>39</v>
      </c>
      <c r="U47" s="8">
        <f t="shared" si="3"/>
        <v>0.0249345153777778</v>
      </c>
      <c r="Y47" s="8">
        <f t="shared" si="4"/>
        <v>0.000982581360946744</v>
      </c>
    </row>
    <row r="48" spans="1:25">
      <c r="A48">
        <v>40</v>
      </c>
      <c r="B48" s="5">
        <v>44075</v>
      </c>
      <c r="C48" s="6">
        <v>143</v>
      </c>
      <c r="D48" s="7">
        <v>-0.1391</v>
      </c>
      <c r="E48" s="4"/>
      <c r="F48" s="8">
        <f t="shared" si="0"/>
        <v>-0.1391</v>
      </c>
      <c r="G48" s="8">
        <f>O$5/12</f>
        <v>0.002057875</v>
      </c>
      <c r="H48" s="8">
        <f t="shared" si="1"/>
        <v>-0.141157875</v>
      </c>
      <c r="J48" s="8">
        <f t="shared" si="2"/>
        <v>-0.141157875</v>
      </c>
      <c r="T48">
        <v>40</v>
      </c>
      <c r="U48" s="8">
        <f t="shared" si="3"/>
        <v>0.0406049367111111</v>
      </c>
      <c r="Y48" s="8">
        <f t="shared" si="4"/>
        <v>0.000150156745562131</v>
      </c>
    </row>
    <row r="49" spans="1:25">
      <c r="A49">
        <v>41</v>
      </c>
      <c r="B49" s="5">
        <v>44044</v>
      </c>
      <c r="C49" s="6">
        <v>166.11</v>
      </c>
      <c r="D49" s="7">
        <v>0.7415</v>
      </c>
      <c r="E49" s="4"/>
      <c r="F49" s="8">
        <f t="shared" si="0"/>
        <v>0.7415</v>
      </c>
      <c r="G49" s="8">
        <f>O$5/12</f>
        <v>0.002057875</v>
      </c>
      <c r="H49" s="8">
        <f t="shared" si="1"/>
        <v>0.739442125</v>
      </c>
      <c r="J49" s="8" t="str">
        <f t="shared" si="2"/>
        <v/>
      </c>
      <c r="T49">
        <v>41</v>
      </c>
      <c r="U49" s="8">
        <f t="shared" si="3"/>
        <v>0.461167755377778</v>
      </c>
      <c r="Y49" s="8" t="str">
        <f t="shared" si="4"/>
        <v/>
      </c>
    </row>
    <row r="50" spans="1:25">
      <c r="A50">
        <v>42</v>
      </c>
      <c r="B50" s="5">
        <v>44013</v>
      </c>
      <c r="C50" s="6">
        <v>95.38</v>
      </c>
      <c r="D50" s="7">
        <v>0.325</v>
      </c>
      <c r="E50" s="4"/>
      <c r="F50" s="8">
        <f t="shared" si="0"/>
        <v>0.325</v>
      </c>
      <c r="G50" s="8">
        <f>O$5/12</f>
        <v>0.002057875</v>
      </c>
      <c r="H50" s="8">
        <f t="shared" si="1"/>
        <v>0.322942125</v>
      </c>
      <c r="J50" s="8" t="str">
        <f t="shared" si="2"/>
        <v/>
      </c>
      <c r="T50">
        <v>42</v>
      </c>
      <c r="U50" s="8">
        <f t="shared" si="3"/>
        <v>0.0689552587111111</v>
      </c>
      <c r="Y50" s="8" t="str">
        <f t="shared" si="4"/>
        <v/>
      </c>
    </row>
    <row r="51" spans="1:25">
      <c r="A51">
        <v>43</v>
      </c>
      <c r="B51" s="5">
        <v>43983</v>
      </c>
      <c r="C51" s="6">
        <v>71.99</v>
      </c>
      <c r="D51" s="7">
        <v>0.2932</v>
      </c>
      <c r="E51" s="4"/>
      <c r="F51" s="8">
        <f t="shared" si="0"/>
        <v>0.2932</v>
      </c>
      <c r="G51" s="8">
        <f>O$5/12</f>
        <v>0.002057875</v>
      </c>
      <c r="H51" s="8">
        <f t="shared" si="1"/>
        <v>0.291142125</v>
      </c>
      <c r="J51" s="8" t="str">
        <f t="shared" si="2"/>
        <v/>
      </c>
      <c r="T51">
        <v>43</v>
      </c>
      <c r="U51" s="8">
        <f t="shared" si="3"/>
        <v>0.0532655627111111</v>
      </c>
      <c r="Y51" s="8" t="str">
        <f t="shared" si="4"/>
        <v/>
      </c>
    </row>
    <row r="52" spans="1:25">
      <c r="A52">
        <v>44</v>
      </c>
      <c r="B52" s="5">
        <v>43952</v>
      </c>
      <c r="C52" s="6">
        <v>55.67</v>
      </c>
      <c r="D52" s="7">
        <v>0.0679</v>
      </c>
      <c r="E52" s="4"/>
      <c r="F52" s="8">
        <f t="shared" si="0"/>
        <v>0.0679</v>
      </c>
      <c r="G52" s="8">
        <f>O$5/12</f>
        <v>0.002057875</v>
      </c>
      <c r="H52" s="8">
        <f t="shared" si="1"/>
        <v>0.065842125</v>
      </c>
      <c r="J52" s="8" t="str">
        <f t="shared" si="2"/>
        <v/>
      </c>
      <c r="T52">
        <v>44</v>
      </c>
      <c r="U52" s="8">
        <f t="shared" si="3"/>
        <v>3.01767111111111e-5</v>
      </c>
      <c r="Y52" s="8" t="str">
        <f t="shared" si="4"/>
        <v/>
      </c>
    </row>
    <row r="53" spans="1:25">
      <c r="A53">
        <v>45</v>
      </c>
      <c r="B53" s="5">
        <v>43922</v>
      </c>
      <c r="C53" s="6">
        <v>52.13</v>
      </c>
      <c r="D53" s="7">
        <v>0.4921</v>
      </c>
      <c r="E53" s="4"/>
      <c r="F53" s="8">
        <f t="shared" si="0"/>
        <v>0.4921</v>
      </c>
      <c r="G53" s="8">
        <f>O$5/12</f>
        <v>0.002057875</v>
      </c>
      <c r="H53" s="8">
        <f t="shared" si="1"/>
        <v>0.490042125</v>
      </c>
      <c r="J53" s="8" t="str">
        <f t="shared" si="2"/>
        <v/>
      </c>
      <c r="T53">
        <v>45</v>
      </c>
      <c r="U53" s="8">
        <f t="shared" si="3"/>
        <v>0.184636360711111</v>
      </c>
      <c r="Y53" s="8" t="str">
        <f t="shared" si="4"/>
        <v/>
      </c>
    </row>
    <row r="54" spans="1:25">
      <c r="A54">
        <v>46</v>
      </c>
      <c r="B54" s="5">
        <v>43891</v>
      </c>
      <c r="C54" s="6">
        <v>34.93</v>
      </c>
      <c r="D54" s="7">
        <v>-0.2156</v>
      </c>
      <c r="E54" s="4"/>
      <c r="F54" s="8">
        <f t="shared" si="0"/>
        <v>-0.2156</v>
      </c>
      <c r="G54" s="8">
        <f>O$5/12</f>
        <v>0.002057875</v>
      </c>
      <c r="H54" s="8">
        <f t="shared" si="1"/>
        <v>-0.217657875</v>
      </c>
      <c r="J54" s="8">
        <f t="shared" si="2"/>
        <v>-0.217657875</v>
      </c>
      <c r="T54">
        <v>46</v>
      </c>
      <c r="U54" s="8">
        <f t="shared" si="3"/>
        <v>0.0772877067111111</v>
      </c>
      <c r="Y54" s="8">
        <f t="shared" si="4"/>
        <v>0.00787724520710059</v>
      </c>
    </row>
    <row r="55" spans="1:25">
      <c r="A55">
        <v>47</v>
      </c>
      <c r="B55" s="5">
        <v>43862</v>
      </c>
      <c r="C55" s="6">
        <v>44.53</v>
      </c>
      <c r="D55" s="7">
        <v>0.0268</v>
      </c>
      <c r="E55" s="4"/>
      <c r="F55" s="8">
        <f t="shared" si="0"/>
        <v>0.0268</v>
      </c>
      <c r="G55" s="8">
        <f>O$5/12</f>
        <v>0.002057875</v>
      </c>
      <c r="H55" s="8">
        <f t="shared" si="1"/>
        <v>0.024742125</v>
      </c>
      <c r="J55" s="8" t="str">
        <f t="shared" si="2"/>
        <v/>
      </c>
      <c r="T55">
        <v>47</v>
      </c>
      <c r="U55" s="8">
        <f t="shared" si="3"/>
        <v>0.00126783471111111</v>
      </c>
      <c r="Y55" s="8" t="str">
        <f t="shared" si="4"/>
        <v/>
      </c>
    </row>
    <row r="56" spans="1:25">
      <c r="A56">
        <v>48</v>
      </c>
      <c r="B56" s="5">
        <v>43831</v>
      </c>
      <c r="C56" s="6">
        <v>43.37</v>
      </c>
      <c r="D56" s="7">
        <v>0.5552</v>
      </c>
      <c r="E56" s="4"/>
      <c r="F56" s="8">
        <f t="shared" si="0"/>
        <v>0.5552</v>
      </c>
      <c r="G56" s="8">
        <f>O$5/12</f>
        <v>0.002057875</v>
      </c>
      <c r="H56" s="8">
        <f t="shared" si="1"/>
        <v>0.553142125</v>
      </c>
      <c r="J56" s="8" t="str">
        <f t="shared" si="2"/>
        <v/>
      </c>
      <c r="T56">
        <v>48</v>
      </c>
      <c r="U56" s="8">
        <f t="shared" si="3"/>
        <v>0.242845269377778</v>
      </c>
      <c r="Y56" s="8" t="str">
        <f t="shared" si="4"/>
        <v/>
      </c>
    </row>
    <row r="57" spans="1:25">
      <c r="A57">
        <v>49</v>
      </c>
      <c r="B57" s="5">
        <v>43800</v>
      </c>
      <c r="C57" s="6">
        <v>27.89</v>
      </c>
      <c r="D57" s="7">
        <v>0.2679</v>
      </c>
      <c r="E57" s="4"/>
      <c r="F57" s="8">
        <f t="shared" si="0"/>
        <v>0.2679</v>
      </c>
      <c r="G57" s="8">
        <f>O$5/12</f>
        <v>0.002057875</v>
      </c>
      <c r="H57" s="8">
        <f t="shared" si="1"/>
        <v>0.265842125</v>
      </c>
      <c r="J57" s="8" t="str">
        <f t="shared" si="2"/>
        <v/>
      </c>
      <c r="T57">
        <v>49</v>
      </c>
      <c r="U57" s="8">
        <f t="shared" si="3"/>
        <v>0.0422275100444444</v>
      </c>
      <c r="Y57" s="8" t="str">
        <f t="shared" si="4"/>
        <v/>
      </c>
    </row>
    <row r="58" spans="1:25">
      <c r="A58">
        <v>50</v>
      </c>
      <c r="B58" s="5">
        <v>43770</v>
      </c>
      <c r="C58" s="6">
        <v>22</v>
      </c>
      <c r="D58" s="7">
        <v>0.0477</v>
      </c>
      <c r="E58" s="4"/>
      <c r="F58" s="8">
        <f t="shared" si="0"/>
        <v>0.0477</v>
      </c>
      <c r="G58" s="8">
        <f>O$5/12</f>
        <v>0.002057875</v>
      </c>
      <c r="H58" s="8">
        <f t="shared" si="1"/>
        <v>0.045642125</v>
      </c>
      <c r="J58" s="8" t="str">
        <f t="shared" si="2"/>
        <v/>
      </c>
      <c r="T58">
        <v>50</v>
      </c>
      <c r="U58" s="8">
        <f t="shared" si="3"/>
        <v>0.000216286044444445</v>
      </c>
      <c r="Y58" s="8" t="str">
        <f t="shared" si="4"/>
        <v/>
      </c>
    </row>
    <row r="59" spans="1:25">
      <c r="A59">
        <v>51</v>
      </c>
      <c r="B59" s="5">
        <v>43739</v>
      </c>
      <c r="C59" s="6">
        <v>20.99</v>
      </c>
      <c r="D59" s="7">
        <v>0.3074</v>
      </c>
      <c r="E59" s="4"/>
      <c r="F59" s="8">
        <f t="shared" si="0"/>
        <v>0.3074</v>
      </c>
      <c r="G59" s="8">
        <f>O$5/12</f>
        <v>0.002057875</v>
      </c>
      <c r="H59" s="8">
        <f t="shared" si="1"/>
        <v>0.305342125</v>
      </c>
      <c r="J59" s="8" t="str">
        <f t="shared" si="2"/>
        <v/>
      </c>
      <c r="T59">
        <v>51</v>
      </c>
      <c r="U59" s="8">
        <f t="shared" si="3"/>
        <v>0.0600217333777778</v>
      </c>
      <c r="Y59" s="8" t="str">
        <f t="shared" si="4"/>
        <v/>
      </c>
    </row>
    <row r="60" spans="1:25">
      <c r="A60">
        <v>52</v>
      </c>
      <c r="B60" s="5">
        <v>43709</v>
      </c>
      <c r="C60" s="6">
        <v>16.06</v>
      </c>
      <c r="D60" s="7">
        <v>0.0676</v>
      </c>
      <c r="E60" s="4"/>
      <c r="F60" s="8">
        <f t="shared" si="0"/>
        <v>0.0676</v>
      </c>
      <c r="G60" s="8">
        <f>O$5/12</f>
        <v>0.002057875</v>
      </c>
      <c r="H60" s="8">
        <f t="shared" si="1"/>
        <v>0.065542125</v>
      </c>
      <c r="J60" s="8" t="str">
        <f t="shared" si="2"/>
        <v/>
      </c>
      <c r="T60">
        <v>52</v>
      </c>
      <c r="U60" s="8">
        <f t="shared" si="3"/>
        <v>2.6970711111111e-5</v>
      </c>
      <c r="Y60" s="8" t="str">
        <f t="shared" si="4"/>
        <v/>
      </c>
    </row>
    <row r="61" spans="1:25">
      <c r="A61">
        <v>53</v>
      </c>
      <c r="B61" s="5">
        <v>43678</v>
      </c>
      <c r="C61" s="6">
        <v>15.04</v>
      </c>
      <c r="D61" s="7">
        <v>-0.0662</v>
      </c>
      <c r="E61" s="4"/>
      <c r="F61" s="8">
        <f t="shared" si="0"/>
        <v>-0.0662</v>
      </c>
      <c r="G61" s="8">
        <f>O$5/12</f>
        <v>0.002057875</v>
      </c>
      <c r="H61" s="8">
        <f t="shared" si="1"/>
        <v>-0.068257875</v>
      </c>
      <c r="J61" s="8">
        <f t="shared" si="2"/>
        <v>-0.068257875</v>
      </c>
      <c r="T61">
        <v>53</v>
      </c>
      <c r="U61" s="8">
        <f t="shared" si="3"/>
        <v>0.0165396747111111</v>
      </c>
      <c r="Y61" s="8">
        <f t="shared" si="4"/>
        <v>0.00367795597633136</v>
      </c>
    </row>
    <row r="62" spans="1:25">
      <c r="A62">
        <v>54</v>
      </c>
      <c r="B62" s="5">
        <v>43647</v>
      </c>
      <c r="C62" s="6">
        <v>16.11</v>
      </c>
      <c r="D62" s="7">
        <v>0.0812</v>
      </c>
      <c r="E62" s="4"/>
      <c r="F62" s="8">
        <f t="shared" si="0"/>
        <v>0.0812</v>
      </c>
      <c r="G62" s="8">
        <f>O$5/12</f>
        <v>0.002057875</v>
      </c>
      <c r="H62" s="8">
        <f t="shared" si="1"/>
        <v>0.079142125</v>
      </c>
      <c r="J62" s="8" t="str">
        <f t="shared" si="2"/>
        <v/>
      </c>
      <c r="T62">
        <v>54</v>
      </c>
      <c r="U62" s="8">
        <f t="shared" si="3"/>
        <v>0.000353189377777777</v>
      </c>
      <c r="Y62" s="8" t="str">
        <f t="shared" si="4"/>
        <v/>
      </c>
    </row>
    <row r="63" spans="1:25">
      <c r="A63">
        <v>55</v>
      </c>
      <c r="B63" s="5">
        <v>43617</v>
      </c>
      <c r="C63" s="6">
        <v>14.9</v>
      </c>
      <c r="D63" s="7">
        <v>0.2068</v>
      </c>
      <c r="E63" s="4"/>
      <c r="F63" s="8">
        <f t="shared" si="0"/>
        <v>0.2068</v>
      </c>
      <c r="G63" s="8">
        <f>O$5/12</f>
        <v>0.002057875</v>
      </c>
      <c r="H63" s="8">
        <f t="shared" si="1"/>
        <v>0.204742125</v>
      </c>
      <c r="J63" s="8" t="str">
        <f t="shared" si="2"/>
        <v/>
      </c>
      <c r="T63">
        <v>55</v>
      </c>
      <c r="U63" s="8">
        <f t="shared" si="3"/>
        <v>0.0208494347111111</v>
      </c>
      <c r="Y63" s="8" t="str">
        <f t="shared" si="4"/>
        <v/>
      </c>
    </row>
    <row r="64" spans="1:25">
      <c r="A64">
        <v>56</v>
      </c>
      <c r="B64" s="5">
        <v>43586</v>
      </c>
      <c r="C64" s="6">
        <v>12.34</v>
      </c>
      <c r="D64" s="7">
        <v>-0.2243</v>
      </c>
      <c r="E64" s="4"/>
      <c r="F64" s="8">
        <f t="shared" si="0"/>
        <v>-0.2243</v>
      </c>
      <c r="G64" s="8">
        <f>O$5/12</f>
        <v>0.002057875</v>
      </c>
      <c r="H64" s="8">
        <f t="shared" si="1"/>
        <v>-0.226357875</v>
      </c>
      <c r="J64" s="8">
        <f t="shared" si="2"/>
        <v>-0.226357875</v>
      </c>
      <c r="T64">
        <v>56</v>
      </c>
      <c r="U64" s="8">
        <f t="shared" si="3"/>
        <v>0.0822007127111111</v>
      </c>
      <c r="Y64" s="8">
        <f t="shared" si="4"/>
        <v>0.00949725213017752</v>
      </c>
    </row>
    <row r="65" spans="1:25">
      <c r="A65">
        <v>57</v>
      </c>
      <c r="B65" s="5">
        <v>43556</v>
      </c>
      <c r="C65" s="6">
        <v>15.91</v>
      </c>
      <c r="D65" s="7">
        <v>-0.1471</v>
      </c>
      <c r="E65" s="4"/>
      <c r="F65" s="8">
        <f t="shared" si="0"/>
        <v>-0.1471</v>
      </c>
      <c r="G65" s="8">
        <f>O$5/12</f>
        <v>0.002057875</v>
      </c>
      <c r="H65" s="8">
        <f t="shared" si="1"/>
        <v>-0.149157875</v>
      </c>
      <c r="J65" s="8">
        <f t="shared" si="2"/>
        <v>-0.149157875</v>
      </c>
      <c r="T65">
        <v>57</v>
      </c>
      <c r="U65" s="8">
        <f t="shared" si="3"/>
        <v>0.0438930433777778</v>
      </c>
      <c r="Y65" s="8">
        <f t="shared" si="4"/>
        <v>0.00041021828402367</v>
      </c>
    </row>
    <row r="66" spans="1:25">
      <c r="A66">
        <v>58</v>
      </c>
      <c r="B66" s="5">
        <v>43525</v>
      </c>
      <c r="C66" s="6">
        <v>18.66</v>
      </c>
      <c r="D66" s="7">
        <v>-0.1251</v>
      </c>
      <c r="E66" s="4"/>
      <c r="F66" s="8">
        <f t="shared" si="0"/>
        <v>-0.1251</v>
      </c>
      <c r="G66" s="8">
        <f>O$5/12</f>
        <v>0.002057875</v>
      </c>
      <c r="H66" s="8">
        <f t="shared" si="1"/>
        <v>-0.127157875</v>
      </c>
      <c r="J66" s="8">
        <f t="shared" si="2"/>
        <v>-0.127157875</v>
      </c>
      <c r="T66">
        <v>58</v>
      </c>
      <c r="U66" s="8">
        <f t="shared" si="3"/>
        <v>0.0351587500444444</v>
      </c>
      <c r="Y66" s="8">
        <f t="shared" si="4"/>
        <v>3.04905325443785e-6</v>
      </c>
    </row>
    <row r="67" spans="1:25">
      <c r="A67">
        <v>59</v>
      </c>
      <c r="B67" s="5">
        <v>43497</v>
      </c>
      <c r="C67" s="6">
        <v>21.33</v>
      </c>
      <c r="D67" s="7">
        <v>0.0419</v>
      </c>
      <c r="E67" s="4"/>
      <c r="F67" s="8">
        <f t="shared" si="0"/>
        <v>0.0419</v>
      </c>
      <c r="G67" s="8">
        <f>O$5/12</f>
        <v>0.002057875</v>
      </c>
      <c r="H67" s="8">
        <f t="shared" si="1"/>
        <v>0.039842125</v>
      </c>
      <c r="J67" s="8" t="str">
        <f t="shared" si="2"/>
        <v/>
      </c>
      <c r="T67">
        <v>59</v>
      </c>
      <c r="U67" s="8">
        <f t="shared" si="3"/>
        <v>0.000420523377777778</v>
      </c>
      <c r="Y67" s="8" t="str">
        <f t="shared" si="4"/>
        <v/>
      </c>
    </row>
    <row r="68" spans="1:25">
      <c r="A68">
        <v>60</v>
      </c>
      <c r="B68" s="5">
        <v>43466</v>
      </c>
      <c r="C68" s="6">
        <v>20.47</v>
      </c>
      <c r="D68" s="7">
        <v>-0.0775</v>
      </c>
      <c r="E68" s="4"/>
      <c r="F68" s="8">
        <f t="shared" si="0"/>
        <v>-0.0775</v>
      </c>
      <c r="G68" s="8">
        <f>O$5/12</f>
        <v>0.002057875</v>
      </c>
      <c r="H68" s="8">
        <f t="shared" si="1"/>
        <v>-0.079557875</v>
      </c>
      <c r="J68" s="8">
        <f t="shared" si="2"/>
        <v>-0.079557875</v>
      </c>
      <c r="T68">
        <v>60</v>
      </c>
      <c r="U68" s="8">
        <f t="shared" si="3"/>
        <v>0.0195738753777778</v>
      </c>
      <c r="Y68" s="8">
        <f t="shared" si="4"/>
        <v>0.00243504289940828</v>
      </c>
    </row>
    <row r="69" spans="2:7">
      <c r="B69" s="18"/>
      <c r="C69" s="19"/>
      <c r="D69" s="20"/>
      <c r="E69" s="4"/>
      <c r="F69" s="4"/>
      <c r="G69" s="8"/>
    </row>
    <row r="70" spans="2:25">
      <c r="B70" s="18"/>
      <c r="C70" s="19"/>
      <c r="D70" s="20"/>
      <c r="E70" s="4"/>
      <c r="F70" s="4"/>
      <c r="G70" s="8"/>
      <c r="U70" s="22">
        <f>SUM(U9:U69)</f>
        <v>2.89353905733333</v>
      </c>
      <c r="Y70" s="22">
        <f>SUM(Y9:Y69)</f>
        <v>0.147768464615385</v>
      </c>
    </row>
    <row r="71" spans="2:10">
      <c r="B71" s="18"/>
      <c r="C71" s="19"/>
      <c r="D71" s="20"/>
      <c r="E71" s="4"/>
      <c r="F71" s="4"/>
      <c r="G71" s="4"/>
      <c r="J71" s="8"/>
    </row>
    <row r="72" spans="2:7">
      <c r="B72" s="18"/>
      <c r="C72" s="19"/>
      <c r="D72" s="20"/>
      <c r="E72" s="21"/>
      <c r="F72" s="21"/>
      <c r="G72" s="21"/>
    </row>
    <row r="73" spans="2:7">
      <c r="B73" s="18"/>
      <c r="C73" s="19"/>
      <c r="D73" s="20"/>
      <c r="E73" s="21"/>
      <c r="F73" s="21"/>
      <c r="G73" s="21"/>
    </row>
    <row r="74" spans="2:7">
      <c r="B74" s="18"/>
      <c r="C74" s="19"/>
      <c r="D74" s="20"/>
      <c r="E74" s="21"/>
      <c r="F74" s="21"/>
      <c r="G74" s="21"/>
    </row>
    <row r="75" spans="2:7">
      <c r="B75" s="18"/>
      <c r="C75" s="19"/>
      <c r="D75" s="20"/>
      <c r="E75" s="21"/>
      <c r="F75" s="21"/>
      <c r="G75" s="21"/>
    </row>
    <row r="76" spans="2:7">
      <c r="B76" s="18"/>
      <c r="C76" s="19"/>
      <c r="D76" s="20"/>
      <c r="E76" s="21"/>
      <c r="F76" s="21"/>
      <c r="G76" s="21"/>
    </row>
    <row r="77" spans="2:7">
      <c r="B77" s="18"/>
      <c r="C77" s="19"/>
      <c r="D77" s="20"/>
      <c r="E77" s="21"/>
      <c r="F77" s="21"/>
      <c r="G77" s="21"/>
    </row>
    <row r="78" spans="2:7">
      <c r="B78" s="18"/>
      <c r="C78" s="19"/>
      <c r="D78" s="20"/>
      <c r="E78" s="21"/>
      <c r="F78" s="21"/>
      <c r="G78" s="21"/>
    </row>
    <row r="79" spans="2:7">
      <c r="B79" s="18"/>
      <c r="C79" s="19"/>
      <c r="D79" s="20"/>
      <c r="E79" s="21"/>
      <c r="F79" s="21"/>
      <c r="G79" s="21"/>
    </row>
    <row r="80" spans="2:7">
      <c r="B80" s="18"/>
      <c r="C80" s="19"/>
      <c r="D80" s="20"/>
      <c r="E80" s="21"/>
      <c r="F80" s="21"/>
      <c r="G80" s="21"/>
    </row>
    <row r="81" spans="2:7">
      <c r="B81" s="18"/>
      <c r="C81" s="19"/>
      <c r="D81" s="20"/>
      <c r="E81" s="21"/>
      <c r="F81" s="21"/>
      <c r="G81" s="21"/>
    </row>
    <row r="82" spans="2:7">
      <c r="B82" s="18"/>
      <c r="C82" s="19"/>
      <c r="D82" s="20"/>
      <c r="E82" s="21"/>
      <c r="F82" s="21"/>
      <c r="G82" s="21"/>
    </row>
    <row r="83" spans="2:7">
      <c r="B83" s="18"/>
      <c r="C83" s="19"/>
      <c r="D83" s="20"/>
      <c r="E83" s="21"/>
      <c r="F83" s="21"/>
      <c r="G83" s="21"/>
    </row>
    <row r="84" spans="2:7">
      <c r="B84" s="18"/>
      <c r="C84" s="19"/>
      <c r="D84" s="20"/>
      <c r="E84" s="21"/>
      <c r="F84" s="21"/>
      <c r="G84" s="21"/>
    </row>
    <row r="85" spans="2:7">
      <c r="B85" s="18"/>
      <c r="C85" s="19"/>
      <c r="D85" s="20"/>
      <c r="E85" s="21"/>
      <c r="F85" s="21"/>
      <c r="G85" s="21"/>
    </row>
    <row r="86" spans="2:7">
      <c r="B86" s="18"/>
      <c r="C86" s="19"/>
      <c r="D86" s="20"/>
      <c r="E86" s="21"/>
      <c r="F86" s="21"/>
      <c r="G86" s="21"/>
    </row>
    <row r="87" spans="2:7">
      <c r="B87" s="18"/>
      <c r="C87" s="19"/>
      <c r="D87" s="20"/>
      <c r="E87" s="21"/>
      <c r="F87" s="21"/>
      <c r="G87" s="21"/>
    </row>
    <row r="88" spans="2:7">
      <c r="B88" s="18"/>
      <c r="C88" s="19"/>
      <c r="D88" s="20"/>
      <c r="E88" s="21"/>
      <c r="F88" s="21"/>
      <c r="G88" s="21"/>
    </row>
    <row r="89" spans="2:7">
      <c r="B89" s="18"/>
      <c r="C89" s="19"/>
      <c r="D89" s="20"/>
      <c r="E89" s="21"/>
      <c r="F89" s="21"/>
      <c r="G89" s="21"/>
    </row>
    <row r="90" spans="2:7">
      <c r="B90" s="18"/>
      <c r="C90" s="19"/>
      <c r="D90" s="20"/>
      <c r="E90" s="21"/>
      <c r="F90" s="21"/>
      <c r="G90" s="21"/>
    </row>
    <row r="91" spans="2:7">
      <c r="B91" s="18"/>
      <c r="C91" s="19"/>
      <c r="D91" s="20"/>
      <c r="E91" s="21"/>
      <c r="F91" s="21"/>
      <c r="G91" s="21"/>
    </row>
    <row r="92" spans="2:7">
      <c r="B92" s="18"/>
      <c r="C92" s="19"/>
      <c r="D92" s="20"/>
      <c r="E92" s="21"/>
      <c r="F92" s="21"/>
      <c r="G92" s="21"/>
    </row>
    <row r="93" spans="2:7">
      <c r="B93" s="18"/>
      <c r="C93" s="19"/>
      <c r="D93" s="20"/>
      <c r="E93" s="21"/>
      <c r="F93" s="21"/>
      <c r="G93" s="21"/>
    </row>
    <row r="94" spans="2:7">
      <c r="B94" s="18"/>
      <c r="C94" s="19"/>
      <c r="D94" s="20"/>
      <c r="E94" s="21"/>
      <c r="F94" s="21"/>
      <c r="G94" s="21"/>
    </row>
    <row r="95" spans="2:7">
      <c r="B95" s="18"/>
      <c r="C95" s="19"/>
      <c r="D95" s="20"/>
      <c r="E95" s="21"/>
      <c r="F95" s="21"/>
      <c r="G95" s="21"/>
    </row>
    <row r="96" spans="2:7">
      <c r="B96" s="18"/>
      <c r="C96" s="19"/>
      <c r="D96" s="20"/>
      <c r="E96" s="21"/>
      <c r="F96" s="21"/>
      <c r="G96" s="21"/>
    </row>
    <row r="97" spans="2:7">
      <c r="B97" s="18"/>
      <c r="C97" s="19"/>
      <c r="D97" s="20"/>
      <c r="E97" s="21"/>
      <c r="F97" s="21"/>
      <c r="G97" s="21"/>
    </row>
    <row r="98" spans="2:7">
      <c r="B98" s="18"/>
      <c r="C98" s="19"/>
      <c r="D98" s="20"/>
      <c r="E98" s="21"/>
      <c r="F98" s="21"/>
      <c r="G98" s="21"/>
    </row>
    <row r="99" spans="2:7">
      <c r="B99" s="18"/>
      <c r="C99" s="19"/>
      <c r="D99" s="20"/>
      <c r="E99" s="21"/>
      <c r="F99" s="21"/>
      <c r="G99" s="21"/>
    </row>
    <row r="100" spans="2:7">
      <c r="B100" s="18"/>
      <c r="C100" s="19"/>
      <c r="D100" s="20"/>
      <c r="E100" s="21"/>
      <c r="F100" s="21"/>
      <c r="G100" s="21"/>
    </row>
    <row r="101" spans="2:7">
      <c r="B101" s="18"/>
      <c r="C101" s="19"/>
      <c r="D101" s="20"/>
      <c r="E101" s="21"/>
      <c r="F101" s="21"/>
      <c r="G101" s="21"/>
    </row>
    <row r="102" spans="2:7">
      <c r="B102" s="18"/>
      <c r="C102" s="19"/>
      <c r="D102" s="20"/>
      <c r="E102" s="21"/>
      <c r="F102" s="21"/>
      <c r="G102" s="21"/>
    </row>
    <row r="103" spans="2:7">
      <c r="B103" s="18"/>
      <c r="C103" s="19"/>
      <c r="D103" s="20"/>
      <c r="E103" s="21"/>
      <c r="F103" s="21"/>
      <c r="G103" s="21"/>
    </row>
    <row r="104" spans="2:7">
      <c r="B104" s="18"/>
      <c r="C104" s="19"/>
      <c r="D104" s="20"/>
      <c r="E104" s="21"/>
      <c r="F104" s="21"/>
      <c r="G104" s="21"/>
    </row>
    <row r="105" spans="2:7">
      <c r="B105" s="18"/>
      <c r="C105" s="19"/>
      <c r="D105" s="20"/>
      <c r="E105" s="21"/>
      <c r="F105" s="21"/>
      <c r="G105" s="21"/>
    </row>
    <row r="106" spans="2:7">
      <c r="B106" s="18"/>
      <c r="C106" s="19"/>
      <c r="D106" s="20"/>
      <c r="E106" s="21"/>
      <c r="F106" s="21"/>
      <c r="G106" s="21"/>
    </row>
    <row r="107" spans="2:7">
      <c r="B107" s="18"/>
      <c r="C107" s="19"/>
      <c r="D107" s="20"/>
      <c r="E107" s="21"/>
      <c r="F107" s="21"/>
      <c r="G107" s="21"/>
    </row>
    <row r="108" spans="2:7">
      <c r="B108" s="18"/>
      <c r="C108" s="19"/>
      <c r="D108" s="20"/>
      <c r="E108" s="21"/>
      <c r="F108" s="21"/>
      <c r="G108" s="21"/>
    </row>
    <row r="109" spans="2:7">
      <c r="B109" s="18"/>
      <c r="C109" s="19"/>
      <c r="D109" s="20"/>
      <c r="E109" s="21"/>
      <c r="F109" s="21"/>
      <c r="G109" s="21"/>
    </row>
    <row r="110" spans="2:7">
      <c r="B110" s="18"/>
      <c r="C110" s="19"/>
      <c r="D110" s="20"/>
      <c r="E110" s="21"/>
      <c r="F110" s="21"/>
      <c r="G110" s="21"/>
    </row>
    <row r="111" spans="2:7">
      <c r="B111" s="18"/>
      <c r="C111" s="19"/>
      <c r="D111" s="20"/>
      <c r="E111" s="21"/>
      <c r="F111" s="21"/>
      <c r="G111" s="21"/>
    </row>
    <row r="112" spans="2:7">
      <c r="B112" s="18"/>
      <c r="C112" s="19"/>
      <c r="D112" s="20"/>
      <c r="E112" s="21"/>
      <c r="F112" s="21"/>
      <c r="G112" s="21"/>
    </row>
    <row r="113" spans="2:7">
      <c r="B113" s="18"/>
      <c r="C113" s="19"/>
      <c r="D113" s="20"/>
      <c r="E113" s="21"/>
      <c r="F113" s="21"/>
      <c r="G113" s="21"/>
    </row>
    <row r="114" spans="2:7">
      <c r="B114" s="18"/>
      <c r="C114" s="19"/>
      <c r="D114" s="20"/>
      <c r="E114" s="21"/>
      <c r="F114" s="21"/>
      <c r="G114" s="21"/>
    </row>
    <row r="115" spans="2:7">
      <c r="B115" s="18"/>
      <c r="C115" s="19"/>
      <c r="D115" s="20"/>
      <c r="E115" s="21"/>
      <c r="F115" s="21"/>
      <c r="G115" s="21"/>
    </row>
    <row r="116" spans="2:7">
      <c r="B116" s="18"/>
      <c r="C116" s="19"/>
      <c r="D116" s="20"/>
      <c r="E116" s="21"/>
      <c r="F116" s="21"/>
      <c r="G116" s="21"/>
    </row>
    <row r="117" spans="2:7">
      <c r="B117" s="18"/>
      <c r="C117" s="19"/>
      <c r="D117" s="20"/>
      <c r="E117" s="21"/>
      <c r="F117" s="21"/>
      <c r="G117" s="21"/>
    </row>
    <row r="118" spans="2:7">
      <c r="B118" s="18"/>
      <c r="C118" s="19"/>
      <c r="D118" s="20"/>
      <c r="E118" s="21"/>
      <c r="F118" s="21"/>
      <c r="G118" s="21"/>
    </row>
    <row r="119" spans="2:7">
      <c r="B119" s="18"/>
      <c r="C119" s="19"/>
      <c r="D119" s="20"/>
      <c r="E119" s="21"/>
      <c r="F119" s="21"/>
      <c r="G119" s="21"/>
    </row>
    <row r="120" spans="2:7">
      <c r="B120" s="18"/>
      <c r="C120" s="19"/>
      <c r="D120" s="20"/>
      <c r="E120" s="21"/>
      <c r="F120" s="21"/>
      <c r="G120" s="21"/>
    </row>
    <row r="121" spans="2:7">
      <c r="B121" s="18"/>
      <c r="C121" s="19"/>
      <c r="D121" s="20"/>
      <c r="E121" s="21"/>
      <c r="F121" s="21"/>
      <c r="G121" s="21"/>
    </row>
    <row r="122" spans="2:7">
      <c r="B122" s="18"/>
      <c r="C122" s="19"/>
      <c r="D122" s="20"/>
      <c r="E122" s="21"/>
      <c r="F122" s="21"/>
      <c r="G122" s="21"/>
    </row>
    <row r="123" spans="2:7">
      <c r="B123" s="18"/>
      <c r="C123" s="19"/>
      <c r="D123" s="20"/>
      <c r="E123" s="21"/>
      <c r="F123" s="21"/>
      <c r="G123" s="21"/>
    </row>
    <row r="124" spans="2:7">
      <c r="B124" s="18"/>
      <c r="C124" s="19"/>
      <c r="D124" s="20"/>
      <c r="E124" s="21"/>
      <c r="F124" s="21"/>
      <c r="G124" s="21"/>
    </row>
    <row r="125" spans="2:7">
      <c r="B125" s="18"/>
      <c r="C125" s="19"/>
      <c r="D125" s="20"/>
      <c r="E125" s="21"/>
      <c r="F125" s="21"/>
      <c r="G125" s="21"/>
    </row>
    <row r="126" spans="2:7">
      <c r="B126" s="18"/>
      <c r="C126" s="19"/>
      <c r="D126" s="20"/>
      <c r="E126" s="21"/>
      <c r="F126" s="21"/>
      <c r="G126" s="21"/>
    </row>
    <row r="127" spans="2:7">
      <c r="B127" s="18"/>
      <c r="C127" s="19"/>
      <c r="D127" s="20"/>
      <c r="E127" s="21"/>
      <c r="F127" s="21"/>
      <c r="G127" s="21"/>
    </row>
    <row r="128" spans="2:7">
      <c r="B128" s="18"/>
      <c r="C128" s="19"/>
      <c r="D128" s="20"/>
      <c r="E128" s="21"/>
      <c r="F128" s="21"/>
      <c r="G128" s="21"/>
    </row>
    <row r="129" spans="2:7">
      <c r="B129" s="18"/>
      <c r="C129" s="19"/>
      <c r="D129" s="20"/>
      <c r="E129" s="21"/>
      <c r="F129" s="21"/>
      <c r="G129" s="21"/>
    </row>
    <row r="130" spans="2:7">
      <c r="B130" s="18"/>
      <c r="C130" s="19"/>
      <c r="D130" s="20"/>
      <c r="E130" s="21"/>
      <c r="F130" s="21"/>
      <c r="G130" s="21"/>
    </row>
    <row r="131" spans="2:7">
      <c r="B131" s="18"/>
      <c r="C131" s="19"/>
      <c r="D131" s="20"/>
      <c r="E131" s="21"/>
      <c r="F131" s="21"/>
      <c r="G131" s="21"/>
    </row>
    <row r="132" spans="2:7">
      <c r="B132" s="18"/>
      <c r="C132" s="19"/>
      <c r="D132" s="20"/>
      <c r="E132" s="21"/>
      <c r="F132" s="21"/>
      <c r="G132" s="21"/>
    </row>
    <row r="133" spans="2:7">
      <c r="B133" s="18"/>
      <c r="C133" s="19"/>
      <c r="D133" s="20"/>
      <c r="E133" s="21"/>
      <c r="F133" s="21"/>
      <c r="G133" s="21"/>
    </row>
    <row r="134" spans="2:7">
      <c r="B134" s="18"/>
      <c r="C134" s="19"/>
      <c r="D134" s="20"/>
      <c r="E134" s="21"/>
      <c r="F134" s="21"/>
      <c r="G134" s="21"/>
    </row>
    <row r="135" spans="2:7">
      <c r="B135" s="18"/>
      <c r="C135" s="19"/>
      <c r="D135" s="20"/>
      <c r="E135" s="21"/>
      <c r="F135" s="21"/>
      <c r="G135" s="21"/>
    </row>
    <row r="136" spans="2:7">
      <c r="B136" s="18"/>
      <c r="C136" s="19"/>
      <c r="D136" s="20"/>
      <c r="E136" s="21"/>
      <c r="F136" s="21"/>
      <c r="G136" s="21"/>
    </row>
    <row r="137" spans="2:7">
      <c r="B137" s="18"/>
      <c r="C137" s="19"/>
      <c r="D137" s="20"/>
      <c r="E137" s="21"/>
      <c r="F137" s="21"/>
      <c r="G137" s="21"/>
    </row>
    <row r="138" spans="2:7">
      <c r="B138" s="18"/>
      <c r="C138" s="19"/>
      <c r="D138" s="20"/>
      <c r="E138" s="21"/>
      <c r="F138" s="21"/>
      <c r="G138" s="21"/>
    </row>
    <row r="139" spans="2:7">
      <c r="B139" s="18"/>
      <c r="C139" s="19"/>
      <c r="D139" s="20"/>
      <c r="E139" s="21"/>
      <c r="F139" s="21"/>
      <c r="G139" s="21"/>
    </row>
    <row r="140" spans="2:7">
      <c r="B140" s="18"/>
      <c r="C140" s="19"/>
      <c r="D140" s="20"/>
      <c r="E140" s="21"/>
      <c r="F140" s="21"/>
      <c r="G140" s="21"/>
    </row>
    <row r="141" spans="2:7">
      <c r="B141" s="18"/>
      <c r="C141" s="19"/>
      <c r="D141" s="20"/>
      <c r="E141" s="21"/>
      <c r="F141" s="21"/>
      <c r="G141" s="21"/>
    </row>
    <row r="142" spans="2:7">
      <c r="B142" s="18"/>
      <c r="C142" s="19"/>
      <c r="D142" s="20"/>
      <c r="E142" s="21"/>
      <c r="F142" s="21"/>
      <c r="G142" s="21"/>
    </row>
    <row r="143" spans="2:7">
      <c r="B143" s="18"/>
      <c r="C143" s="19"/>
      <c r="D143" s="20"/>
      <c r="E143" s="21"/>
      <c r="F143" s="21"/>
      <c r="G143" s="21"/>
    </row>
    <row r="144" spans="2:7">
      <c r="B144" s="18"/>
      <c r="C144" s="19"/>
      <c r="D144" s="20"/>
      <c r="E144" s="21"/>
      <c r="F144" s="21"/>
      <c r="G144" s="21"/>
    </row>
    <row r="145" spans="2:7">
      <c r="B145" s="18"/>
      <c r="C145" s="19"/>
      <c r="D145" s="20"/>
      <c r="E145" s="21"/>
      <c r="F145" s="21"/>
      <c r="G145" s="21"/>
    </row>
    <row r="146" spans="2:7">
      <c r="B146" s="18"/>
      <c r="C146" s="19"/>
      <c r="D146" s="20"/>
      <c r="E146" s="21"/>
      <c r="F146" s="21"/>
      <c r="G146" s="21"/>
    </row>
    <row r="147" spans="2:7">
      <c r="B147" s="18"/>
      <c r="C147" s="19"/>
      <c r="D147" s="20"/>
      <c r="E147" s="21"/>
      <c r="F147" s="21"/>
      <c r="G147" s="21"/>
    </row>
    <row r="148" spans="2:7">
      <c r="B148" s="18"/>
      <c r="C148" s="19"/>
      <c r="D148" s="20"/>
      <c r="E148" s="21"/>
      <c r="F148" s="21"/>
      <c r="G148" s="21"/>
    </row>
    <row r="149" spans="2:7">
      <c r="B149" s="18"/>
      <c r="C149" s="19"/>
      <c r="D149" s="20"/>
      <c r="E149" s="21"/>
      <c r="F149" s="21"/>
      <c r="G149" s="21"/>
    </row>
    <row r="150" spans="2:7">
      <c r="B150" s="18"/>
      <c r="C150" s="19"/>
      <c r="D150" s="20"/>
      <c r="E150" s="21"/>
      <c r="F150" s="21"/>
      <c r="G150" s="21"/>
    </row>
    <row r="151" spans="2:7">
      <c r="B151" s="18"/>
      <c r="C151" s="19"/>
      <c r="D151" s="20"/>
      <c r="E151" s="21"/>
      <c r="F151" s="21"/>
      <c r="G151" s="21"/>
    </row>
    <row r="152" spans="2:7">
      <c r="B152" s="18"/>
      <c r="C152" s="19"/>
      <c r="D152" s="20"/>
      <c r="E152" s="21"/>
      <c r="F152" s="21"/>
      <c r="G152" s="21"/>
    </row>
    <row r="153" spans="2:7">
      <c r="B153" s="18"/>
      <c r="C153" s="19"/>
      <c r="D153" s="20"/>
      <c r="E153" s="21"/>
      <c r="F153" s="21"/>
      <c r="G153" s="21"/>
    </row>
    <row r="154" spans="2:7">
      <c r="B154" s="18"/>
      <c r="C154" s="19"/>
      <c r="D154" s="20"/>
      <c r="E154" s="21"/>
      <c r="F154" s="21"/>
      <c r="G154" s="21"/>
    </row>
    <row r="155" spans="2:7">
      <c r="B155" s="18"/>
      <c r="C155" s="19"/>
      <c r="D155" s="20"/>
      <c r="E155" s="21"/>
      <c r="F155" s="21"/>
      <c r="G155" s="21"/>
    </row>
    <row r="156" spans="2:7">
      <c r="B156" s="18"/>
      <c r="C156" s="19"/>
      <c r="D156" s="20"/>
      <c r="E156" s="21"/>
      <c r="F156" s="21"/>
      <c r="G156" s="21"/>
    </row>
    <row r="157" spans="2:7">
      <c r="B157" s="18"/>
      <c r="C157" s="19"/>
      <c r="D157" s="20"/>
      <c r="E157" s="21"/>
      <c r="F157" s="21"/>
      <c r="G157" s="21"/>
    </row>
    <row r="158" spans="2:7">
      <c r="B158" s="18"/>
      <c r="C158" s="19"/>
      <c r="D158" s="20"/>
      <c r="E158" s="21"/>
      <c r="F158" s="21"/>
      <c r="G158" s="21"/>
    </row>
    <row r="159" spans="2:7">
      <c r="B159" s="18"/>
      <c r="C159" s="19"/>
      <c r="D159" s="20"/>
      <c r="E159" s="21"/>
      <c r="F159" s="21"/>
      <c r="G159" s="21"/>
    </row>
    <row r="160" spans="2:7">
      <c r="B160" s="18"/>
      <c r="C160" s="19"/>
      <c r="D160" s="20"/>
      <c r="E160" s="21"/>
      <c r="F160" s="21"/>
      <c r="G160" s="21"/>
    </row>
    <row r="161" spans="2:7">
      <c r="B161" s="18"/>
      <c r="C161" s="19"/>
      <c r="D161" s="20"/>
      <c r="E161" s="21"/>
      <c r="F161" s="21"/>
      <c r="G161" s="21"/>
    </row>
    <row r="162" spans="2:7">
      <c r="B162" s="18"/>
      <c r="C162" s="19"/>
      <c r="D162" s="20"/>
      <c r="E162" s="21"/>
      <c r="F162" s="21"/>
      <c r="G162" s="21"/>
    </row>
    <row r="163" spans="2:7">
      <c r="B163" s="18"/>
      <c r="C163" s="19"/>
      <c r="D163" s="20"/>
      <c r="E163" s="21"/>
      <c r="F163" s="21"/>
      <c r="G163" s="21"/>
    </row>
    <row r="164" spans="2:7">
      <c r="B164" s="18"/>
      <c r="C164" s="19"/>
      <c r="D164" s="20"/>
      <c r="E164" s="21"/>
      <c r="F164" s="21"/>
      <c r="G164" s="21"/>
    </row>
    <row r="165" spans="2:7">
      <c r="B165" s="18"/>
      <c r="C165" s="19"/>
      <c r="D165" s="20"/>
      <c r="E165" s="21"/>
      <c r="F165" s="21"/>
      <c r="G165" s="21"/>
    </row>
    <row r="166" spans="2:7">
      <c r="B166" s="18"/>
      <c r="C166" s="19"/>
      <c r="D166" s="20"/>
      <c r="E166" s="21"/>
      <c r="F166" s="21"/>
      <c r="G166" s="21"/>
    </row>
    <row r="167" spans="2:7">
      <c r="B167" s="18"/>
      <c r="C167" s="19"/>
      <c r="D167" s="20"/>
      <c r="E167" s="21"/>
      <c r="F167" s="21"/>
      <c r="G167" s="21"/>
    </row>
    <row r="168" spans="2:7">
      <c r="B168" s="18"/>
      <c r="C168" s="19"/>
      <c r="D168" s="20"/>
      <c r="E168" s="21"/>
      <c r="F168" s="21"/>
      <c r="G168" s="21"/>
    </row>
    <row r="169" spans="2:7">
      <c r="B169" s="18"/>
      <c r="C169" s="19"/>
      <c r="D169" s="20"/>
      <c r="E169" s="21"/>
      <c r="F169" s="21"/>
      <c r="G169" s="21"/>
    </row>
    <row r="170" spans="2:7">
      <c r="B170" s="18"/>
      <c r="C170" s="19"/>
      <c r="D170" s="20"/>
      <c r="E170" s="21"/>
      <c r="F170" s="21"/>
      <c r="G170" s="21"/>
    </row>
    <row r="171" spans="2:7">
      <c r="B171" s="18"/>
      <c r="C171" s="19"/>
      <c r="D171" s="20"/>
      <c r="E171" s="21"/>
      <c r="F171" s="21"/>
      <c r="G171" s="21"/>
    </row>
    <row r="172" spans="2:7">
      <c r="B172" s="18"/>
      <c r="C172" s="19"/>
      <c r="D172" s="20"/>
      <c r="E172" s="21"/>
      <c r="F172" s="21"/>
      <c r="G172" s="21"/>
    </row>
    <row r="173" spans="2:7">
      <c r="B173" s="18"/>
      <c r="C173" s="19"/>
      <c r="D173" s="20"/>
      <c r="E173" s="21"/>
      <c r="F173" s="21"/>
      <c r="G173" s="21"/>
    </row>
    <row r="174" spans="2:7">
      <c r="B174" s="18"/>
      <c r="C174" s="19"/>
      <c r="D174" s="20"/>
      <c r="E174" s="21"/>
      <c r="F174" s="21"/>
      <c r="G174" s="21"/>
    </row>
    <row r="175" spans="2:7">
      <c r="B175" s="18"/>
      <c r="C175" s="19"/>
      <c r="D175" s="20"/>
      <c r="E175" s="21"/>
      <c r="F175" s="21"/>
      <c r="G175" s="21"/>
    </row>
    <row r="176" spans="2:7">
      <c r="B176" s="18"/>
      <c r="C176" s="19"/>
      <c r="D176" s="20"/>
      <c r="E176" s="21"/>
      <c r="F176" s="21"/>
      <c r="G176" s="21"/>
    </row>
    <row r="177" spans="2:7">
      <c r="B177" s="18"/>
      <c r="C177" s="19"/>
      <c r="D177" s="20"/>
      <c r="E177" s="21"/>
      <c r="F177" s="21"/>
      <c r="G177" s="21"/>
    </row>
    <row r="178" spans="2:7">
      <c r="B178" s="18"/>
      <c r="C178" s="19"/>
      <c r="D178" s="20"/>
      <c r="E178" s="21"/>
      <c r="F178" s="21"/>
      <c r="G178" s="21"/>
    </row>
    <row r="179" spans="2:7">
      <c r="B179" s="18"/>
      <c r="C179" s="19"/>
      <c r="D179" s="20"/>
      <c r="E179" s="21"/>
      <c r="F179" s="21"/>
      <c r="G179" s="21"/>
    </row>
    <row r="180" spans="2:7">
      <c r="B180" s="18"/>
      <c r="C180" s="19"/>
      <c r="D180" s="20"/>
      <c r="E180" s="21"/>
      <c r="F180" s="21"/>
      <c r="G180" s="21"/>
    </row>
    <row r="181" spans="2:7">
      <c r="B181" s="18"/>
      <c r="C181" s="19"/>
      <c r="D181" s="20"/>
      <c r="E181" s="21"/>
      <c r="F181" s="21"/>
      <c r="G181" s="21"/>
    </row>
    <row r="182" spans="2:7">
      <c r="B182" s="18"/>
      <c r="C182" s="19"/>
      <c r="D182" s="20"/>
      <c r="E182" s="21"/>
      <c r="F182" s="21"/>
      <c r="G182" s="21"/>
    </row>
    <row r="183" spans="2:7">
      <c r="B183" s="18"/>
      <c r="C183" s="19"/>
      <c r="D183" s="20"/>
      <c r="E183" s="21"/>
      <c r="F183" s="21"/>
      <c r="G183" s="21"/>
    </row>
    <row r="184" spans="2:7">
      <c r="B184" s="18"/>
      <c r="C184" s="19"/>
      <c r="D184" s="20"/>
      <c r="E184" s="21"/>
      <c r="F184" s="21"/>
      <c r="G184" s="21"/>
    </row>
    <row r="185" spans="2:7">
      <c r="B185" s="18"/>
      <c r="C185" s="19"/>
      <c r="D185" s="20"/>
      <c r="E185" s="21"/>
      <c r="F185" s="21"/>
      <c r="G185" s="21"/>
    </row>
    <row r="186" spans="2:7">
      <c r="B186" s="18"/>
      <c r="C186" s="19"/>
      <c r="D186" s="20"/>
      <c r="E186" s="21"/>
      <c r="F186" s="21"/>
      <c r="G186" s="21"/>
    </row>
    <row r="187" spans="2:7">
      <c r="B187" s="18"/>
      <c r="C187" s="19"/>
      <c r="D187" s="20"/>
      <c r="E187" s="21"/>
      <c r="F187" s="21"/>
      <c r="G187" s="21"/>
    </row>
    <row r="188" spans="2:7">
      <c r="B188" s="18"/>
      <c r="C188" s="19"/>
      <c r="D188" s="20"/>
      <c r="E188" s="21"/>
      <c r="F188" s="21"/>
      <c r="G188" s="21"/>
    </row>
    <row r="189" spans="2:7">
      <c r="B189" s="18"/>
      <c r="C189" s="19"/>
      <c r="D189" s="20"/>
      <c r="E189" s="21"/>
      <c r="F189" s="21"/>
      <c r="G189" s="21"/>
    </row>
    <row r="190" spans="2:7">
      <c r="B190" s="18"/>
      <c r="C190" s="19"/>
      <c r="D190" s="20"/>
      <c r="E190" s="21"/>
      <c r="F190" s="21"/>
      <c r="G190" s="21"/>
    </row>
    <row r="191" spans="2:7">
      <c r="B191" s="18"/>
      <c r="C191" s="19"/>
      <c r="D191" s="20"/>
      <c r="E191" s="21"/>
      <c r="F191" s="21"/>
      <c r="G191" s="21"/>
    </row>
    <row r="192" spans="2:7">
      <c r="B192" s="18"/>
      <c r="C192" s="19"/>
      <c r="D192" s="20"/>
      <c r="E192" s="21"/>
      <c r="F192" s="21"/>
      <c r="G192" s="2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Overall</vt:lpstr>
      <vt:lpstr>FS</vt:lpstr>
      <vt:lpstr>Sharpe, Sortino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core2quad</dc:creator>
  <cp:lastModifiedBy>core2quad</cp:lastModifiedBy>
  <dcterms:created xsi:type="dcterms:W3CDTF">2024-08-28T13:58:00Z</dcterms:created>
  <dcterms:modified xsi:type="dcterms:W3CDTF">2025-01-10T19:08:21Z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FC00C39987CC494C9BFD9134ABC94A73_11</vt:lpwstr>
  </property>
  <property fmtid="{D5CDD505-2E9C-101B-9397-08002B2CF9AE}" pid="3" name="KSOProductBuildVer">
    <vt:lpwstr>1033-12.2.0.19307</vt:lpwstr>
  </property>
  <property fmtid="{D5CDD505-2E9C-101B-9397-08002B2CF9AE}" pid="4" name="KSOReadingLayout">
    <vt:bool>true</vt:bool>
  </property>
</Properties>
</file>