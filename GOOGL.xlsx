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9210" windowWidth="9210" windowHeight="6570" firstSheet="1"/>
    <workbookView windowWidth="28800" windowHeight="11850" firstSheet="1" activeTab="1"/>
  </bookViews>
  <sheets>
    <sheet name="Overall" sheetId="8" r:id="rId1"/>
    <sheet name="FS" sheetId="3" r:id="rId2"/>
    <sheet name="Sharpe, Sortino" sheetId="9" r:id="rId3"/>
    <sheet name="Projections" sheetId="7" r:id="rId4"/>
    <sheet name="SWOT" sheetId="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core2quad</author>
  </authors>
  <commentList>
    <comment ref="D15" authorId="0">
      <text>
        <r>
          <rPr>
            <sz val="9"/>
            <rFont val="Times New Roman"/>
            <charset val="0"/>
          </rPr>
          <t xml:space="preserve">
Google Search &amp; other, which includes revenues generated on Google search properties (including revenues from traffic generated by search distribution partners who use Google.com as their default search in browsers, toolbars, etc.), and other Google owned and operated properties like Gmail, Google Maps, and Google Play;</t>
        </r>
      </text>
    </comment>
    <comment ref="D16" authorId="0">
      <text>
        <r>
          <rPr>
            <sz val="9"/>
            <rFont val="Times New Roman"/>
            <charset val="0"/>
          </rPr>
          <t xml:space="preserve">
YouTube ads, which includes revenues generated on YouTube properties</t>
        </r>
      </text>
    </comment>
    <comment ref="D17" authorId="0">
      <text>
        <r>
          <rPr>
            <sz val="9"/>
            <rFont val="Times New Roman"/>
            <charset val="0"/>
          </rPr>
          <t>Google Network, which includes revenues generated on Google Network properties participating in AdMob, AdSense, and Google Ad Manager.</t>
        </r>
      </text>
    </comment>
    <comment ref="D19" authorId="0">
      <text>
        <r>
          <rPr>
            <sz val="9"/>
            <rFont val="Times New Roman"/>
            <charset val="0"/>
          </rPr>
          <t xml:space="preserve">
Google subscriptions, platforms, and devices revenues are comprised of the following:- 
•consumer subscriptions, which primarily include revenues from YouTube services, such as YouTube TV, YouTube Music and Premium, and NFL Sunday Ticket, as well as Google One;
•platforms, which primarily include revenues from Google Play from the sales of apps and in-app purchases;
•devices, which primarily include sales of the Pixel family of devices; and
•other products and services.</t>
        </r>
      </text>
    </comment>
    <comment ref="D21" authorId="0">
      <text>
        <r>
          <rPr>
            <sz val="9"/>
            <rFont val="Times New Roman"/>
            <charset val="0"/>
          </rPr>
          <t xml:space="preserve">
Google Cloud revenues are comprised of the following:
•Google Cloud Platform, which generates consumption-based fees and subscriptions for infrastructure, platform, and other services. These services provide access to solutions such as cybersecurity, databases, analytics, and AI offerings including our AI infrastructure, Vertex AI platform, and Gemini for Google Cloud;
•Google Workspace, which includes subscriptions for cloud-based communication and collaboration tools for enterprises, such as Calendar, Gmail, Docs, Drive, and Meet, with integrated features like Gemini for Google Workspace; and
•other enterprise services.</t>
        </r>
      </text>
    </comment>
    <comment ref="D22" authorId="0">
      <text>
        <r>
          <rPr>
            <sz val="9"/>
            <rFont val="Times New Roman"/>
            <charset val="0"/>
          </rPr>
          <t xml:space="preserve">
Revenues from Other Bets are generated primarily from the sale of healthcare-related services and internet services.</t>
        </r>
      </text>
    </comment>
    <comment ref="D23" authorId="0">
      <text>
        <r>
          <rPr>
            <sz val="9"/>
            <rFont val="Times New Roman"/>
            <charset val="0"/>
          </rPr>
          <t xml:space="preserve">
FOREX related</t>
        </r>
      </text>
    </comment>
    <comment ref="D26" authorId="0">
      <text>
        <r>
          <rPr>
            <b/>
            <sz val="9"/>
            <rFont val="Times New Roman"/>
            <charset val="0"/>
          </rPr>
          <t>core2quad:</t>
        </r>
        <r>
          <rPr>
            <sz val="9"/>
            <rFont val="Times New Roman"/>
            <charset val="0"/>
          </rPr>
          <t xml:space="preserve">
•TAC includes:
◦amounts paid to our distribution partners who make available our search access points and services. Our distribution partners include browser providers, mobile carriers, original equipment manufacturers, and software developers; and
◦amounts paid to Google Network partners primarily for ads displayed on their properties.</t>
        </r>
      </text>
    </comment>
    <comment ref="D33" authorId="0">
      <text>
        <r>
          <rPr>
            <b/>
            <sz val="9"/>
            <rFont val="Times New Roman"/>
            <charset val="0"/>
          </rPr>
          <t>core2quad:</t>
        </r>
        <r>
          <rPr>
            <sz val="9"/>
            <rFont val="Times New Roman"/>
            <charset val="0"/>
          </rPr>
          <t xml:space="preserve">
As announced on April 18, 2024, we further consolidated teams that focus on building AI models across Google Research and Google DeepMind to further accelerate our progress in AI. AI model development teams previously under Google Research in our Google Services segment are included as part of Google DeepMind, reported within Alphabet-level activities, prospectively beginning in the second quarter of 2024.
Certain costs are not allocated to our segments because they represent Alphabet-level activities. These costs primarily include :- 
- AI-focused shared R&amp;D activities, including development costs of our general AI models; 
- corporate initiatives such as our philanthropic activities; 
- corporate shared costs such as certain finance, human resource, and legal costs, including certain fines and settlements. 
- Charges associated with employee severance and office space reductions during 2023 and employee severance in 2024 were also not allocated to our segments. 
- Additionally, hedging gains (losses) related to revenue are not allocated to our segments.
N/B: Segments meaning Google Services, Google Cloud &amp; Other Bets</t>
        </r>
      </text>
    </comment>
    <comment ref="D80" authorId="0">
      <text>
        <r>
          <rPr>
            <b/>
            <sz val="9"/>
            <rFont val="Times New Roman"/>
            <charset val="0"/>
          </rPr>
          <t>core2quad:</t>
        </r>
        <r>
          <rPr>
            <sz val="9"/>
            <rFont val="Times New Roman"/>
            <charset val="0"/>
          </rPr>
          <t xml:space="preserve">
Cost of revenues is comprised of TAC and other costs of revenues.
•TAC includes:
◦amounts paid to our distribution partners who make available our search access points and services. Our distribution partners include browser providers, mobile carriers, original equipment manufacturers, and software developers; and
◦amounts paid to Google Network partners primarily for ads displayed on their properties.
•Other cost of revenues primarily includes:
◦compensation expense related to our data centers and other operations such as content review and customer and product support;
◦content acquisition costs, which are payments to content providers from whom we license video and other content for distribution on YouTube and Google Play (we pay fees to these content providers based on revenues generated or a flat fee);
◦depreciation expense related to our technical infrastructure; and
◦inventory and other costs related to the devices we sell.
</t>
        </r>
      </text>
    </comment>
    <comment ref="D93" authorId="0">
      <text>
        <r>
          <rPr>
            <b/>
            <sz val="9"/>
            <rFont val="Times New Roman"/>
            <charset val="0"/>
          </rPr>
          <t>core2quad:</t>
        </r>
        <r>
          <rPr>
            <sz val="9"/>
            <rFont val="Times New Roman"/>
            <charset val="0"/>
          </rPr>
          <t xml:space="preserve">
Includes interest income &amp; expense, gains &amp; losses of debt &amp; equity securities, impairment losses, performance fees</t>
        </r>
      </text>
    </comment>
    <comment ref="D125" authorId="0">
      <text>
        <r>
          <rPr>
            <sz val="9"/>
            <rFont val="Times New Roman"/>
            <charset val="0"/>
          </rPr>
          <t xml:space="preserve">
We enter into master netting arrangements and collateral security arrangements to reduce credit risk. Cash collateral received related to derivative instruments under our collateral security arrangements are included in other current assets with a corresponding liability. Cash and non-cash collateral pledged related to derivative instruments under our collateral security arrangements are included in other current assets.
Includes other items :-
- Income Taxes Receivable
- Inventory</t>
        </r>
      </text>
    </comment>
    <comment ref="D135" authorId="0">
      <text>
        <r>
          <rPr>
            <sz val="9"/>
            <rFont val="Times New Roman"/>
            <charset val="0"/>
          </rPr>
          <t xml:space="preserve">
The long-term portion of marketable equity securities (subject to long-term lock-up restrictions) of $1.4 billion as of December 31, 2023 is included within other non-current assets.</t>
        </r>
      </text>
    </comment>
    <comment ref="D143" authorId="0">
      <text>
        <r>
          <rPr>
            <sz val="9"/>
            <rFont val="Times New Roman"/>
            <charset val="0"/>
          </rPr>
          <t xml:space="preserve">
- European Commission fines
- Accrued purchases of property &amp; equipment
- Accrued customer liabilities
- Current operating lease liabilities
- Income taxes payable (net)
- Other accrued expenses and other current liabilities</t>
        </r>
      </text>
    </comment>
  </commentList>
</comments>
</file>

<file path=xl/comments2.xml><?xml version="1.0" encoding="utf-8"?>
<comments xmlns="http://schemas.openxmlformats.org/spreadsheetml/2006/main">
  <authors>
    <author>core2quad</author>
  </authors>
  <commentList>
    <comment ref="D9" authorId="0">
      <text>
        <r>
          <rPr>
            <b/>
            <sz val="9"/>
            <rFont val="Times New Roman"/>
            <charset val="0"/>
          </rPr>
          <t>core2quad:</t>
        </r>
        <r>
          <rPr>
            <sz val="9"/>
            <rFont val="Times New Roman"/>
            <charset val="0"/>
          </rPr>
          <t xml:space="preserve">
Cost of revenues is comprised of TAC and other costs of revenues.
•TAC includes:
◦amounts paid to our distribution partners who make available our search access points and services. Our distribution partners include browser providers, mobile carriers, original equipment manufacturers, and software developers; and
◦amounts paid to Google Network partners primarily for ads displayed on their properties.
•Other cost of revenues primarily includes:
◦compensation expense related to our data centers and other operations such as content review and customer and product support;
◦content acquisition costs, which are payments to content providers from whom we license video and other content for distribution on YouTube and Google Play (we pay fees to these content providers based on revenues generated or a flat fee);
◦depreciation expense related to our technical infrastructure; and
◦inventory and other costs related to the devices we sell.
</t>
        </r>
      </text>
    </comment>
    <comment ref="D22" authorId="0">
      <text>
        <r>
          <rPr>
            <b/>
            <sz val="9"/>
            <rFont val="Times New Roman"/>
            <charset val="0"/>
          </rPr>
          <t>core2quad:</t>
        </r>
        <r>
          <rPr>
            <sz val="9"/>
            <rFont val="Times New Roman"/>
            <charset val="0"/>
          </rPr>
          <t xml:space="preserve">
Includes interest income &amp; expense, gains &amp; losses of debt &amp; equity securities, impairment losses, performance fees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<sst xmlns="http://schemas.openxmlformats.org/spreadsheetml/2006/main" count="389" uniqueCount="269">
  <si>
    <t>SUMMARY</t>
  </si>
  <si>
    <t>Share price</t>
  </si>
  <si>
    <t>Profit Margins</t>
  </si>
  <si>
    <t>Valuations Multiples</t>
  </si>
  <si>
    <t>Solvency</t>
  </si>
  <si>
    <t>Efficiency</t>
  </si>
  <si>
    <t>Risk</t>
  </si>
  <si>
    <t>CAGR</t>
  </si>
  <si>
    <t>GPM</t>
  </si>
  <si>
    <t>OM</t>
  </si>
  <si>
    <t>NPM</t>
  </si>
  <si>
    <t>PE</t>
  </si>
  <si>
    <t>EPS</t>
  </si>
  <si>
    <t>Dividend Yield</t>
  </si>
  <si>
    <t>Debt Ratio</t>
  </si>
  <si>
    <t>Debt - Equity</t>
  </si>
  <si>
    <t>Debt - Revenue</t>
  </si>
  <si>
    <t>IT</t>
  </si>
  <si>
    <t>RT</t>
  </si>
  <si>
    <t>PT</t>
  </si>
  <si>
    <t>Sharpe Ratio</t>
  </si>
  <si>
    <t>Sortino Ratio</t>
  </si>
  <si>
    <t>Base year</t>
  </si>
  <si>
    <t>Y/E</t>
  </si>
  <si>
    <t>Updated As At</t>
  </si>
  <si>
    <t>MC</t>
  </si>
  <si>
    <t>Share price at Y/E</t>
  </si>
  <si>
    <t>Current</t>
  </si>
  <si>
    <t>3 years</t>
  </si>
  <si>
    <t>5 years</t>
  </si>
  <si>
    <t>31/12</t>
  </si>
  <si>
    <t>&lt; Figures are in millions &gt;</t>
  </si>
  <si>
    <t>Y/E 31/12</t>
  </si>
  <si>
    <t>Annualized</t>
  </si>
  <si>
    <t>25/04/23</t>
  </si>
  <si>
    <t>26/07/23</t>
  </si>
  <si>
    <t>25/10/23</t>
  </si>
  <si>
    <t>30/01/24</t>
  </si>
  <si>
    <t>25/04/24</t>
  </si>
  <si>
    <t>23/07/24</t>
  </si>
  <si>
    <t>Average</t>
  </si>
  <si>
    <t>Median</t>
  </si>
  <si>
    <t>Std Dev</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</si>
  <si>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</si>
  <si>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</si>
  <si>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</si>
  <si>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</si>
  <si>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</si>
  <si>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</si>
  <si>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</si>
  <si>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</si>
  <si>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</si>
  <si>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</si>
  <si>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</si>
  <si>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</si>
  <si>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</si>
  <si>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</si>
  <si>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</si>
  <si>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</si>
  <si>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</si>
  <si>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</si>
  <si>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</si>
  <si>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</si>
  <si>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</si>
  <si>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</si>
  <si>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Revenue By Geography</t>
  </si>
  <si>
    <t>United States</t>
  </si>
  <si>
    <t>Europe, Middle East &amp; Africa (EMEA)</t>
  </si>
  <si>
    <t>Asia-Pacific (APAC)</t>
  </si>
  <si>
    <t>Canada &amp; Latin America (Other Americas)</t>
  </si>
  <si>
    <t>Hedging gains/(losses)</t>
  </si>
  <si>
    <t>Total Revenues</t>
  </si>
  <si>
    <t>Revenue Breakdown</t>
  </si>
  <si>
    <t>Advertising</t>
  </si>
  <si>
    <t>Search &amp; Other</t>
  </si>
  <si>
    <t>Youtube ads</t>
  </si>
  <si>
    <t>Google network</t>
  </si>
  <si>
    <t>Google subscriptions, platform &amp; devices</t>
  </si>
  <si>
    <t>Google Services (Total)</t>
  </si>
  <si>
    <t>Google Cloud</t>
  </si>
  <si>
    <t>Other Bets</t>
  </si>
  <si>
    <t>Total traffic acquisition cost (TAC)</t>
  </si>
  <si>
    <t>Number of employees (headcount)</t>
  </si>
  <si>
    <t>Operating Income/(loss) Breakdown</t>
  </si>
  <si>
    <t>Google Services</t>
  </si>
  <si>
    <t>Alphabet-level activities</t>
  </si>
  <si>
    <t>Total Operating Income</t>
  </si>
  <si>
    <t>Composition By Geography</t>
  </si>
  <si>
    <t>Composition By Products / Services</t>
  </si>
  <si>
    <t>TAC / Cost of Revenue (%)</t>
  </si>
  <si>
    <t>Revenue Growth (%)</t>
  </si>
  <si>
    <t>Google Network</t>
  </si>
  <si>
    <t>TOTAL ADVERTISING GROWTH (%)</t>
  </si>
  <si>
    <t>TOTAL GOOGLE SERVICES GROWTH (%)</t>
  </si>
  <si>
    <t>TOTAL REVENUE GROWTH (%)</t>
  </si>
  <si>
    <t>Operating Income Growth (%)</t>
  </si>
  <si>
    <t>OPERATING INCOME GROWTH (%)</t>
  </si>
  <si>
    <t>P&amp;L</t>
  </si>
  <si>
    <t>Revenue</t>
  </si>
  <si>
    <t>Cost of Revenue</t>
  </si>
  <si>
    <t>Gross Profit</t>
  </si>
  <si>
    <t>GP margin (%)</t>
  </si>
  <si>
    <t>Research &amp; Development</t>
  </si>
  <si>
    <t>Sales &amp; Marketing</t>
  </si>
  <si>
    <t>General &amp; Admin</t>
  </si>
  <si>
    <t>European Commission fines</t>
  </si>
  <si>
    <t>Total Cost &amp; Expenses</t>
  </si>
  <si>
    <t>Operating Income</t>
  </si>
  <si>
    <t>Operating margin (%)</t>
  </si>
  <si>
    <t>Other Income / (expense), Net</t>
  </si>
  <si>
    <t>Income before taxation</t>
  </si>
  <si>
    <t>Provision for income taxes</t>
  </si>
  <si>
    <t>Net Income</t>
  </si>
  <si>
    <t>Net income margin (%)</t>
  </si>
  <si>
    <t>Valuation Multiples / Shareholder ratios</t>
  </si>
  <si>
    <t>No. of Shares (Pre-Split)</t>
  </si>
  <si>
    <t>No. of Shares (Splited)</t>
  </si>
  <si>
    <t>Share Price</t>
  </si>
  <si>
    <t>P/E</t>
  </si>
  <si>
    <t>Sales per share</t>
  </si>
  <si>
    <t>Price / Sales</t>
  </si>
  <si>
    <t>Market Cap</t>
  </si>
  <si>
    <t>Enterprise Value (EV)                          MC+Debt-Cash</t>
  </si>
  <si>
    <t>EV / EBITDA</t>
  </si>
  <si>
    <t>EV / Revenue</t>
  </si>
  <si>
    <t>Balance Sheet</t>
  </si>
  <si>
    <t>Current Assets</t>
  </si>
  <si>
    <t>Cash &amp; Cash Equivalents</t>
  </si>
  <si>
    <t>Marketable Securities</t>
  </si>
  <si>
    <t>Accounts Receivables</t>
  </si>
  <si>
    <t>Other current assets</t>
  </si>
  <si>
    <t>Total Current Assets</t>
  </si>
  <si>
    <t>Non-Current Assets</t>
  </si>
  <si>
    <t>Non-marketable securities</t>
  </si>
  <si>
    <t>Deferred Income Taxes</t>
  </si>
  <si>
    <t>Property &amp; Equipment</t>
  </si>
  <si>
    <t>Operating Lease Assets</t>
  </si>
  <si>
    <t>Intangible Assets, net</t>
  </si>
  <si>
    <t>Goodwill</t>
  </si>
  <si>
    <t>Other Non-Current Assets</t>
  </si>
  <si>
    <t>Total Non-Current Assets</t>
  </si>
  <si>
    <t>Total Assets</t>
  </si>
  <si>
    <t>Current Liabilities</t>
  </si>
  <si>
    <t>Accounts Payable</t>
  </si>
  <si>
    <t>Accrued compensation and benefits</t>
  </si>
  <si>
    <t>Accrued expenses and other current liabilities</t>
  </si>
  <si>
    <t>Accrued Revenue share</t>
  </si>
  <si>
    <t>Deferred revenue</t>
  </si>
  <si>
    <t>Total Current Liabilities</t>
  </si>
  <si>
    <t>Non-Current Liabilities</t>
  </si>
  <si>
    <t>Long-Term Debt</t>
  </si>
  <si>
    <t>Income Taxes Payable</t>
  </si>
  <si>
    <t>Operating Lease Liabilities</t>
  </si>
  <si>
    <t>Other long-term liabilities</t>
  </si>
  <si>
    <t>Total Non-Current Liabilities</t>
  </si>
  <si>
    <t>Total Liabilities</t>
  </si>
  <si>
    <t>Equity</t>
  </si>
  <si>
    <t>Share Capital (Class A, B, C)</t>
  </si>
  <si>
    <t>Accumulated other comprehensive income / (loss)</t>
  </si>
  <si>
    <t>Retained Earnings</t>
  </si>
  <si>
    <t>Total Shareholder Equity</t>
  </si>
  <si>
    <t>Total Liabilities &amp; Equity</t>
  </si>
  <si>
    <t>Debt Ratio (Total Liabilities / Total Assets)</t>
  </si>
  <si>
    <t>Debt to Equity (Total Liabilities / Total Equity) - Leverage</t>
  </si>
  <si>
    <t>Debt / Revenue</t>
  </si>
  <si>
    <t>Receivables Turnover</t>
  </si>
  <si>
    <t>Payable Turnover</t>
  </si>
  <si>
    <t>Cash Flow</t>
  </si>
  <si>
    <t>Operating Activities</t>
  </si>
  <si>
    <t>Depreciation of PPE</t>
  </si>
  <si>
    <t>Amortization &amp; impairment of intangible assets</t>
  </si>
  <si>
    <t>Stock-based compensation expense</t>
  </si>
  <si>
    <t>Gain / (Loss) on debt and equity securities</t>
  </si>
  <si>
    <t>Other</t>
  </si>
  <si>
    <t>Changes in Assets &amp; Liabilities</t>
  </si>
  <si>
    <t>Cash Flow from Operating Activities</t>
  </si>
  <si>
    <t>Investing Activities</t>
  </si>
  <si>
    <t>Purchases of PPE (CapEx)</t>
  </si>
  <si>
    <t>Purchases of marketable securities</t>
  </si>
  <si>
    <t>Maturities and Sales of Marketable Securities</t>
  </si>
  <si>
    <t>Purchases of non-marketable securities</t>
  </si>
  <si>
    <t>Maturities and sales of Non-Marketable Securities</t>
  </si>
  <si>
    <t>Acquisition and purchases of intangible assets</t>
  </si>
  <si>
    <t>Other investing activities</t>
  </si>
  <si>
    <t>Cash Flow from Investing Activities</t>
  </si>
  <si>
    <t>Financing Activities</t>
  </si>
  <si>
    <t>Stock-based award activities</t>
  </si>
  <si>
    <t>Repurchases of stock (buybacks)</t>
  </si>
  <si>
    <t>Dividends</t>
  </si>
  <si>
    <t>Proceeds of debt issuance</t>
  </si>
  <si>
    <t>Debt repayment</t>
  </si>
  <si>
    <t>Proceeds from sale of interest in consolidated entities</t>
  </si>
  <si>
    <t>Cash Flow from Financing Activities</t>
  </si>
  <si>
    <t>Effect of Exchange Rate Changes</t>
  </si>
  <si>
    <t>Net Increase / (Decrease) in cash and cash equivalents</t>
  </si>
  <si>
    <t>Cash &amp; cash equivalents at the beginning of the period</t>
  </si>
  <si>
    <t>Cash &amp; cash equivalents at the end of the period</t>
  </si>
  <si>
    <t>Free Cash Flow (FCF)</t>
  </si>
  <si>
    <t>FCF / share</t>
  </si>
  <si>
    <t>GOOG Monthly Price Changes (5 years)</t>
  </si>
  <si>
    <t>United States 10-Year Bond Yield</t>
  </si>
  <si>
    <t>https://www.investing.com/equities/google-inc-c-historical-data</t>
  </si>
  <si>
    <t>https://www.investing.com/rates-bonds/u.s.-10-year-bond-yield-historical-data</t>
  </si>
  <si>
    <t>Jan'19 - Dec'23</t>
  </si>
  <si>
    <t>Risk free rate average</t>
  </si>
  <si>
    <t>TEST (Manual calculation of Monthly Std Dev of Excess Returns - 5 Years)</t>
  </si>
  <si>
    <t>[1]</t>
  </si>
  <si>
    <t>[2]</t>
  </si>
  <si>
    <t>[1] - [2]</t>
  </si>
  <si>
    <t>Sharpe</t>
  </si>
  <si>
    <t>Sortino</t>
  </si>
  <si>
    <t>Date</t>
  </si>
  <si>
    <t>Price</t>
  </si>
  <si>
    <t>Change %</t>
  </si>
  <si>
    <t>Change</t>
  </si>
  <si>
    <t>Monthly Risk free rate</t>
  </si>
  <si>
    <t>Monthly Excess returns</t>
  </si>
  <si>
    <t>Monthly Excess negative returns</t>
  </si>
  <si>
    <t>Average Monthly Excess Returns</t>
  </si>
  <si>
    <t>Difference Squared</t>
  </si>
  <si>
    <r>
      <rPr>
        <sz val="11"/>
        <color theme="1"/>
        <rFont val="Calibri"/>
        <charset val="134"/>
        <scheme val="minor"/>
      </rPr>
      <t>Monthly Std Dev of excess returns (</t>
    </r>
    <r>
      <rPr>
        <b/>
        <sz val="11"/>
        <color theme="1"/>
        <rFont val="Calibri"/>
        <charset val="134"/>
        <scheme val="minor"/>
      </rPr>
      <t>σ</t>
    </r>
    <r>
      <rPr>
        <sz val="11"/>
        <color theme="1"/>
        <rFont val="Calibri"/>
        <charset val="134"/>
        <scheme val="minor"/>
      </rPr>
      <t>)</t>
    </r>
  </si>
  <si>
    <t>Average Monthly Excess Negative Returns</t>
  </si>
  <si>
    <t>1 Year</t>
  </si>
  <si>
    <t>3 Years</t>
  </si>
  <si>
    <t>5 Years</t>
  </si>
  <si>
    <r>
      <rPr>
        <sz val="11"/>
        <color theme="1"/>
        <rFont val="Calibri"/>
        <charset val="134"/>
        <scheme val="minor"/>
      </rPr>
      <t>Monthly Portfolio return (</t>
    </r>
    <r>
      <rPr>
        <b/>
        <sz val="11"/>
        <color theme="1"/>
        <rFont val="Calibri"/>
        <charset val="134"/>
        <scheme val="minor"/>
      </rPr>
      <t>Rp</t>
    </r>
    <r>
      <rPr>
        <sz val="11"/>
        <color theme="1"/>
        <rFont val="Calibri"/>
        <charset val="134"/>
        <scheme val="minor"/>
      </rPr>
      <t>)</t>
    </r>
  </si>
  <si>
    <r>
      <rPr>
        <sz val="11"/>
        <color theme="1"/>
        <rFont val="Calibri"/>
        <charset val="134"/>
        <scheme val="minor"/>
      </rPr>
      <t>Monthly Risk-free return - US 10Yr Yield (</t>
    </r>
    <r>
      <rPr>
        <b/>
        <sz val="11"/>
        <color theme="1"/>
        <rFont val="Calibri"/>
        <charset val="134"/>
        <scheme val="minor"/>
      </rPr>
      <t>Rf</t>
    </r>
    <r>
      <rPr>
        <sz val="11"/>
        <color theme="1"/>
        <rFont val="Calibri"/>
        <charset val="134"/>
        <scheme val="minor"/>
      </rPr>
      <t>)</t>
    </r>
  </si>
  <si>
    <r>
      <rPr>
        <sz val="11"/>
        <color theme="1"/>
        <rFont val="Calibri"/>
        <charset val="134"/>
        <scheme val="minor"/>
      </rPr>
      <t>Excess return (</t>
    </r>
    <r>
      <rPr>
        <b/>
        <sz val="11"/>
        <color theme="1"/>
        <rFont val="Calibri"/>
        <charset val="134"/>
        <scheme val="minor"/>
      </rPr>
      <t>Rp - Rf</t>
    </r>
    <r>
      <rPr>
        <sz val="11"/>
        <color theme="1"/>
        <rFont val="Calibri"/>
        <charset val="134"/>
        <scheme val="minor"/>
      </rPr>
      <t>)</t>
    </r>
  </si>
  <si>
    <r>
      <rPr>
        <sz val="11"/>
        <color theme="1"/>
        <rFont val="Calibri"/>
        <charset val="134"/>
        <scheme val="minor"/>
      </rPr>
      <t>Monthly Sharpe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</si>
  <si>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Annualized Std Dev of excess returns (</t>
    </r>
    <r>
      <rPr>
        <b/>
        <sz val="11"/>
        <color theme="1"/>
        <rFont val="Calibri"/>
        <charset val="134"/>
        <scheme val="minor"/>
      </rPr>
      <t>σ</t>
    </r>
    <r>
      <rPr>
        <sz val="11"/>
        <color theme="1"/>
        <rFont val="Calibri"/>
        <charset val="134"/>
        <scheme val="minor"/>
      </rPr>
      <t>)</t>
    </r>
  </si>
  <si>
    <r>
      <rPr>
        <sz val="11"/>
        <color theme="1"/>
        <rFont val="Calibri"/>
        <charset val="134"/>
        <scheme val="minor"/>
      </rPr>
      <t>Annualized Portfolio return (</t>
    </r>
    <r>
      <rPr>
        <b/>
        <sz val="11"/>
        <color theme="1"/>
        <rFont val="Calibri"/>
        <charset val="134"/>
        <scheme val="minor"/>
      </rPr>
      <t>Rp</t>
    </r>
    <r>
      <rPr>
        <sz val="11"/>
        <color theme="1"/>
        <rFont val="Calibri"/>
        <charset val="134"/>
        <scheme val="minor"/>
      </rPr>
      <t>)</t>
    </r>
  </si>
  <si>
    <r>
      <rPr>
        <sz val="11"/>
        <color theme="1"/>
        <rFont val="Calibri"/>
        <charset val="134"/>
        <scheme val="minor"/>
      </rPr>
      <t>Annualized Risk-free return - US 10Yr Yield (</t>
    </r>
    <r>
      <rPr>
        <b/>
        <sz val="11"/>
        <color theme="1"/>
        <rFont val="Calibri"/>
        <charset val="134"/>
        <scheme val="minor"/>
      </rPr>
      <t>Rf</t>
    </r>
    <r>
      <rPr>
        <sz val="11"/>
        <color theme="1"/>
        <rFont val="Calibri"/>
        <charset val="134"/>
        <scheme val="minor"/>
      </rPr>
      <t>)</t>
    </r>
  </si>
  <si>
    <r>
      <rPr>
        <sz val="11"/>
        <color theme="1"/>
        <rFont val="Calibri"/>
        <charset val="134"/>
        <scheme val="minor"/>
      </rPr>
      <t>Annualized Sharpe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</si>
  <si>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Monthly Std Dev of excess negative returns (</t>
    </r>
    <r>
      <rPr>
        <b/>
        <sz val="11"/>
        <color theme="1"/>
        <rFont val="Calibri"/>
        <charset val="134"/>
        <scheme val="minor"/>
      </rPr>
      <t>σ</t>
    </r>
    <r>
      <rPr>
        <b/>
        <vertAlign val="subscript"/>
        <sz val="11"/>
        <color theme="1"/>
        <rFont val="Calibri"/>
        <charset val="134"/>
        <scheme val="minor"/>
      </rPr>
      <t>d</t>
    </r>
    <r>
      <rPr>
        <sz val="11"/>
        <color theme="1"/>
        <rFont val="Calibri"/>
        <charset val="134"/>
        <scheme val="minor"/>
      </rPr>
      <t>)</t>
    </r>
  </si>
  <si>
    <r>
      <rPr>
        <sz val="11"/>
        <color theme="1"/>
        <rFont val="Calibri"/>
        <charset val="134"/>
        <scheme val="minor"/>
      </rPr>
      <t>Monthly Sortino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</si>
  <si>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Annualized Std Dev of excess negative returns (</t>
    </r>
    <r>
      <rPr>
        <b/>
        <sz val="11"/>
        <color theme="1"/>
        <rFont val="Calibri"/>
        <charset val="134"/>
        <scheme val="minor"/>
      </rPr>
      <t>σ</t>
    </r>
    <r>
      <rPr>
        <sz val="11"/>
        <color theme="1"/>
        <rFont val="Calibri"/>
        <charset val="134"/>
        <scheme val="minor"/>
      </rPr>
      <t>)</t>
    </r>
  </si>
  <si>
    <r>
      <rPr>
        <sz val="11"/>
        <color theme="1"/>
        <rFont val="Calibri"/>
        <charset val="134"/>
        <scheme val="minor"/>
      </rPr>
      <t>Annualized Sortino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σ</t>
    </r>
    <r>
      <rPr>
        <b/>
        <vertAlign val="subscript"/>
        <sz val="11"/>
        <color theme="1"/>
        <rFont val="Calibri"/>
        <charset val="134"/>
        <scheme val="minor"/>
      </rPr>
      <t>d</t>
    </r>
    <r>
      <rPr>
        <b/>
        <sz val="11"/>
        <color theme="1"/>
        <rFont val="Calibri"/>
        <charset val="134"/>
        <scheme val="minor"/>
      </rPr>
      <t xml:space="preserve"> </t>
    </r>
    <r>
      <rPr>
        <sz val="11"/>
        <color theme="1"/>
        <rFont val="Calibri"/>
        <charset val="134"/>
        <scheme val="minor"/>
      </rPr>
      <t>)</t>
    </r>
  </si>
  <si>
    <t xml:space="preserve">Average Growth Rate  = </t>
  </si>
  <si>
    <t>%</t>
  </si>
  <si>
    <t>No. of Shares</t>
  </si>
  <si>
    <t>Notes</t>
  </si>
  <si>
    <t>Strengths</t>
  </si>
  <si>
    <t>Advertising (Search, Youtube, Admob+Adsense+Admanager)</t>
  </si>
  <si>
    <t>80% of total revenue</t>
  </si>
  <si>
    <t>Subscription, platform &amp; devices (youtube premium, google play, pixel devices)</t>
  </si>
  <si>
    <t>11% of total revenue</t>
  </si>
  <si>
    <t>8% of total reveue</t>
  </si>
  <si>
    <t>Weaknesses</t>
  </si>
  <si>
    <t>Opportunities</t>
  </si>
  <si>
    <t>&lt; 1% of total revenue</t>
  </si>
  <si>
    <t>AI LLMs</t>
  </si>
  <si>
    <t>Deep Learning Architectures --&gt;  Transformer (neural network architecture)</t>
  </si>
  <si>
    <t>- Introduced in 2017</t>
  </si>
  <si>
    <t>- Led to Bidirectional Encoder Representations from Tranformers (BERT) in 2019</t>
  </si>
  <si>
    <t>Bidirectional Encoder Representations from Tranformers (BERT)</t>
  </si>
  <si>
    <t>- Helps search understand the intent of user search queries better</t>
  </si>
  <si>
    <t>- Average annual growth rate :  39.06%</t>
  </si>
  <si>
    <t>Google DeepMind</t>
  </si>
  <si>
    <t>- Google DeepMind is an Alphabet subsidiary focusing on artificial intelligence, machine learning, and neuroscience research</t>
  </si>
  <si>
    <t>- Google DeepMind Technologies Limited is a British-American artificial intelligence research laboratory which serves as a subsidiary of Google</t>
  </si>
  <si>
    <t>- Number of employees: c. 2,600 (2024)</t>
  </si>
  <si>
    <t>Vertex AI</t>
  </si>
  <si>
    <t xml:space="preserve">- Vertex AI platform is employed by data scientists and machine learning engineers who are looking to automate or streamline their machine learning projects. </t>
  </si>
  <si>
    <t>- Much of the automation happens through Vertex AI Pipelines, which orchestrate your ML lifecycle or workflow in a serverless fashion</t>
  </si>
  <si>
    <t>- Vertex AI Studio is a Google Cloud console tool for rapidly prototyping and testing generative AI models</t>
  </si>
  <si>
    <t>Duet AI</t>
  </si>
  <si>
    <r>
      <rPr>
        <sz val="11"/>
        <color theme="1"/>
        <rFont val="Calibri"/>
        <charset val="134"/>
        <scheme val="minor"/>
      </rPr>
      <t xml:space="preserve">- Duet AI is a productivity tool that provides assistance to developers, operators, and data scientists while they use </t>
    </r>
    <r>
      <rPr>
        <b/>
        <sz val="11"/>
        <color theme="1"/>
        <rFont val="Calibri"/>
        <charset val="134"/>
        <scheme val="minor"/>
      </rPr>
      <t xml:space="preserve">Google Cloud products. </t>
    </r>
  </si>
  <si>
    <t>- Duet AI is GCP native code assistance tool for building, running and operating code</t>
  </si>
  <si>
    <t>Threats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</si>
</sst>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_ * #,##0.00_ ;_ * \-#,##0.00_ ;_ * &quot;-&quot;??_ ;_ @_ "/>
    <numFmt numFmtId="177" formatCode="_ * #,##0_ ;_ * \-#,##0_ ;_ * &quot;-&quot;_ ;_ @_ "/>
    <numFmt numFmtId="178" formatCode="0.00_);\(0.00\)"/>
  </numFmts>
  <fonts count="30">
    <font>
      <sz val="11"/>
      <color theme="1"/>
      <name val="Calibri"/>
      <charset val="134"/>
      <scheme val="minor"/>
    </font>
    <font>
      <b/>
      <sz val="12"/>
      <color theme="1"/>
      <name val="Calibri"/>
      <charset val="134"/>
      <scheme val="minor"/>
    </font>
    <font>
      <b/>
      <i/>
      <sz val="11"/>
      <color theme="1"/>
      <name val="Calibri"/>
      <charset val="134"/>
      <scheme val="minor"/>
    </font>
    <font>
      <i/>
      <sz val="11"/>
      <color theme="1"/>
      <name val="Calibri"/>
      <charset val="134"/>
      <scheme val="minor"/>
    </font>
    <font>
      <b/>
      <sz val="11"/>
      <color theme="1"/>
      <name val="Calibri"/>
      <charset val="134"/>
      <scheme val="minor"/>
    </font>
    <font>
      <b/>
      <u/>
      <sz val="12"/>
      <color theme="1"/>
      <name val="Calibri"/>
      <charset val="134"/>
      <scheme val="minor"/>
    </font>
    <font>
      <b/>
      <i/>
      <sz val="12"/>
      <color theme="1"/>
      <name val="Calibri"/>
      <charset val="134"/>
      <scheme val="minor"/>
    </font>
    <font>
      <b/>
      <i/>
      <u/>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ertAlign val="subscript"/>
      <sz val="11"/>
      <color theme="1"/>
      <name val="Calibri"/>
      <charset val="134"/>
      <scheme val="minor"/>
    </font>
    <font>
      <sz val="9"/>
      <name val="Times New Roman"/>
      <charset val="0"/>
    </font>
    <font>
      <b/>
      <sz val="9"/>
      <name val="Times New Roman"/>
      <charset val="0"/>
    </font>
  </fonts>
  <fills count="3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double">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4"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5" borderId="8" applyNumberFormat="0" applyAlignment="0" applyProtection="0">
      <alignment vertical="center"/>
    </xf>
    <xf numFmtId="0" fontId="17" fillId="6" borderId="9" applyNumberFormat="0" applyAlignment="0" applyProtection="0">
      <alignment vertical="center"/>
    </xf>
    <xf numFmtId="0" fontId="18" fillId="6" borderId="8" applyNumberFormat="0" applyAlignment="0" applyProtection="0">
      <alignment vertical="center"/>
    </xf>
    <xf numFmtId="0" fontId="19" fillId="7"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105">
    <xf numFmtId="0" fontId="0" fillId="0" borderId="0" xfId="0">
      <alignment vertical="center"/>
    </xf>
    <xf numFmtId="0" fontId="1" fillId="0" borderId="0" xfId="0" applyFont="1">
      <alignment vertical="center"/>
    </xf>
    <xf numFmtId="9" fontId="0" fillId="0" borderId="0" xfId="0" applyNumberFormat="1">
      <alignment vertical="center"/>
    </xf>
    <xf numFmtId="0" fontId="0" fillId="0" borderId="0" xfId="0" applyFont="1">
      <alignment vertical="center"/>
    </xf>
    <xf numFmtId="0" fontId="0" fillId="0" borderId="0" xfId="0" applyAlignment="1">
      <alignment horizontal="center" vertical="center"/>
    </xf>
    <xf numFmtId="0" fontId="2" fillId="0" borderId="0" xfId="0" applyFont="1">
      <alignment vertical="center"/>
    </xf>
    <xf numFmtId="41" fontId="3" fillId="0" borderId="0" xfId="0" applyNumberFormat="1" applyFont="1">
      <alignment vertical="center"/>
    </xf>
    <xf numFmtId="43" fontId="0" fillId="0" borderId="0" xfId="0" applyNumberFormat="1">
      <alignment vertical="center"/>
    </xf>
    <xf numFmtId="43" fontId="3" fillId="0" borderId="0" xfId="0" applyNumberFormat="1" applyFont="1">
      <alignment vertical="center"/>
    </xf>
    <xf numFmtId="41" fontId="4" fillId="0" borderId="0" xfId="0" applyNumberFormat="1" applyFont="1">
      <alignment vertical="center"/>
    </xf>
    <xf numFmtId="41" fontId="0" fillId="0" borderId="0" xfId="0" applyNumberFormat="1">
      <alignment vertical="center"/>
    </xf>
    <xf numFmtId="0" fontId="0" fillId="0" borderId="0" xfId="0" applyFill="1">
      <alignment vertical="center"/>
    </xf>
    <xf numFmtId="41" fontId="0" fillId="0" borderId="0" xfId="0" applyNumberFormat="1" applyFill="1">
      <alignment vertical="center"/>
    </xf>
    <xf numFmtId="41" fontId="0" fillId="0" borderId="1" xfId="0" applyNumberFormat="1" applyFill="1" applyBorder="1">
      <alignment vertical="center"/>
    </xf>
    <xf numFmtId="41" fontId="2" fillId="0" borderId="0" xfId="0" applyNumberFormat="1" applyFont="1" applyFill="1">
      <alignment vertical="center"/>
    </xf>
    <xf numFmtId="0" fontId="0" fillId="0" borderId="0" xfId="0" applyFill="1" applyAlignment="1">
      <alignment horizontal="center" vertical="center"/>
    </xf>
    <xf numFmtId="0" fontId="5" fillId="0" borderId="0" xfId="0" applyFont="1">
      <alignment vertical="center"/>
    </xf>
    <xf numFmtId="41" fontId="0" fillId="0" borderId="2" xfId="0" applyNumberFormat="1" applyFill="1" applyBorder="1">
      <alignment vertical="center"/>
    </xf>
    <xf numFmtId="0" fontId="6" fillId="2" borderId="0" xfId="0" applyFont="1" applyFill="1">
      <alignment vertical="center"/>
    </xf>
    <xf numFmtId="0" fontId="2" fillId="2" borderId="0" xfId="0" applyFont="1" applyFill="1">
      <alignment vertical="center"/>
    </xf>
    <xf numFmtId="0" fontId="2" fillId="0" borderId="0" xfId="0" applyFont="1" applyFill="1">
      <alignment vertical="center"/>
    </xf>
    <xf numFmtId="43" fontId="2" fillId="0" borderId="0" xfId="0" applyNumberFormat="1" applyFont="1" applyFill="1">
      <alignment vertical="center"/>
    </xf>
    <xf numFmtId="0" fontId="0" fillId="2" borderId="0" xfId="0" applyFill="1">
      <alignment vertical="center"/>
    </xf>
    <xf numFmtId="0" fontId="5" fillId="2" borderId="0" xfId="0" applyFont="1" applyFill="1">
      <alignment vertical="center"/>
    </xf>
    <xf numFmtId="0" fontId="3" fillId="0" borderId="0" xfId="0" applyFont="1">
      <alignment vertical="center"/>
    </xf>
    <xf numFmtId="0" fontId="3" fillId="2" borderId="0" xfId="0" applyFont="1" applyFill="1">
      <alignment vertical="center"/>
    </xf>
    <xf numFmtId="0" fontId="3" fillId="0" borderId="0" xfId="0" applyFont="1" applyFill="1">
      <alignment vertical="center"/>
    </xf>
    <xf numFmtId="41" fontId="3" fillId="0" borderId="0" xfId="0" applyNumberFormat="1" applyFont="1" applyFill="1">
      <alignment vertical="center"/>
    </xf>
    <xf numFmtId="43" fontId="3" fillId="2" borderId="0" xfId="0" applyNumberFormat="1" applyFont="1" applyFill="1">
      <alignment vertical="center"/>
    </xf>
    <xf numFmtId="43" fontId="0" fillId="2" borderId="0" xfId="0" applyNumberFormat="1" applyFill="1">
      <alignment vertical="center"/>
    </xf>
    <xf numFmtId="43" fontId="0" fillId="0" borderId="0" xfId="0" applyNumberFormat="1" applyFill="1">
      <alignment vertical="center"/>
    </xf>
    <xf numFmtId="43" fontId="3" fillId="0" borderId="0" xfId="0" applyNumberFormat="1" applyFont="1" applyFill="1">
      <alignment vertical="center"/>
    </xf>
    <xf numFmtId="41" fontId="2" fillId="2" borderId="0" xfId="0" applyNumberFormat="1" applyFont="1" applyFill="1">
      <alignment vertical="center"/>
    </xf>
    <xf numFmtId="41" fontId="4" fillId="2" borderId="0" xfId="0" applyNumberFormat="1" applyFont="1" applyFill="1">
      <alignment vertical="center"/>
    </xf>
    <xf numFmtId="41" fontId="4" fillId="0" borderId="0" xfId="0" applyNumberFormat="1" applyFont="1" applyFill="1">
      <alignment vertical="center"/>
    </xf>
    <xf numFmtId="0" fontId="0" fillId="0" borderId="1" xfId="0" applyFill="1" applyBorder="1">
      <alignment vertical="center"/>
    </xf>
    <xf numFmtId="0" fontId="0" fillId="0" borderId="1" xfId="0" applyFill="1" applyBorder="1" applyAlignment="1">
      <alignment horizontal="center" vertical="center"/>
    </xf>
    <xf numFmtId="41" fontId="0" fillId="0" borderId="3" xfId="0" applyNumberFormat="1" applyFill="1" applyBorder="1">
      <alignment vertical="center"/>
    </xf>
    <xf numFmtId="43" fontId="2" fillId="0" borderId="1" xfId="0" applyNumberFormat="1" applyFont="1" applyFill="1" applyBorder="1">
      <alignment vertical="center"/>
    </xf>
    <xf numFmtId="41" fontId="3" fillId="0" borderId="1" xfId="0" applyNumberFormat="1" applyFont="1" applyFill="1" applyBorder="1">
      <alignment vertical="center"/>
    </xf>
    <xf numFmtId="43" fontId="0" fillId="0" borderId="1" xfId="0" applyNumberFormat="1" applyFill="1" applyBorder="1">
      <alignment vertical="center"/>
    </xf>
    <xf numFmtId="43" fontId="3" fillId="0" borderId="1" xfId="0" applyNumberFormat="1" applyFont="1" applyFill="1" applyBorder="1">
      <alignment vertical="center"/>
    </xf>
    <xf numFmtId="41" fontId="4" fillId="0" borderId="1" xfId="0" applyNumberFormat="1" applyFont="1" applyFill="1" applyBorder="1">
      <alignment vertical="center"/>
    </xf>
    <xf numFmtId="0" fontId="0" fillId="0" borderId="0" xfId="0" applyAlignment="1">
      <alignment horizontal="right" vertical="center"/>
    </xf>
    <xf numFmtId="39" fontId="4" fillId="3" borderId="0" xfId="0" applyNumberFormat="1" applyFont="1" applyFill="1">
      <alignment vertical="center"/>
    </xf>
    <xf numFmtId="39" fontId="2" fillId="3" borderId="0" xfId="0" applyNumberFormat="1" applyFont="1" applyFill="1">
      <alignment vertical="center"/>
    </xf>
    <xf numFmtId="39" fontId="2" fillId="0" borderId="0" xfId="0" applyNumberFormat="1" applyFont="1" applyFill="1">
      <alignment vertical="center"/>
    </xf>
    <xf numFmtId="43" fontId="3" fillId="0" borderId="0" xfId="0" applyNumberFormat="1" applyFont="1" applyFill="1" applyBorder="1">
      <alignment vertical="center"/>
    </xf>
    <xf numFmtId="41" fontId="4" fillId="3" borderId="0" xfId="0" applyNumberFormat="1" applyFont="1" applyFill="1">
      <alignment vertical="center"/>
    </xf>
    <xf numFmtId="0" fontId="4" fillId="0" borderId="0" xfId="0" applyFont="1" applyAlignment="1">
      <alignment horizontal="right" vertical="center"/>
    </xf>
    <xf numFmtId="0" fontId="4" fillId="0" borderId="0" xfId="0" applyFont="1">
      <alignment vertical="center"/>
    </xf>
    <xf numFmtId="0" fontId="4" fillId="0" borderId="0" xfId="0" applyFont="1" applyAlignment="1">
      <alignment horizontal="center" vertical="center"/>
    </xf>
    <xf numFmtId="0" fontId="0" fillId="0" borderId="0" xfId="0" applyAlignment="1">
      <alignment vertical="center" wrapText="1"/>
    </xf>
    <xf numFmtId="15" fontId="0" fillId="3" borderId="0" xfId="0" applyNumberFormat="1" applyFill="1" applyAlignment="1">
      <alignment vertical="center" wrapText="1"/>
    </xf>
    <xf numFmtId="0" fontId="0" fillId="3" borderId="0" xfId="0" applyFill="1" applyAlignment="1">
      <alignment vertical="center" wrapText="1" readingOrder="1"/>
    </xf>
    <xf numFmtId="10" fontId="0" fillId="3" borderId="0" xfId="0" applyNumberFormat="1" applyFill="1" applyAlignment="1">
      <alignment vertical="center" wrapText="1" readingOrder="1"/>
    </xf>
    <xf numFmtId="10" fontId="0" fillId="0" borderId="0" xfId="0" applyNumberFormat="1">
      <alignment vertical="center"/>
    </xf>
    <xf numFmtId="10" fontId="0" fillId="3" borderId="0" xfId="0" applyNumberFormat="1" applyFill="1">
      <alignment vertical="center"/>
    </xf>
    <xf numFmtId="0" fontId="0" fillId="0" borderId="0" xfId="0" applyFont="1" applyAlignment="1">
      <alignment vertical="center" wrapText="1"/>
    </xf>
    <xf numFmtId="0" fontId="7" fillId="0" borderId="0" xfId="0" applyFont="1">
      <alignment vertical="center"/>
    </xf>
    <xf numFmtId="0" fontId="0" fillId="0" borderId="0" xfId="0" applyFont="1" applyAlignment="1">
      <alignment vertical="center"/>
    </xf>
    <xf numFmtId="10" fontId="0" fillId="0" borderId="0" xfId="0" applyNumberFormat="1" applyFill="1">
      <alignment vertical="center"/>
    </xf>
    <xf numFmtId="43" fontId="2" fillId="0" borderId="0" xfId="0" applyNumberFormat="1" applyFont="1">
      <alignment vertical="center"/>
    </xf>
    <xf numFmtId="0" fontId="0" fillId="0" borderId="4" xfId="0" applyBorder="1">
      <alignment vertical="center"/>
    </xf>
    <xf numFmtId="15" fontId="0" fillId="0" borderId="0" xfId="0" applyNumberFormat="1" applyAlignment="1">
      <alignment vertical="center" wrapText="1"/>
    </xf>
    <xf numFmtId="0" fontId="0" fillId="0" borderId="0" xfId="0" applyAlignment="1">
      <alignment vertical="center" wrapText="1" readingOrder="1"/>
    </xf>
    <xf numFmtId="10" fontId="0" fillId="0" borderId="0" xfId="0" applyNumberFormat="1" applyAlignment="1">
      <alignment vertical="center" wrapText="1" readingOrder="1"/>
    </xf>
    <xf numFmtId="10" fontId="0" fillId="0" borderId="2" xfId="0" applyNumberFormat="1" applyBorder="1">
      <alignment vertical="center"/>
    </xf>
    <xf numFmtId="178" fontId="0" fillId="0" borderId="0" xfId="0" applyNumberFormat="1">
      <alignment vertical="center"/>
    </xf>
    <xf numFmtId="39" fontId="4" fillId="0" borderId="0" xfId="0" applyNumberFormat="1" applyFont="1">
      <alignment vertical="center"/>
    </xf>
    <xf numFmtId="39" fontId="0" fillId="0" borderId="0" xfId="0" applyNumberFormat="1">
      <alignment vertical="center"/>
    </xf>
    <xf numFmtId="43" fontId="0" fillId="0" borderId="0" xfId="0" applyNumberFormat="1" applyFont="1">
      <alignment vertical="center"/>
    </xf>
    <xf numFmtId="41" fontId="0" fillId="0" borderId="0" xfId="0" applyNumberFormat="1" applyFill="1" applyAlignment="1">
      <alignment horizontal="center" vertical="center"/>
    </xf>
    <xf numFmtId="43" fontId="3" fillId="0" borderId="2" xfId="0" applyNumberFormat="1" applyFont="1" applyFill="1" applyBorder="1">
      <alignment vertical="center"/>
    </xf>
    <xf numFmtId="178" fontId="0" fillId="2" borderId="0" xfId="0" applyNumberFormat="1" applyFill="1">
      <alignment vertical="center"/>
    </xf>
    <xf numFmtId="178" fontId="0" fillId="0" borderId="0" xfId="0" applyNumberFormat="1" applyFill="1">
      <alignment vertical="center"/>
    </xf>
    <xf numFmtId="39" fontId="0" fillId="0" borderId="0" xfId="0" applyNumberFormat="1" applyFill="1">
      <alignment vertical="center"/>
    </xf>
    <xf numFmtId="0" fontId="4" fillId="2" borderId="0" xfId="0" applyFont="1" applyFill="1">
      <alignment vertical="center"/>
    </xf>
    <xf numFmtId="0" fontId="4" fillId="0" borderId="0" xfId="0" applyFont="1" applyFill="1">
      <alignment vertical="center"/>
    </xf>
    <xf numFmtId="39" fontId="4" fillId="0" borderId="0" xfId="0" applyNumberFormat="1" applyFont="1" applyFill="1">
      <alignment vertical="center"/>
    </xf>
    <xf numFmtId="43" fontId="0" fillId="0" borderId="0" xfId="0" applyNumberFormat="1" applyFill="1" applyAlignment="1">
      <alignment horizontal="center" vertical="center"/>
    </xf>
    <xf numFmtId="41" fontId="0" fillId="0" borderId="0" xfId="0" applyNumberFormat="1" applyFill="1" applyBorder="1">
      <alignment vertical="center"/>
    </xf>
    <xf numFmtId="39" fontId="0" fillId="0" borderId="0" xfId="0" applyNumberFormat="1" applyFont="1" applyFill="1" applyBorder="1">
      <alignment vertical="center"/>
    </xf>
    <xf numFmtId="43" fontId="0" fillId="0" borderId="0" xfId="0" applyNumberFormat="1" applyFill="1" applyBorder="1">
      <alignment vertical="center"/>
    </xf>
    <xf numFmtId="41" fontId="0" fillId="0" borderId="0" xfId="0" applyNumberFormat="1" applyFill="1" applyBorder="1" applyAlignment="1">
      <alignment horizontal="center" vertical="center"/>
    </xf>
    <xf numFmtId="43" fontId="0" fillId="0" borderId="0" xfId="0" applyNumberFormat="1" applyFont="1" applyFill="1">
      <alignment vertical="center"/>
    </xf>
    <xf numFmtId="43" fontId="4" fillId="0" borderId="0" xfId="0" applyNumberFormat="1" applyFont="1" applyFill="1">
      <alignment vertical="center"/>
    </xf>
    <xf numFmtId="58" fontId="0" fillId="0" borderId="0" xfId="0" applyNumberFormat="1" applyFill="1" applyAlignment="1">
      <alignment horizontal="center" vertical="center"/>
    </xf>
    <xf numFmtId="39" fontId="4" fillId="2" borderId="0" xfId="0" applyNumberFormat="1" applyFont="1" applyFill="1">
      <alignment vertical="center"/>
    </xf>
    <xf numFmtId="43" fontId="0" fillId="2" borderId="0" xfId="0" applyNumberFormat="1" applyFont="1" applyFill="1">
      <alignment vertical="center"/>
    </xf>
    <xf numFmtId="41" fontId="3" fillId="2" borderId="0" xfId="0" applyNumberFormat="1" applyFont="1" applyFill="1">
      <alignment vertical="center"/>
    </xf>
    <xf numFmtId="41" fontId="0" fillId="2" borderId="0" xfId="0" applyNumberFormat="1" applyFill="1">
      <alignment vertical="center"/>
    </xf>
    <xf numFmtId="37" fontId="2" fillId="2" borderId="0" xfId="0" applyNumberFormat="1" applyFont="1" applyFill="1">
      <alignment vertical="center"/>
    </xf>
    <xf numFmtId="37" fontId="4" fillId="2" borderId="0" xfId="0" applyNumberFormat="1" applyFont="1" applyFill="1">
      <alignment vertical="center"/>
    </xf>
    <xf numFmtId="41" fontId="0" fillId="0" borderId="0" xfId="0" applyNumberFormat="1" applyFont="1" applyFill="1">
      <alignment vertical="center"/>
    </xf>
    <xf numFmtId="39" fontId="0" fillId="0" borderId="0" xfId="0" applyNumberFormat="1" applyFont="1" applyFill="1">
      <alignment vertical="center"/>
    </xf>
    <xf numFmtId="37" fontId="0" fillId="0" borderId="0" xfId="0" applyNumberFormat="1" applyFont="1" applyFill="1">
      <alignment vertical="center"/>
    </xf>
    <xf numFmtId="0" fontId="0" fillId="0" borderId="0" xfId="0" applyAlignment="1">
      <alignment vertical="center"/>
    </xf>
    <xf numFmtId="0" fontId="0" fillId="0" borderId="0" xfId="0" applyAlignment="1">
      <alignment horizontal="center" vertical="center" wrapText="1"/>
    </xf>
    <xf numFmtId="0" fontId="0" fillId="3" borderId="0" xfId="0" applyFill="1" applyAlignment="1">
      <alignment vertical="center"/>
    </xf>
    <xf numFmtId="43" fontId="0" fillId="0" borderId="0" xfId="0" applyNumberFormat="1" applyFill="1" applyAlignment="1">
      <alignment vertical="center"/>
    </xf>
    <xf numFmtId="43" fontId="0" fillId="0" borderId="0" xfId="0" applyNumberFormat="1" applyAlignment="1">
      <alignment horizontal="center" vertical="center"/>
    </xf>
    <xf numFmtId="41" fontId="0" fillId="0" borderId="0" xfId="0" applyNumberFormat="1" applyAlignment="1">
      <alignment horizontal="center" vertical="center"/>
    </xf>
    <xf numFmtId="43" fontId="0" fillId="0" borderId="0" xfId="0" applyNumberFormat="1" applyAlignment="1">
      <alignment horizontal="center" vertical="center" wrapText="1"/>
    </xf>
    <xf numFmtId="2" fontId="0" fillId="0" borderId="0" xfId="0" applyNumberFormat="1">
      <alignment vertical="center"/>
    </xf>
    <xf numFmtId="41" fontId="0" fillId="0" borderId="0" xfId="0" applyNumberFormat="1" applyFill="1" applyAlignment="1" quotePrefix="1">
      <alignment horizontal="center" vertical="center"/>
    </xf>
    <xf numFmtId="58" fontId="0" fillId="0" borderId="0" xfId="0" applyNumberFormat="1" applyFill="1" applyAlignment="1" quotePrefix="1">
      <alignment horizontal="center" vertical="center"/>
    </xf>
    <xf numFmtId="0" fontId="4" fillId="0" borderId="0" xfId="0" applyFont="1" quotePrefix="1">
      <alignment vertical="center"/>
    </xf>
    <xf numFmtId="0" fontId="0" fillId="0" borderId="0" xfId="0" quotePrefix="1">
      <alignment vertical="center"/>
    </xf>
    <xf numFmtId="0" fontId="0" fillId="0" borderId="0" xfId="0" applyFo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eetMetadata" Target="metadata.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sk%20Free%20Rate)%20US%2010-Year%20Bond%20Yiel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6">
          <cell r="E6">
            <v>0.0246945</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Z11"/>
  <sheetViews>
    <sheetView tabSelected="1" workbookViewId="0">
      <selection activeCell="M12" sqref="M12"/>
    </sheetView>
    <sheetView workbookViewId="1">
      <selection activeCell="A1" sqref="A1"/>
    </sheetView>
  </sheetViews>
  <sheetFormatPr defaultColWidth="9.14285714285714" defaultRowHeight="15"/>
  <cols>
    <col min="3" max="3" width="4.42857142857143" customWidth="1"/>
    <col min="6" max="6" width="10.5714285714286"/>
    <col min="15" max="16" width="9.14285714285714" customWidth="1"/>
  </cols>
  <sheetData>
    <row r="2" spans="2:2">
      <c r="B2" s="50" t="s">
        <v>0</v>
      </c>
    </row>
    <row r="3" spans="2:49">
      <c r="B3" s="97"/>
      <c r="E3" s="97"/>
      <c r="F3" s="97"/>
      <c r="G3" s="97"/>
      <c r="H3" s="97" t="s">
        <v>1</v>
      </c>
      <c r="J3" s="97"/>
      <c r="K3" s="97" t="s">
        <v>2</v>
      </c>
      <c r="L3" s="97"/>
      <c r="M3" s="97"/>
      <c r="N3" s="97"/>
      <c r="O3" s="97"/>
      <c r="P3" s="97"/>
      <c r="Q3" s="97"/>
      <c r="R3" s="97"/>
      <c r="S3" s="97"/>
      <c r="T3" s="97" t="s">
        <v>3</v>
      </c>
      <c r="U3" s="97"/>
      <c r="V3" s="97"/>
      <c r="W3" s="97"/>
      <c r="X3" s="97"/>
      <c r="Y3" s="97"/>
      <c r="Z3" s="97"/>
      <c r="AA3" s="97"/>
      <c r="AB3" s="97"/>
      <c r="AC3" s="97" t="s">
        <v>4</v>
      </c>
      <c r="AD3" s="97"/>
      <c r="AE3" s="97"/>
      <c r="AF3" s="97"/>
      <c r="AG3" s="97"/>
      <c r="AH3" s="97"/>
      <c r="AI3" s="97"/>
      <c r="AJ3" s="97"/>
      <c r="AK3" s="97"/>
      <c r="AL3" s="97" t="s">
        <v>5</v>
      </c>
      <c r="AM3" s="97"/>
      <c r="AN3" s="97"/>
      <c r="AO3" s="97"/>
      <c r="AP3" s="97"/>
      <c r="AQ3" s="97"/>
      <c r="AR3" s="97"/>
      <c r="AS3" s="97"/>
      <c r="AT3" s="97"/>
      <c r="AU3" s="97" t="s">
        <v>6</v>
      </c>
      <c r="AV3" s="97"/>
      <c r="AW3" s="97"/>
    </row>
    <row r="4" spans="2:50">
      <c r="B4" s="97"/>
      <c r="E4" s="97"/>
      <c r="F4" s="97"/>
      <c r="G4" s="97"/>
      <c r="H4" s="97" t="s">
        <v>7</v>
      </c>
      <c r="J4" s="52"/>
      <c r="K4" s="52" t="s">
        <v>8</v>
      </c>
      <c r="L4" s="97"/>
      <c r="M4" s="97"/>
      <c r="N4" s="52" t="s">
        <v>9</v>
      </c>
      <c r="O4" s="97"/>
      <c r="P4" s="97"/>
      <c r="Q4" s="52" t="s">
        <v>10</v>
      </c>
      <c r="R4" s="97"/>
      <c r="S4" s="97"/>
      <c r="T4" s="52" t="s">
        <v>11</v>
      </c>
      <c r="U4" s="97"/>
      <c r="V4" s="97"/>
      <c r="W4" s="52" t="s">
        <v>12</v>
      </c>
      <c r="X4" s="97"/>
      <c r="Y4" s="97"/>
      <c r="Z4" s="97" t="s">
        <v>13</v>
      </c>
      <c r="AA4" s="97"/>
      <c r="AB4" s="97"/>
      <c r="AC4" s="97" t="s">
        <v>14</v>
      </c>
      <c r="AD4" s="97"/>
      <c r="AE4" s="97"/>
      <c r="AF4" s="97" t="s">
        <v>15</v>
      </c>
      <c r="AG4" s="97"/>
      <c r="AH4" s="97"/>
      <c r="AI4" s="97" t="s">
        <v>16</v>
      </c>
      <c r="AJ4" s="97"/>
      <c r="AK4" s="97"/>
      <c r="AL4" s="97" t="s">
        <v>17</v>
      </c>
      <c r="AM4" s="97"/>
      <c r="AN4" s="97"/>
      <c r="AO4" s="97" t="s">
        <v>18</v>
      </c>
      <c r="AP4" s="97"/>
      <c r="AQ4" s="97"/>
      <c r="AR4" s="97" t="s">
        <v>19</v>
      </c>
      <c r="AS4" s="97"/>
      <c r="AT4" s="97"/>
      <c r="AU4" s="97" t="s">
        <v>20</v>
      </c>
      <c r="AV4" s="97"/>
      <c r="AW4" s="97"/>
      <c r="AX4" t="s">
        <v>21</v>
      </c>
    </row>
    <row r="5" ht="45" spans="2:52">
      <c r="B5" s="98" t="s">
        <v>22</v>
      </c>
      <c r="D5" s="98" t="s">
        <v>23</v>
      </c>
      <c r="E5" s="98" t="s">
        <v>24</v>
      </c>
      <c r="F5" s="98" t="s">
        <v>25</v>
      </c>
      <c r="G5" s="98" t="s">
        <v>26</v>
      </c>
      <c r="H5" s="98" t="s">
        <v>27</v>
      </c>
      <c r="I5" s="98" t="s">
        <v>28</v>
      </c>
      <c r="J5" s="98" t="s">
        <v>29</v>
      </c>
      <c r="K5" s="98" t="s">
        <v>27</v>
      </c>
      <c r="L5" s="98" t="s">
        <v>28</v>
      </c>
      <c r="M5" s="98" t="s">
        <v>29</v>
      </c>
      <c r="N5" s="98" t="s">
        <v>27</v>
      </c>
      <c r="O5" s="98" t="s">
        <v>28</v>
      </c>
      <c r="P5" s="98" t="s">
        <v>29</v>
      </c>
      <c r="Q5" s="98" t="s">
        <v>27</v>
      </c>
      <c r="R5" s="98" t="s">
        <v>28</v>
      </c>
      <c r="S5" s="98" t="s">
        <v>29</v>
      </c>
      <c r="T5" s="98" t="s">
        <v>27</v>
      </c>
      <c r="U5" s="98" t="s">
        <v>28</v>
      </c>
      <c r="V5" s="98" t="s">
        <v>29</v>
      </c>
      <c r="W5" s="98" t="s">
        <v>27</v>
      </c>
      <c r="X5" s="98" t="s">
        <v>28</v>
      </c>
      <c r="Y5" s="98" t="s">
        <v>29</v>
      </c>
      <c r="Z5" s="98" t="s">
        <v>27</v>
      </c>
      <c r="AA5" s="98" t="s">
        <v>28</v>
      </c>
      <c r="AB5" s="98" t="s">
        <v>29</v>
      </c>
      <c r="AC5" s="98" t="s">
        <v>27</v>
      </c>
      <c r="AD5" s="98" t="s">
        <v>28</v>
      </c>
      <c r="AE5" s="98" t="s">
        <v>29</v>
      </c>
      <c r="AF5" s="98" t="s">
        <v>27</v>
      </c>
      <c r="AG5" s="98" t="s">
        <v>28</v>
      </c>
      <c r="AH5" s="98" t="s">
        <v>29</v>
      </c>
      <c r="AI5" s="98" t="s">
        <v>27</v>
      </c>
      <c r="AJ5" s="98" t="s">
        <v>28</v>
      </c>
      <c r="AK5" s="98" t="s">
        <v>29</v>
      </c>
      <c r="AL5" s="98" t="s">
        <v>27</v>
      </c>
      <c r="AM5" s="98" t="s">
        <v>28</v>
      </c>
      <c r="AN5" s="98" t="s">
        <v>29</v>
      </c>
      <c r="AO5" s="98" t="s">
        <v>27</v>
      </c>
      <c r="AP5" s="98" t="s">
        <v>28</v>
      </c>
      <c r="AQ5" s="98" t="s">
        <v>29</v>
      </c>
      <c r="AR5" s="98" t="s">
        <v>27</v>
      </c>
      <c r="AS5" s="98" t="s">
        <v>28</v>
      </c>
      <c r="AT5" s="98" t="s">
        <v>29</v>
      </c>
      <c r="AU5" s="103" t="s">
        <v>27</v>
      </c>
      <c r="AV5" s="103" t="s">
        <v>28</v>
      </c>
      <c r="AW5" s="103" t="s">
        <v>29</v>
      </c>
      <c r="AX5" s="103" t="s">
        <v>27</v>
      </c>
      <c r="AY5" s="103" t="s">
        <v>28</v>
      </c>
      <c r="AZ5" s="103" t="s">
        <v>29</v>
      </c>
    </row>
    <row r="6" spans="2:52">
      <c r="B6" s="97">
        <v>2023</v>
      </c>
      <c r="D6" s="43" t="s">
        <v>30</v>
      </c>
      <c r="E6" s="99">
        <v>2023</v>
      </c>
      <c r="F6" s="72">
        <f ca="1">OFFSET(FS!P113,0,E$6-B$6)</f>
        <v>1779945.9</v>
      </c>
      <c r="G6" s="80">
        <f ca="1">OFFSET(FS!P107,0,E$6-B$6)</f>
        <v>140.93</v>
      </c>
      <c r="H6" s="100">
        <f ca="1">((OFFSET(FS!P107,0,E$6-B$6)/OFFSET(FS!P107,0,-1+E$6-B$6))^(1/1)-1)*100</f>
        <v>58.8301589090499</v>
      </c>
      <c r="I6" s="100">
        <f ca="1">((OFFSET(FS!P107,0,E$6-B$6)/OFFSET(FS!P107,0,-2+E$6-B$6))^(1/3)-1)*100</f>
        <v>-1.17119773673457</v>
      </c>
      <c r="J6" s="100">
        <f ca="1">((OFFSET(FS!P107,0,E$6-B$6)/OFFSET(FS!P107,0,-4+E$6-B$6))^(1/5)-1)*100</f>
        <v>16.0858027048263</v>
      </c>
      <c r="K6" s="101">
        <f ca="1">OFFSET(FS!P82,0,0+E$6-B$6)</f>
        <v>43.3749520159795</v>
      </c>
      <c r="L6" s="101">
        <f ca="1">AVERAGE(OFFSET(FS!P82,0,-2+E$6-B$6):OFFSET(FS!P82,0,E$6-B$6))</f>
        <v>43.6852355370719</v>
      </c>
      <c r="M6" s="101">
        <f ca="1">AVERAGE(OFFSET(FS!P82,0,-4+E$6-B$6):OFFSET(FS!P82,0,E$6-B$6))</f>
        <v>44.379357717181</v>
      </c>
      <c r="N6" s="101">
        <f ca="1">OFFSET(FS!P91,0,0+E$6-B$6)</f>
        <v>27.4218104452266</v>
      </c>
      <c r="O6" s="101">
        <f ca="1">AVERAGE(OFFSET(FS!P91,0,-2+E$6-B$6):OFFSET(FS!P91,0,E$6-B$6))</f>
        <v>28.1451233243123</v>
      </c>
      <c r="P6" s="101">
        <f ca="1">AVERAGE(OFFSET(FS!P91,0,-4+E$6-B$6):OFFSET(FS!P91,0,E$6-B$6))</f>
        <v>25.6338874318663</v>
      </c>
      <c r="Q6" s="101">
        <f ca="1">OFFSET(FS!P100,0,0+E$6-B$6)</f>
        <v>24.0066494466385</v>
      </c>
      <c r="R6" s="101">
        <f ca="1">AVERAGE(OFFSET(FS!P100,0,-2+E$6-B$6):OFFSET(FS!P100,0,E$6-B$6))</f>
        <v>24.9073779607595</v>
      </c>
      <c r="S6" s="101">
        <f ca="1">AVERAGE(OFFSET(FS!P100,0,-4+E$6-B$6):OFFSET(FS!P100,0,E$6-B$6))</f>
        <v>23.6004375375118</v>
      </c>
      <c r="T6" s="102">
        <f ca="1">OFFSET(FS!P109,0,0+E$6-B$6)</f>
        <v>24.1201422860627</v>
      </c>
      <c r="U6" s="102">
        <f ca="1">AVERAGE(OFFSET(FS!P109,0,-2+E$6-B$6):OFFSET(FS!P109,0,E$6-B$6))</f>
        <v>23.0292812434273</v>
      </c>
      <c r="V6" s="102">
        <f ca="1">AVERAGE(OFFSET(FS!P109,0,-4+E$6-B$6):OFFSET(FS!P109,0,E$6-B$6))</f>
        <v>25.0521635098464</v>
      </c>
      <c r="W6" s="101">
        <f ca="1">OFFSET(FS!P108,0,0+E$6-B$6)</f>
        <v>5.84283452098179</v>
      </c>
      <c r="X6" s="101">
        <f ca="1">AVERAGE(OFFSET(FS!P108,0,-2+E$6-B$6):OFFSET(FS!P108,0,E$6-B$6))</f>
        <v>5.37596430729786</v>
      </c>
      <c r="Y6" s="101">
        <f ca="1">AVERAGE(OFFSET(FS!P108,0,-4+E$6-B$6):OFFSET(FS!P108,0,E$6-B$6))</f>
        <v>4.3208887928862</v>
      </c>
      <c r="Z6" s="101">
        <v>0</v>
      </c>
      <c r="AA6" s="101">
        <v>0</v>
      </c>
      <c r="AB6" s="101">
        <v>0</v>
      </c>
      <c r="AC6" s="101">
        <f ca="1">OFFSET(FS!P168,0,0+E$6-B$6)</f>
        <v>0.295763832282948</v>
      </c>
      <c r="AD6" s="101">
        <f ca="1">AVERAGE(OFFSET(FS!P168,0,-2+E$6-B$6):OFFSET(FS!P168,0,E$6-B$6))</f>
        <v>0.298032126903689</v>
      </c>
      <c r="AE6" s="101">
        <f ca="1">AVERAGE(OFFSET(FS!P168,0,-4+E$6-B$6):OFFSET(FS!P168,0,E$6-B$6))</f>
        <v>0.293541559367955</v>
      </c>
      <c r="AF6" s="101">
        <f ca="1">OFFSET(FS!P169,0,0+E$6-B$6)</f>
        <v>0.419978191750271</v>
      </c>
      <c r="AG6" s="101">
        <f ca="1">AVERAGE(OFFSET(FS!P169,0,-2+E$6-B$6):OFFSET(FS!P169,0,E$6-B$6))</f>
        <v>0.424574392177166</v>
      </c>
      <c r="AH6" s="101">
        <f ca="1">AVERAGE(OFFSET(FS!P169,0,-4+E$6-B$6):OFFSET(FS!P169,0,E$6-B$6))</f>
        <v>0.415917050308306</v>
      </c>
      <c r="AI6" s="101">
        <f ca="1">OFFSET(FS!P170,0,0+E$6-B$6)</f>
        <v>0.387167608996923</v>
      </c>
      <c r="AJ6" s="101">
        <f ca="1">AVERAGE(OFFSET(FS!P170,0,-2+E$6-B$6):OFFSET(FS!P170,0,E$6-B$6))</f>
        <v>0.396914729336735</v>
      </c>
      <c r="AK6" s="101">
        <f ca="1">AVERAGE(OFFSET(FS!P170,0,-4+E$6-B$6):OFFSET(FS!P170,0,E$6-B$6))</f>
        <v>0.436529167168616</v>
      </c>
      <c r="AL6" s="101">
        <v>0</v>
      </c>
      <c r="AM6" s="101">
        <v>0</v>
      </c>
      <c r="AN6" s="101">
        <v>0</v>
      </c>
      <c r="AO6" s="101">
        <f ca="1">OFFSET(FS!P173,0,0+E$6-B$6)</f>
        <v>6.40884830289384</v>
      </c>
      <c r="AP6" s="101">
        <f ca="1">AVERAGE(OFFSET(FS!P173,0,-2+E$6-B$6):OFFSET(FS!P173,0,E$6-B$6))</f>
        <v>6.66313832034889</v>
      </c>
      <c r="AQ6" s="101">
        <f ca="1">AVERAGE(OFFSET(FS!P173,0,-4+E$6-B$6):OFFSET(FS!P173,0,E$6-B$6))</f>
        <v>6.45633006373514</v>
      </c>
      <c r="AR6" s="101">
        <f ca="1">OFFSET(FS!P174,0,0+E$6-B$6)</f>
        <v>17.7942079273989</v>
      </c>
      <c r="AS6" s="101">
        <f ca="1">AVERAGE(OFFSET(FS!P174,0,-2+E$6-B$6):OFFSET(FS!P174,0,E$6-B$6))</f>
        <v>20.2604296208388</v>
      </c>
      <c r="AT6" s="101">
        <f ca="1">AVERAGE(OFFSET(FS!P174,0,-4+E$6-B$6):OFFSET(FS!P174,0,E$6-B$6))</f>
        <v>17.7740785303828</v>
      </c>
      <c r="AU6" s="104">
        <f>'Sharpe, Sortino'!O23</f>
        <v>1.45178935551397</v>
      </c>
      <c r="AV6" s="104">
        <f>'Sharpe, Sortino'!P23</f>
        <v>0.454986198216153</v>
      </c>
      <c r="AW6" s="104">
        <f>'Sharpe, Sortino'!Q23</f>
        <v>0.667560190090214</v>
      </c>
      <c r="AX6" s="104">
        <f>'Sharpe, Sortino'!O40</f>
        <v>3.45823403327829</v>
      </c>
      <c r="AY6" s="104">
        <f>'Sharpe, Sortino'!P40</f>
        <v>0.744932810603344</v>
      </c>
      <c r="AZ6" s="104">
        <f>'Sharpe, Sortino'!Q40</f>
        <v>1.07918024902295</v>
      </c>
    </row>
    <row r="11" spans="3:3">
      <c r="C11" s="10"/>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S217"/>
  <sheetViews>
    <sheetView workbookViewId="0">
      <pane xSplit="4" ySplit="4" topLeftCell="E104" activePane="bottomRight" state="frozen"/>
      <selection/>
      <selection pane="topRight"/>
      <selection pane="bottomLeft"/>
      <selection pane="bottomRight" activeCell="P174" sqref="P174"/>
    </sheetView>
    <sheetView tabSelected="1" workbookViewId="1">
      <pane xSplit="4" ySplit="4" topLeftCell="E92" activePane="bottomRight" state="frozen"/>
      <selection/>
      <selection pane="topRight"/>
      <selection pane="bottomLeft"/>
      <selection pane="bottomRight" activeCell="S113" sqref="S113"/>
    </sheetView>
  </sheetViews>
  <sheetFormatPr defaultColWidth="9.14285714285714" defaultRowHeight="15"/>
  <cols>
    <col min="2" max="3" width="6.28571428571429" customWidth="1"/>
    <col min="4" max="4" width="39.7142857142857" customWidth="1"/>
    <col min="5" max="5" width="9.14285714285714" style="11"/>
    <col min="6" max="12" width="11.7142857142857" style="12"/>
    <col min="13" max="16" width="10.5714285714286" style="12"/>
    <col min="17" max="17" width="9.14285714285714" style="11"/>
    <col min="18" max="18" width="9.14285714285714" style="12"/>
    <col min="19" max="21" width="9.14285714285714" style="30"/>
    <col min="22" max="40" width="9.14285714285714" style="12"/>
    <col min="41" max="41" width="10.1428571428571" style="12"/>
    <col min="42" max="43" width="9.14285714285714" style="12"/>
    <col min="44" max="44" width="10.2857142857143" style="12"/>
    <col min="45" max="45" width="9.14285714285714" style="11"/>
  </cols>
  <sheetData>
    <row r="1" spans="6:30">
      <c r="F1" s="14" t="s">
        <v>31</v>
      </c>
      <c r="G1" s="14"/>
      <c r="H1" s="14"/>
      <c r="I1" s="14"/>
      <c r="J1" s="14"/>
      <c r="K1" s="14"/>
      <c r="M1" s="11"/>
      <c r="N1" s="11"/>
      <c r="O1" s="11"/>
      <c r="P1" s="11"/>
      <c r="X1" s="14"/>
      <c r="Y1" s="14"/>
      <c r="Z1" s="14"/>
      <c r="AA1" s="14"/>
      <c r="AB1" s="14"/>
      <c r="AC1" s="14"/>
      <c r="AD1" s="14"/>
    </row>
    <row r="2" s="4" customFormat="1" spans="5:45">
      <c r="E2" s="15"/>
      <c r="F2" s="15" t="s">
        <v>32</v>
      </c>
      <c r="G2" s="15"/>
      <c r="H2" s="15"/>
      <c r="I2" s="15"/>
      <c r="J2" s="15"/>
      <c r="K2" s="15"/>
      <c r="M2" s="15"/>
      <c r="N2" s="15"/>
      <c r="O2" s="15"/>
      <c r="P2" s="15"/>
      <c r="Q2" s="15"/>
      <c r="R2" s="72"/>
      <c r="S2" s="80"/>
      <c r="T2" s="80"/>
      <c r="U2" s="80" t="s">
        <v>33</v>
      </c>
      <c r="V2" s="72"/>
      <c r="W2" s="72"/>
      <c r="X2" s="72"/>
      <c r="Y2" s="72"/>
      <c r="Z2" s="72"/>
      <c r="AA2" s="72"/>
      <c r="AB2" s="72"/>
      <c r="AC2" s="72"/>
      <c r="AD2" s="72"/>
      <c r="AE2" s="72"/>
      <c r="AF2" s="72"/>
      <c r="AG2" s="72"/>
      <c r="AH2" s="72"/>
      <c r="AI2" s="72"/>
      <c r="AJ2" s="72"/>
      <c r="AK2" s="72"/>
      <c r="AL2" s="72"/>
      <c r="AM2" s="105" t="s">
        <v>34</v>
      </c>
      <c r="AN2" s="105" t="s">
        <v>35</v>
      </c>
      <c r="AO2" s="105" t="s">
        <v>36</v>
      </c>
      <c r="AP2" s="105" t="s">
        <v>37</v>
      </c>
      <c r="AQ2" s="105" t="s">
        <v>38</v>
      </c>
      <c r="AR2" s="106" t="s">
        <v>39</v>
      </c>
      <c r="AS2" s="15"/>
    </row>
    <row r="3" s="4" customFormat="1" spans="5:45">
      <c r="E3" s="15"/>
      <c r="F3" s="15">
        <v>2013</v>
      </c>
      <c r="G3" s="15">
        <v>2014</v>
      </c>
      <c r="H3" s="15">
        <v>2015</v>
      </c>
      <c r="I3" s="15">
        <v>2016</v>
      </c>
      <c r="J3" s="15">
        <v>2017</v>
      </c>
      <c r="K3" s="15">
        <v>2018</v>
      </c>
      <c r="L3" s="15">
        <v>2019</v>
      </c>
      <c r="M3" s="15">
        <v>2020</v>
      </c>
      <c r="N3" s="15">
        <v>2021</v>
      </c>
      <c r="O3" s="15">
        <v>2022</v>
      </c>
      <c r="P3" s="15">
        <v>2023</v>
      </c>
      <c r="Q3" s="15"/>
      <c r="R3" s="72" t="s">
        <v>40</v>
      </c>
      <c r="S3" s="80" t="s">
        <v>41</v>
      </c>
      <c r="T3" s="80" t="s">
        <v>7</v>
      </c>
      <c r="U3" s="80" t="s">
        <v>42</v>
      </c>
      <c r="V3" s="72"/>
      <c r="W3" s="72" t="s">
        <v>43</v>
      </c>
      <c r="X3" s="72" t="s">
        <v>44</v>
      </c>
      <c r="Y3" s="72" t="s">
        <v>45</v>
      </c>
      <c r="Z3" s="72" t="s">
        <v>46</v>
      </c>
      <c r="AA3" s="72" t="s">
        <v>47</v>
      </c>
      <c r="AB3" s="72" t="s">
        <v>48</v>
      </c>
      <c r="AC3" s="72" t="s">
        <v>49</v>
      </c>
      <c r="AD3" s="72" t="s">
        <v>50</v>
      </c>
      <c r="AE3" s="72" t="s">
        <v>51</v>
      </c>
      <c r="AF3" s="72" t="s">
        <v>52</v>
      </c>
      <c r="AG3" s="72" t="s">
        <v>53</v>
      </c>
      <c r="AH3" s="72" t="s">
        <v>54</v>
      </c>
      <c r="AI3" s="72" t="s">
        <v>55</v>
      </c>
      <c r="AJ3" s="72" t="s">
        <v>56</v>
      </c>
      <c r="AK3" s="72" t="s">
        <v>57</v>
      </c>
      <c r="AL3" s="72" t="s">
        <v>58</v>
      </c>
      <c r="AM3" s="72" t="s">
        <v>59</v>
      </c>
      <c r="AN3" s="72" t="s">
        <v>60</v>
      </c>
      <c r="AO3" s="72" t="s">
        <v>61</v>
      </c>
      <c r="AP3" s="72" t="s">
        <v>62</v>
      </c>
      <c r="AQ3" s="72" t="s">
        <v>63</v>
      </c>
      <c r="AR3" s="72" t="s">
        <v>64</v>
      </c>
      <c r="AS3" s="15"/>
    </row>
    <row r="5" ht="15.75" spans="2:2">
      <c r="B5" s="16" t="s">
        <v>65</v>
      </c>
    </row>
    <row r="6" spans="3:44">
      <c r="C6" t="s">
        <v>66</v>
      </c>
      <c r="F6" s="12">
        <v>25587</v>
      </c>
      <c r="G6" s="12">
        <v>29482</v>
      </c>
      <c r="H6" s="12">
        <v>34810</v>
      </c>
      <c r="I6" s="12">
        <v>42781</v>
      </c>
      <c r="J6" s="12">
        <v>52449</v>
      </c>
      <c r="K6" s="12">
        <v>63269</v>
      </c>
      <c r="L6" s="12">
        <v>74843</v>
      </c>
      <c r="M6" s="12">
        <v>85014</v>
      </c>
      <c r="N6" s="12">
        <v>117854</v>
      </c>
      <c r="O6" s="12">
        <v>134814</v>
      </c>
      <c r="P6" s="12">
        <v>146286</v>
      </c>
      <c r="AA6" s="12">
        <v>18870</v>
      </c>
      <c r="AB6" s="12">
        <v>17999</v>
      </c>
      <c r="AC6" s="12">
        <v>21442</v>
      </c>
      <c r="AD6" s="12">
        <v>26703</v>
      </c>
      <c r="AE6" s="12">
        <v>25032</v>
      </c>
      <c r="AF6" s="12">
        <v>28208</v>
      </c>
      <c r="AG6" s="12">
        <v>29824</v>
      </c>
      <c r="AH6" s="12">
        <v>34790</v>
      </c>
      <c r="AI6" s="12">
        <v>31733</v>
      </c>
      <c r="AJ6" s="12">
        <v>32727</v>
      </c>
      <c r="AK6" s="12">
        <v>33372</v>
      </c>
      <c r="AL6" s="12">
        <v>36982</v>
      </c>
      <c r="AM6" s="12">
        <v>32864</v>
      </c>
      <c r="AN6" s="12">
        <v>35073</v>
      </c>
      <c r="AO6" s="12">
        <v>36354</v>
      </c>
      <c r="AP6" s="12">
        <v>41995</v>
      </c>
      <c r="AQ6" s="12">
        <v>38737</v>
      </c>
      <c r="AR6" s="12">
        <v>41196</v>
      </c>
    </row>
    <row r="7" spans="3:44">
      <c r="C7" t="s">
        <v>67</v>
      </c>
      <c r="F7" s="72">
        <f>5604+24835</f>
        <v>30439</v>
      </c>
      <c r="G7" s="72">
        <f>6480+29867</f>
        <v>36347</v>
      </c>
      <c r="H7" s="12">
        <v>29181</v>
      </c>
      <c r="I7" s="12">
        <v>31116</v>
      </c>
      <c r="J7" s="12">
        <v>36236</v>
      </c>
      <c r="K7" s="12">
        <v>44739</v>
      </c>
      <c r="L7" s="12">
        <v>50645</v>
      </c>
      <c r="M7" s="12">
        <v>55370</v>
      </c>
      <c r="N7" s="12">
        <v>79107</v>
      </c>
      <c r="O7" s="12">
        <v>82062</v>
      </c>
      <c r="P7" s="12">
        <v>91038</v>
      </c>
      <c r="AA7" s="12">
        <v>12845</v>
      </c>
      <c r="AB7" s="12">
        <v>11363</v>
      </c>
      <c r="AC7" s="12">
        <v>13924</v>
      </c>
      <c r="AD7" s="12">
        <v>17238</v>
      </c>
      <c r="AE7" s="12">
        <v>17031</v>
      </c>
      <c r="AF7" s="12">
        <v>19084</v>
      </c>
      <c r="AG7" s="12">
        <v>19839</v>
      </c>
      <c r="AH7" s="12">
        <v>23153</v>
      </c>
      <c r="AI7" s="12">
        <v>20317</v>
      </c>
      <c r="AJ7" s="12">
        <v>20533</v>
      </c>
      <c r="AK7" s="12">
        <v>19450</v>
      </c>
      <c r="AL7" s="12">
        <v>21762</v>
      </c>
      <c r="AM7" s="12">
        <v>21078</v>
      </c>
      <c r="AN7" s="12">
        <v>22289</v>
      </c>
      <c r="AO7" s="12">
        <v>22661</v>
      </c>
      <c r="AP7" s="12">
        <v>25010</v>
      </c>
      <c r="AQ7" s="12">
        <v>23788</v>
      </c>
      <c r="AR7" s="12">
        <v>24683</v>
      </c>
    </row>
    <row r="8" spans="3:44">
      <c r="C8" t="s">
        <v>68</v>
      </c>
      <c r="F8" s="72"/>
      <c r="G8" s="72"/>
      <c r="H8" s="12">
        <v>10640</v>
      </c>
      <c r="I8" s="12">
        <v>12166</v>
      </c>
      <c r="J8" s="12">
        <v>16192</v>
      </c>
      <c r="K8" s="12">
        <v>21341</v>
      </c>
      <c r="L8" s="12">
        <v>26928</v>
      </c>
      <c r="M8" s="12">
        <v>32550</v>
      </c>
      <c r="N8" s="12">
        <v>46123</v>
      </c>
      <c r="O8" s="12">
        <v>47024</v>
      </c>
      <c r="P8" s="12">
        <v>51514</v>
      </c>
      <c r="AA8" s="12">
        <v>7238</v>
      </c>
      <c r="AB8" s="12">
        <v>6945</v>
      </c>
      <c r="AC8" s="12">
        <v>8458</v>
      </c>
      <c r="AD8" s="12">
        <v>9909</v>
      </c>
      <c r="AE8" s="12">
        <v>10455</v>
      </c>
      <c r="AF8" s="12">
        <v>11231</v>
      </c>
      <c r="AG8" s="12">
        <v>11705</v>
      </c>
      <c r="AH8" s="12">
        <v>12732</v>
      </c>
      <c r="AI8" s="12">
        <v>11841</v>
      </c>
      <c r="AJ8" s="12">
        <v>11710</v>
      </c>
      <c r="AK8" s="12">
        <v>11494</v>
      </c>
      <c r="AL8" s="12">
        <v>11979</v>
      </c>
      <c r="AM8" s="12">
        <v>11681</v>
      </c>
      <c r="AN8" s="12">
        <v>12728</v>
      </c>
      <c r="AO8" s="12">
        <v>13126</v>
      </c>
      <c r="AP8" s="12">
        <v>13979</v>
      </c>
      <c r="AQ8" s="12">
        <v>13289</v>
      </c>
      <c r="AR8" s="12">
        <v>13823</v>
      </c>
    </row>
    <row r="9" spans="3:44">
      <c r="C9" t="s">
        <v>69</v>
      </c>
      <c r="F9" s="72"/>
      <c r="G9" s="72"/>
      <c r="H9" s="12">
        <v>4548</v>
      </c>
      <c r="I9" s="12">
        <v>4943</v>
      </c>
      <c r="J9" s="12">
        <v>6147</v>
      </c>
      <c r="K9" s="12">
        <v>7608</v>
      </c>
      <c r="L9" s="12">
        <v>8986</v>
      </c>
      <c r="M9" s="12">
        <v>9417</v>
      </c>
      <c r="N9" s="12">
        <v>14404</v>
      </c>
      <c r="O9" s="12">
        <v>16976</v>
      </c>
      <c r="P9" s="12">
        <v>18320</v>
      </c>
      <c r="AA9" s="12">
        <v>2157</v>
      </c>
      <c r="AB9" s="12">
        <v>1839</v>
      </c>
      <c r="AC9" s="12">
        <v>2371</v>
      </c>
      <c r="AD9" s="12">
        <v>3050</v>
      </c>
      <c r="AE9" s="12">
        <v>2905</v>
      </c>
      <c r="AF9" s="12">
        <v>3364</v>
      </c>
      <c r="AG9" s="12">
        <v>3688</v>
      </c>
      <c r="AH9" s="12">
        <v>4447</v>
      </c>
      <c r="AI9" s="12">
        <v>3842</v>
      </c>
      <c r="AJ9" s="12">
        <v>4340</v>
      </c>
      <c r="AK9" s="12">
        <v>4138</v>
      </c>
      <c r="AL9" s="12">
        <v>4656</v>
      </c>
      <c r="AM9" s="12">
        <v>4080</v>
      </c>
      <c r="AN9" s="12">
        <v>4511</v>
      </c>
      <c r="AO9" s="12">
        <v>4553</v>
      </c>
      <c r="AP9" s="12">
        <v>5176</v>
      </c>
      <c r="AQ9" s="12">
        <v>4653</v>
      </c>
      <c r="AR9" s="12">
        <v>4938</v>
      </c>
    </row>
    <row r="10" spans="3:44">
      <c r="C10" t="s">
        <v>70</v>
      </c>
      <c r="F10" s="12">
        <f>-(67-63+535-32)</f>
        <v>-507</v>
      </c>
      <c r="G10" s="12">
        <f>-(-3-169)</f>
        <v>172</v>
      </c>
      <c r="H10" s="12">
        <f>-(3802-989+1076-323+712-88)</f>
        <v>-4190</v>
      </c>
      <c r="I10" s="12">
        <f>-(1291-479-362-31+344-29)</f>
        <v>-734</v>
      </c>
      <c r="J10" s="12">
        <v>-169</v>
      </c>
      <c r="K10" s="12">
        <v>-138</v>
      </c>
      <c r="L10" s="12">
        <v>455</v>
      </c>
      <c r="M10" s="12">
        <v>176</v>
      </c>
      <c r="N10" s="12">
        <v>149</v>
      </c>
      <c r="O10" s="12">
        <v>1960</v>
      </c>
      <c r="P10" s="12">
        <v>236</v>
      </c>
      <c r="AA10" s="12">
        <v>49</v>
      </c>
      <c r="AB10" s="12">
        <v>151</v>
      </c>
      <c r="AC10" s="12">
        <v>-22</v>
      </c>
      <c r="AD10" s="12">
        <v>-2</v>
      </c>
      <c r="AE10" s="12">
        <v>-109</v>
      </c>
      <c r="AF10" s="12">
        <v>-7</v>
      </c>
      <c r="AG10" s="12">
        <v>62</v>
      </c>
      <c r="AH10" s="12">
        <v>203</v>
      </c>
      <c r="AI10" s="12">
        <v>278</v>
      </c>
      <c r="AJ10" s="12">
        <v>375</v>
      </c>
      <c r="AK10" s="12">
        <v>638</v>
      </c>
      <c r="AL10" s="12">
        <v>669</v>
      </c>
      <c r="AM10" s="12">
        <v>84</v>
      </c>
      <c r="AN10" s="12">
        <v>3</v>
      </c>
      <c r="AO10" s="12">
        <v>-1</v>
      </c>
      <c r="AP10" s="12">
        <v>150</v>
      </c>
      <c r="AQ10" s="12">
        <v>72</v>
      </c>
      <c r="AR10" s="12">
        <v>102</v>
      </c>
    </row>
    <row r="11" spans="2:44">
      <c r="B11" t="s">
        <v>71</v>
      </c>
      <c r="F11" s="17">
        <f t="shared" ref="F11:P11" si="0">SUM(F6:F10)</f>
        <v>55519</v>
      </c>
      <c r="G11" s="17">
        <f t="shared" si="0"/>
        <v>66001</v>
      </c>
      <c r="H11" s="17">
        <f t="shared" si="0"/>
        <v>74989</v>
      </c>
      <c r="I11" s="17">
        <f t="shared" si="0"/>
        <v>90272</v>
      </c>
      <c r="J11" s="17">
        <f t="shared" si="0"/>
        <v>110855</v>
      </c>
      <c r="K11" s="17">
        <f t="shared" si="0"/>
        <v>136819</v>
      </c>
      <c r="L11" s="17">
        <f t="shared" si="0"/>
        <v>161857</v>
      </c>
      <c r="M11" s="17">
        <f t="shared" si="0"/>
        <v>182527</v>
      </c>
      <c r="N11" s="17">
        <f t="shared" si="0"/>
        <v>257637</v>
      </c>
      <c r="O11" s="17">
        <f t="shared" si="0"/>
        <v>282836</v>
      </c>
      <c r="P11" s="17">
        <f t="shared" si="0"/>
        <v>307394</v>
      </c>
      <c r="W11" s="17">
        <f t="shared" ref="W11:AR11" si="1">SUM(W6:W10)</f>
        <v>0</v>
      </c>
      <c r="X11" s="17">
        <f t="shared" si="1"/>
        <v>0</v>
      </c>
      <c r="Y11" s="17">
        <f t="shared" si="1"/>
        <v>0</v>
      </c>
      <c r="Z11" s="17">
        <f t="shared" si="1"/>
        <v>0</v>
      </c>
      <c r="AA11" s="17">
        <f t="shared" si="1"/>
        <v>41159</v>
      </c>
      <c r="AB11" s="17">
        <f t="shared" si="1"/>
        <v>38297</v>
      </c>
      <c r="AC11" s="17">
        <f t="shared" si="1"/>
        <v>46173</v>
      </c>
      <c r="AD11" s="17">
        <f t="shared" si="1"/>
        <v>56898</v>
      </c>
      <c r="AE11" s="17">
        <f t="shared" si="1"/>
        <v>55314</v>
      </c>
      <c r="AF11" s="17">
        <f t="shared" si="1"/>
        <v>61880</v>
      </c>
      <c r="AG11" s="17">
        <f t="shared" si="1"/>
        <v>65118</v>
      </c>
      <c r="AH11" s="17">
        <f t="shared" si="1"/>
        <v>75325</v>
      </c>
      <c r="AI11" s="17">
        <f t="shared" si="1"/>
        <v>68011</v>
      </c>
      <c r="AJ11" s="17">
        <f t="shared" si="1"/>
        <v>69685</v>
      </c>
      <c r="AK11" s="17">
        <f t="shared" si="1"/>
        <v>69092</v>
      </c>
      <c r="AL11" s="17">
        <f t="shared" si="1"/>
        <v>76048</v>
      </c>
      <c r="AM11" s="17">
        <f t="shared" si="1"/>
        <v>69787</v>
      </c>
      <c r="AN11" s="17">
        <f t="shared" si="1"/>
        <v>74604</v>
      </c>
      <c r="AO11" s="17">
        <f t="shared" si="1"/>
        <v>76693</v>
      </c>
      <c r="AP11" s="17">
        <f t="shared" si="1"/>
        <v>86310</v>
      </c>
      <c r="AQ11" s="17">
        <f t="shared" si="1"/>
        <v>80539</v>
      </c>
      <c r="AR11" s="17">
        <f t="shared" si="1"/>
        <v>84742</v>
      </c>
    </row>
    <row r="13" ht="15.75" spans="2:2">
      <c r="B13" s="16" t="s">
        <v>72</v>
      </c>
    </row>
    <row r="14" spans="3:3">
      <c r="C14" t="s">
        <v>73</v>
      </c>
    </row>
    <row r="15" spans="4:44">
      <c r="D15" t="s">
        <v>74</v>
      </c>
      <c r="F15" s="12">
        <v>37422</v>
      </c>
      <c r="G15" s="12">
        <v>45085</v>
      </c>
      <c r="H15" s="12">
        <v>52357</v>
      </c>
      <c r="I15" s="12">
        <v>63785</v>
      </c>
      <c r="J15" s="12">
        <v>69811</v>
      </c>
      <c r="K15" s="12">
        <v>85296</v>
      </c>
      <c r="L15" s="12">
        <v>98115</v>
      </c>
      <c r="M15" s="12">
        <v>104062</v>
      </c>
      <c r="N15" s="12">
        <v>148951</v>
      </c>
      <c r="O15" s="12">
        <v>162450</v>
      </c>
      <c r="P15" s="12">
        <v>175033</v>
      </c>
      <c r="W15" s="12">
        <v>22547</v>
      </c>
      <c r="X15" s="12">
        <v>23642</v>
      </c>
      <c r="Y15" s="12">
        <v>24741</v>
      </c>
      <c r="Z15" s="12">
        <v>27185</v>
      </c>
      <c r="AA15" s="12">
        <v>24502</v>
      </c>
      <c r="AB15" s="12">
        <v>21319</v>
      </c>
      <c r="AC15" s="12">
        <v>26338</v>
      </c>
      <c r="AD15" s="12">
        <v>31903</v>
      </c>
      <c r="AE15" s="12">
        <v>31879</v>
      </c>
      <c r="AF15" s="12">
        <v>35845</v>
      </c>
      <c r="AG15" s="12">
        <v>37926</v>
      </c>
      <c r="AH15" s="12">
        <v>43301</v>
      </c>
      <c r="AI15" s="12">
        <v>39618</v>
      </c>
      <c r="AJ15" s="12">
        <v>40689</v>
      </c>
      <c r="AK15" s="12">
        <v>39539</v>
      </c>
      <c r="AL15" s="12">
        <v>42604</v>
      </c>
      <c r="AM15" s="12">
        <v>40359</v>
      </c>
      <c r="AN15" s="12">
        <v>42628</v>
      </c>
      <c r="AO15" s="12">
        <v>44026</v>
      </c>
      <c r="AP15" s="12">
        <v>48020</v>
      </c>
      <c r="AQ15" s="12">
        <v>46156</v>
      </c>
      <c r="AR15" s="12">
        <v>48509</v>
      </c>
    </row>
    <row r="16" spans="4:44">
      <c r="D16" t="s">
        <v>75</v>
      </c>
      <c r="F16" s="72">
        <v>13650</v>
      </c>
      <c r="G16" s="72">
        <v>14539</v>
      </c>
      <c r="H16" s="72">
        <v>15033</v>
      </c>
      <c r="I16" s="72">
        <v>15598</v>
      </c>
      <c r="J16" s="12">
        <v>8150</v>
      </c>
      <c r="K16" s="12">
        <v>11155</v>
      </c>
      <c r="L16" s="12">
        <v>15149</v>
      </c>
      <c r="M16" s="12">
        <v>19772</v>
      </c>
      <c r="N16" s="12">
        <v>28845</v>
      </c>
      <c r="O16" s="12">
        <v>29243</v>
      </c>
      <c r="P16" s="12">
        <v>31510</v>
      </c>
      <c r="R16" s="81"/>
      <c r="W16" s="12">
        <v>3025</v>
      </c>
      <c r="X16" s="12">
        <v>3603</v>
      </c>
      <c r="Y16" s="12">
        <v>3804</v>
      </c>
      <c r="Z16" s="12">
        <v>4717</v>
      </c>
      <c r="AA16" s="12">
        <v>4038</v>
      </c>
      <c r="AB16" s="12">
        <v>3812</v>
      </c>
      <c r="AC16" s="12">
        <v>5037</v>
      </c>
      <c r="AD16" s="12">
        <v>6885</v>
      </c>
      <c r="AE16" s="12">
        <v>6005</v>
      </c>
      <c r="AF16" s="12">
        <v>7002</v>
      </c>
      <c r="AG16" s="12">
        <v>7205</v>
      </c>
      <c r="AH16" s="12">
        <v>8633</v>
      </c>
      <c r="AI16" s="12">
        <v>6869</v>
      </c>
      <c r="AJ16" s="12">
        <v>7340</v>
      </c>
      <c r="AK16" s="12">
        <v>7071</v>
      </c>
      <c r="AL16" s="12">
        <v>7963</v>
      </c>
      <c r="AM16" s="12">
        <v>6693</v>
      </c>
      <c r="AN16" s="12">
        <v>7665</v>
      </c>
      <c r="AO16" s="12">
        <v>7952</v>
      </c>
      <c r="AP16" s="12">
        <v>9200</v>
      </c>
      <c r="AQ16" s="12">
        <v>8090</v>
      </c>
      <c r="AR16" s="12">
        <v>8663</v>
      </c>
    </row>
    <row r="17" spans="4:44">
      <c r="D17" t="s">
        <v>76</v>
      </c>
      <c r="F17" s="72"/>
      <c r="G17" s="72"/>
      <c r="H17" s="72"/>
      <c r="I17" s="72"/>
      <c r="J17" s="12">
        <v>17616</v>
      </c>
      <c r="K17" s="12">
        <v>20010</v>
      </c>
      <c r="L17" s="12">
        <v>21547</v>
      </c>
      <c r="M17" s="12">
        <v>23090</v>
      </c>
      <c r="N17" s="12">
        <v>31701</v>
      </c>
      <c r="O17" s="12">
        <v>32780</v>
      </c>
      <c r="P17" s="12">
        <v>31312</v>
      </c>
      <c r="R17" s="81"/>
      <c r="W17" s="12">
        <v>5015</v>
      </c>
      <c r="X17" s="12">
        <v>5249</v>
      </c>
      <c r="Y17" s="12">
        <v>5251</v>
      </c>
      <c r="Z17" s="12">
        <v>6032</v>
      </c>
      <c r="AA17" s="12">
        <v>5223</v>
      </c>
      <c r="AB17" s="12">
        <v>4736</v>
      </c>
      <c r="AC17" s="12">
        <v>5720</v>
      </c>
      <c r="AD17" s="12">
        <v>7411</v>
      </c>
      <c r="AE17" s="12">
        <v>6800</v>
      </c>
      <c r="AF17" s="12">
        <v>7597</v>
      </c>
      <c r="AG17" s="12">
        <v>7999</v>
      </c>
      <c r="AH17" s="12">
        <v>9305</v>
      </c>
      <c r="AI17" s="12">
        <v>8174</v>
      </c>
      <c r="AJ17" s="12">
        <v>8259</v>
      </c>
      <c r="AK17" s="12">
        <v>7872</v>
      </c>
      <c r="AL17" s="12">
        <v>8475</v>
      </c>
      <c r="AM17" s="12">
        <v>7496</v>
      </c>
      <c r="AN17" s="12">
        <v>7850</v>
      </c>
      <c r="AO17" s="12">
        <v>7669</v>
      </c>
      <c r="AP17" s="12">
        <v>8297</v>
      </c>
      <c r="AQ17" s="12">
        <v>7413</v>
      </c>
      <c r="AR17" s="12">
        <v>7444</v>
      </c>
    </row>
    <row r="18" spans="6:44">
      <c r="F18" s="17">
        <f t="shared" ref="F18:P18" si="2">SUM(F15:F17)</f>
        <v>51072</v>
      </c>
      <c r="G18" s="17">
        <f t="shared" si="2"/>
        <v>59624</v>
      </c>
      <c r="H18" s="17">
        <f t="shared" si="2"/>
        <v>67390</v>
      </c>
      <c r="I18" s="17">
        <f t="shared" si="2"/>
        <v>79383</v>
      </c>
      <c r="J18" s="17">
        <f t="shared" si="2"/>
        <v>95577</v>
      </c>
      <c r="K18" s="17">
        <f t="shared" si="2"/>
        <v>116461</v>
      </c>
      <c r="L18" s="17">
        <f t="shared" si="2"/>
        <v>134811</v>
      </c>
      <c r="M18" s="17">
        <f t="shared" si="2"/>
        <v>146924</v>
      </c>
      <c r="N18" s="17">
        <f t="shared" si="2"/>
        <v>209497</v>
      </c>
      <c r="O18" s="17">
        <f t="shared" si="2"/>
        <v>224473</v>
      </c>
      <c r="P18" s="17">
        <f t="shared" si="2"/>
        <v>237855</v>
      </c>
      <c r="R18" s="82"/>
      <c r="W18" s="17">
        <f t="shared" ref="W18:AR18" si="3">SUM(W15:W17)</f>
        <v>30587</v>
      </c>
      <c r="X18" s="17">
        <f t="shared" si="3"/>
        <v>32494</v>
      </c>
      <c r="Y18" s="17">
        <f t="shared" si="3"/>
        <v>33796</v>
      </c>
      <c r="Z18" s="17">
        <f t="shared" si="3"/>
        <v>37934</v>
      </c>
      <c r="AA18" s="17">
        <f t="shared" si="3"/>
        <v>33763</v>
      </c>
      <c r="AB18" s="17">
        <f t="shared" si="3"/>
        <v>29867</v>
      </c>
      <c r="AC18" s="17">
        <f t="shared" si="3"/>
        <v>37095</v>
      </c>
      <c r="AD18" s="17">
        <f t="shared" si="3"/>
        <v>46199</v>
      </c>
      <c r="AE18" s="17">
        <f t="shared" si="3"/>
        <v>44684</v>
      </c>
      <c r="AF18" s="17">
        <f t="shared" si="3"/>
        <v>50444</v>
      </c>
      <c r="AG18" s="17">
        <f t="shared" si="3"/>
        <v>53130</v>
      </c>
      <c r="AH18" s="17">
        <f t="shared" si="3"/>
        <v>61239</v>
      </c>
      <c r="AI18" s="17">
        <f t="shared" si="3"/>
        <v>54661</v>
      </c>
      <c r="AJ18" s="17">
        <f t="shared" si="3"/>
        <v>56288</v>
      </c>
      <c r="AK18" s="17">
        <f t="shared" si="3"/>
        <v>54482</v>
      </c>
      <c r="AL18" s="17">
        <f t="shared" si="3"/>
        <v>59042</v>
      </c>
      <c r="AM18" s="17">
        <f t="shared" si="3"/>
        <v>54548</v>
      </c>
      <c r="AN18" s="17">
        <f t="shared" si="3"/>
        <v>58143</v>
      </c>
      <c r="AO18" s="17">
        <f t="shared" si="3"/>
        <v>59647</v>
      </c>
      <c r="AP18" s="17">
        <f t="shared" si="3"/>
        <v>65517</v>
      </c>
      <c r="AQ18" s="17">
        <f t="shared" si="3"/>
        <v>61659</v>
      </c>
      <c r="AR18" s="17">
        <f t="shared" si="3"/>
        <v>64616</v>
      </c>
    </row>
    <row r="19" spans="3:44">
      <c r="C19" t="s">
        <v>77</v>
      </c>
      <c r="D19"/>
      <c r="F19" s="12">
        <v>4435</v>
      </c>
      <c r="G19" s="12">
        <v>6050</v>
      </c>
      <c r="H19" s="12">
        <v>7154</v>
      </c>
      <c r="I19" s="12">
        <v>10601</v>
      </c>
      <c r="J19" s="12">
        <v>10914</v>
      </c>
      <c r="K19" s="12">
        <v>14063</v>
      </c>
      <c r="L19" s="12">
        <v>17014</v>
      </c>
      <c r="M19" s="12">
        <v>21711</v>
      </c>
      <c r="N19" s="12">
        <v>28032</v>
      </c>
      <c r="O19" s="12">
        <v>29055</v>
      </c>
      <c r="P19" s="12">
        <v>34688</v>
      </c>
      <c r="R19" s="82"/>
      <c r="W19" s="12">
        <v>3620</v>
      </c>
      <c r="X19" s="12">
        <v>4080</v>
      </c>
      <c r="Y19" s="12">
        <v>4050</v>
      </c>
      <c r="Z19" s="12">
        <v>5264</v>
      </c>
      <c r="AA19" s="12">
        <v>4435</v>
      </c>
      <c r="AB19" s="12">
        <v>5124</v>
      </c>
      <c r="AC19" s="12">
        <v>5478</v>
      </c>
      <c r="AD19" s="12">
        <v>6674</v>
      </c>
      <c r="AE19" s="12">
        <v>6494</v>
      </c>
      <c r="AF19" s="12">
        <v>6623</v>
      </c>
      <c r="AG19" s="12">
        <v>6754</v>
      </c>
      <c r="AH19" s="12">
        <v>8161</v>
      </c>
      <c r="AI19" s="12">
        <v>6811</v>
      </c>
      <c r="AJ19" s="12">
        <v>6553</v>
      </c>
      <c r="AK19" s="12">
        <v>6895</v>
      </c>
      <c r="AL19" s="12">
        <v>8796</v>
      </c>
      <c r="AM19" s="12">
        <v>7413</v>
      </c>
      <c r="AN19" s="12">
        <v>8142</v>
      </c>
      <c r="AO19" s="12">
        <v>8339</v>
      </c>
      <c r="AP19" s="12">
        <v>10794</v>
      </c>
      <c r="AQ19" s="12">
        <v>8739</v>
      </c>
      <c r="AR19" s="12">
        <v>9312</v>
      </c>
    </row>
    <row r="20" spans="3:44">
      <c r="C20" t="s">
        <v>78</v>
      </c>
      <c r="F20" s="17">
        <f t="shared" ref="F20:P20" si="4">SUM(F18:F19)</f>
        <v>55507</v>
      </c>
      <c r="G20" s="17">
        <f t="shared" si="4"/>
        <v>65674</v>
      </c>
      <c r="H20" s="17">
        <f t="shared" si="4"/>
        <v>74544</v>
      </c>
      <c r="I20" s="17">
        <f t="shared" si="4"/>
        <v>89984</v>
      </c>
      <c r="J20" s="17">
        <f t="shared" si="4"/>
        <v>106491</v>
      </c>
      <c r="K20" s="17">
        <f t="shared" si="4"/>
        <v>130524</v>
      </c>
      <c r="L20" s="17">
        <f t="shared" si="4"/>
        <v>151825</v>
      </c>
      <c r="M20" s="17">
        <f t="shared" si="4"/>
        <v>168635</v>
      </c>
      <c r="N20" s="17">
        <f t="shared" si="4"/>
        <v>237529</v>
      </c>
      <c r="O20" s="17">
        <f t="shared" si="4"/>
        <v>253528</v>
      </c>
      <c r="P20" s="17">
        <f t="shared" si="4"/>
        <v>272543</v>
      </c>
      <c r="R20" s="81"/>
      <c r="W20" s="17">
        <f t="shared" ref="W20:AR20" si="5">SUM(W18:W19)</f>
        <v>34207</v>
      </c>
      <c r="X20" s="17">
        <f t="shared" si="5"/>
        <v>36574</v>
      </c>
      <c r="Y20" s="17">
        <f t="shared" si="5"/>
        <v>37846</v>
      </c>
      <c r="Z20" s="17">
        <f t="shared" si="5"/>
        <v>43198</v>
      </c>
      <c r="AA20" s="17">
        <f t="shared" si="5"/>
        <v>38198</v>
      </c>
      <c r="AB20" s="17">
        <f t="shared" si="5"/>
        <v>34991</v>
      </c>
      <c r="AC20" s="17">
        <f t="shared" si="5"/>
        <v>42573</v>
      </c>
      <c r="AD20" s="17">
        <f t="shared" si="5"/>
        <v>52873</v>
      </c>
      <c r="AE20" s="17">
        <f t="shared" si="5"/>
        <v>51178</v>
      </c>
      <c r="AF20" s="17">
        <f t="shared" si="5"/>
        <v>57067</v>
      </c>
      <c r="AG20" s="17">
        <f t="shared" si="5"/>
        <v>59884</v>
      </c>
      <c r="AH20" s="17">
        <f t="shared" si="5"/>
        <v>69400</v>
      </c>
      <c r="AI20" s="17">
        <f t="shared" si="5"/>
        <v>61472</v>
      </c>
      <c r="AJ20" s="17">
        <f t="shared" si="5"/>
        <v>62841</v>
      </c>
      <c r="AK20" s="17">
        <f t="shared" si="5"/>
        <v>61377</v>
      </c>
      <c r="AL20" s="17">
        <f t="shared" si="5"/>
        <v>67838</v>
      </c>
      <c r="AM20" s="17">
        <f t="shared" si="5"/>
        <v>61961</v>
      </c>
      <c r="AN20" s="17">
        <f t="shared" si="5"/>
        <v>66285</v>
      </c>
      <c r="AO20" s="17">
        <f t="shared" si="5"/>
        <v>67986</v>
      </c>
      <c r="AP20" s="17">
        <f t="shared" si="5"/>
        <v>76311</v>
      </c>
      <c r="AQ20" s="17">
        <f t="shared" si="5"/>
        <v>70398</v>
      </c>
      <c r="AR20" s="17">
        <f t="shared" si="5"/>
        <v>73928</v>
      </c>
    </row>
    <row r="21" spans="3:44">
      <c r="C21" t="s">
        <v>79</v>
      </c>
      <c r="D21"/>
      <c r="F21" s="12">
        <v>0</v>
      </c>
      <c r="G21" s="12">
        <v>0</v>
      </c>
      <c r="H21" s="12">
        <v>0</v>
      </c>
      <c r="I21" s="12">
        <v>0</v>
      </c>
      <c r="J21" s="12">
        <v>4056</v>
      </c>
      <c r="K21" s="12">
        <v>5838</v>
      </c>
      <c r="L21" s="12">
        <v>8918</v>
      </c>
      <c r="M21" s="12">
        <v>13059</v>
      </c>
      <c r="N21" s="12">
        <v>19206</v>
      </c>
      <c r="O21" s="12">
        <v>26280</v>
      </c>
      <c r="P21" s="12">
        <v>33088</v>
      </c>
      <c r="R21" s="82"/>
      <c r="W21" s="12">
        <v>1825</v>
      </c>
      <c r="X21" s="12">
        <v>2100</v>
      </c>
      <c r="Y21" s="12">
        <v>2379</v>
      </c>
      <c r="Z21" s="12">
        <v>2614</v>
      </c>
      <c r="AA21" s="12">
        <v>2777</v>
      </c>
      <c r="AB21" s="12">
        <v>3007</v>
      </c>
      <c r="AC21" s="12">
        <v>3444</v>
      </c>
      <c r="AD21" s="12">
        <v>3831</v>
      </c>
      <c r="AE21" s="12">
        <v>4047</v>
      </c>
      <c r="AF21" s="12">
        <v>4628</v>
      </c>
      <c r="AG21" s="12">
        <v>4990</v>
      </c>
      <c r="AH21" s="12">
        <v>5541</v>
      </c>
      <c r="AI21" s="12">
        <v>5821</v>
      </c>
      <c r="AJ21" s="12">
        <v>6276</v>
      </c>
      <c r="AK21" s="12">
        <v>6868</v>
      </c>
      <c r="AL21" s="12">
        <v>7315</v>
      </c>
      <c r="AM21" s="12">
        <v>7454</v>
      </c>
      <c r="AN21" s="12">
        <v>8031</v>
      </c>
      <c r="AO21" s="12">
        <v>8411</v>
      </c>
      <c r="AP21" s="12">
        <v>9192</v>
      </c>
      <c r="AQ21" s="12">
        <v>9574</v>
      </c>
      <c r="AR21" s="12">
        <v>10347</v>
      </c>
    </row>
    <row r="22" spans="3:44">
      <c r="C22" t="s">
        <v>80</v>
      </c>
      <c r="D22"/>
      <c r="F22" s="12">
        <v>12</v>
      </c>
      <c r="G22" s="12">
        <v>327</v>
      </c>
      <c r="H22" s="12">
        <v>445</v>
      </c>
      <c r="I22" s="12">
        <v>288</v>
      </c>
      <c r="J22" s="12">
        <v>477</v>
      </c>
      <c r="K22" s="12">
        <v>595</v>
      </c>
      <c r="L22" s="12">
        <v>659</v>
      </c>
      <c r="M22" s="12">
        <v>657</v>
      </c>
      <c r="N22" s="12">
        <v>753</v>
      </c>
      <c r="O22" s="12">
        <v>1068</v>
      </c>
      <c r="P22" s="12">
        <v>1527</v>
      </c>
      <c r="R22" s="82"/>
      <c r="W22" s="12">
        <v>170</v>
      </c>
      <c r="X22" s="12">
        <v>162</v>
      </c>
      <c r="Y22" s="12">
        <v>155</v>
      </c>
      <c r="Z22" s="12">
        <v>172</v>
      </c>
      <c r="AA22" s="12">
        <v>135</v>
      </c>
      <c r="AB22" s="12">
        <v>148</v>
      </c>
      <c r="AC22" s="12">
        <v>178</v>
      </c>
      <c r="AD22" s="12">
        <v>196</v>
      </c>
      <c r="AE22" s="12">
        <v>198</v>
      </c>
      <c r="AF22" s="12">
        <v>192</v>
      </c>
      <c r="AG22" s="12">
        <v>182</v>
      </c>
      <c r="AH22" s="12">
        <v>181</v>
      </c>
      <c r="AI22" s="12">
        <v>440</v>
      </c>
      <c r="AJ22" s="12">
        <v>193</v>
      </c>
      <c r="AK22" s="12">
        <v>209</v>
      </c>
      <c r="AL22" s="12">
        <v>226</v>
      </c>
      <c r="AM22" s="12">
        <v>288</v>
      </c>
      <c r="AN22" s="12">
        <v>285</v>
      </c>
      <c r="AO22" s="12">
        <v>297</v>
      </c>
      <c r="AP22" s="12">
        <v>657</v>
      </c>
      <c r="AQ22" s="12">
        <v>495</v>
      </c>
      <c r="AR22" s="12">
        <v>365</v>
      </c>
    </row>
    <row r="23" spans="3:44">
      <c r="C23" t="s">
        <v>70</v>
      </c>
      <c r="D23"/>
      <c r="F23" s="12">
        <v>0</v>
      </c>
      <c r="G23" s="12">
        <v>0</v>
      </c>
      <c r="H23" s="12">
        <v>0</v>
      </c>
      <c r="I23" s="12">
        <v>0</v>
      </c>
      <c r="J23" s="12">
        <v>-169</v>
      </c>
      <c r="K23" s="12">
        <v>-138</v>
      </c>
      <c r="L23" s="12">
        <v>455</v>
      </c>
      <c r="M23" s="12">
        <v>176</v>
      </c>
      <c r="N23" s="12">
        <v>149</v>
      </c>
      <c r="O23" s="12">
        <v>1960</v>
      </c>
      <c r="P23" s="12">
        <v>236</v>
      </c>
      <c r="R23" s="82"/>
      <c r="W23" s="12">
        <v>137</v>
      </c>
      <c r="X23" s="12">
        <v>108</v>
      </c>
      <c r="Y23" s="12">
        <v>119</v>
      </c>
      <c r="Z23" s="12">
        <v>91</v>
      </c>
      <c r="AA23" s="12">
        <v>49</v>
      </c>
      <c r="AB23" s="12">
        <v>151</v>
      </c>
      <c r="AC23" s="12">
        <v>-22</v>
      </c>
      <c r="AD23" s="12">
        <v>-2</v>
      </c>
      <c r="AE23" s="12">
        <v>-109</v>
      </c>
      <c r="AF23" s="12">
        <v>-7</v>
      </c>
      <c r="AG23" s="12">
        <v>62</v>
      </c>
      <c r="AH23" s="12">
        <v>203</v>
      </c>
      <c r="AI23" s="12">
        <v>278</v>
      </c>
      <c r="AJ23" s="12">
        <v>375</v>
      </c>
      <c r="AK23" s="12">
        <v>638</v>
      </c>
      <c r="AL23" s="12">
        <v>669</v>
      </c>
      <c r="AM23" s="12">
        <v>84</v>
      </c>
      <c r="AN23" s="12">
        <v>3</v>
      </c>
      <c r="AO23" s="12">
        <v>-1</v>
      </c>
      <c r="AP23" s="12">
        <v>150</v>
      </c>
      <c r="AQ23" s="12">
        <v>72</v>
      </c>
      <c r="AR23" s="12">
        <v>102</v>
      </c>
    </row>
    <row r="24" spans="2:44">
      <c r="B24" t="s">
        <v>71</v>
      </c>
      <c r="F24" s="17">
        <f t="shared" ref="F24:P24" si="6">SUM(F20:F23)</f>
        <v>55519</v>
      </c>
      <c r="G24" s="17">
        <f t="shared" si="6"/>
        <v>66001</v>
      </c>
      <c r="H24" s="17">
        <f t="shared" si="6"/>
        <v>74989</v>
      </c>
      <c r="I24" s="17">
        <f t="shared" si="6"/>
        <v>90272</v>
      </c>
      <c r="J24" s="17">
        <f t="shared" si="6"/>
        <v>110855</v>
      </c>
      <c r="K24" s="17">
        <f t="shared" si="6"/>
        <v>136819</v>
      </c>
      <c r="L24" s="17">
        <f t="shared" si="6"/>
        <v>161857</v>
      </c>
      <c r="M24" s="17">
        <f t="shared" si="6"/>
        <v>182527</v>
      </c>
      <c r="N24" s="17">
        <f t="shared" si="6"/>
        <v>257637</v>
      </c>
      <c r="O24" s="17">
        <f t="shared" si="6"/>
        <v>282836</v>
      </c>
      <c r="P24" s="17">
        <f t="shared" si="6"/>
        <v>307394</v>
      </c>
      <c r="R24" s="83"/>
      <c r="W24" s="17">
        <f t="shared" ref="W24:AR24" si="7">SUM(W20:W23)</f>
        <v>36339</v>
      </c>
      <c r="X24" s="17">
        <f t="shared" si="7"/>
        <v>38944</v>
      </c>
      <c r="Y24" s="17">
        <f t="shared" si="7"/>
        <v>40499</v>
      </c>
      <c r="Z24" s="17">
        <f t="shared" si="7"/>
        <v>46075</v>
      </c>
      <c r="AA24" s="17">
        <f t="shared" si="7"/>
        <v>41159</v>
      </c>
      <c r="AB24" s="17">
        <f t="shared" si="7"/>
        <v>38297</v>
      </c>
      <c r="AC24" s="17">
        <f t="shared" si="7"/>
        <v>46173</v>
      </c>
      <c r="AD24" s="17">
        <f t="shared" si="7"/>
        <v>56898</v>
      </c>
      <c r="AE24" s="17">
        <f t="shared" si="7"/>
        <v>55314</v>
      </c>
      <c r="AF24" s="17">
        <f t="shared" si="7"/>
        <v>61880</v>
      </c>
      <c r="AG24" s="17">
        <f t="shared" si="7"/>
        <v>65118</v>
      </c>
      <c r="AH24" s="17">
        <f t="shared" si="7"/>
        <v>75325</v>
      </c>
      <c r="AI24" s="17">
        <f t="shared" si="7"/>
        <v>68011</v>
      </c>
      <c r="AJ24" s="17">
        <f t="shared" si="7"/>
        <v>69685</v>
      </c>
      <c r="AK24" s="17">
        <f t="shared" si="7"/>
        <v>69092</v>
      </c>
      <c r="AL24" s="17">
        <f t="shared" si="7"/>
        <v>76048</v>
      </c>
      <c r="AM24" s="17">
        <f t="shared" si="7"/>
        <v>69787</v>
      </c>
      <c r="AN24" s="17">
        <f t="shared" si="7"/>
        <v>74604</v>
      </c>
      <c r="AO24" s="17">
        <f t="shared" si="7"/>
        <v>76693</v>
      </c>
      <c r="AP24" s="17">
        <f t="shared" si="7"/>
        <v>86310</v>
      </c>
      <c r="AQ24" s="17">
        <f t="shared" si="7"/>
        <v>80539</v>
      </c>
      <c r="AR24" s="17">
        <f t="shared" si="7"/>
        <v>84742</v>
      </c>
    </row>
    <row r="25" spans="18:18">
      <c r="R25" s="81"/>
    </row>
    <row r="26" spans="2:44">
      <c r="B26" t="s">
        <v>81</v>
      </c>
      <c r="D26"/>
      <c r="F26" s="12">
        <v>12258</v>
      </c>
      <c r="G26" s="12">
        <v>13497</v>
      </c>
      <c r="H26" s="12">
        <v>14343</v>
      </c>
      <c r="I26" s="12">
        <v>16793</v>
      </c>
      <c r="J26" s="12">
        <v>21672</v>
      </c>
      <c r="K26" s="12">
        <v>26726</v>
      </c>
      <c r="L26" s="12">
        <v>30089</v>
      </c>
      <c r="M26" s="12">
        <v>32778</v>
      </c>
      <c r="N26" s="12">
        <v>45566</v>
      </c>
      <c r="O26" s="12">
        <v>48955</v>
      </c>
      <c r="P26" s="12">
        <v>50886</v>
      </c>
      <c r="R26" s="81"/>
      <c r="W26" s="12">
        <v>3860</v>
      </c>
      <c r="X26" s="12">
        <v>7238</v>
      </c>
      <c r="Y26" s="12">
        <v>7490</v>
      </c>
      <c r="Z26" s="12">
        <v>8501</v>
      </c>
      <c r="AA26" s="12">
        <v>7452</v>
      </c>
      <c r="AB26" s="12">
        <v>6694</v>
      </c>
      <c r="AC26" s="12">
        <v>8166</v>
      </c>
      <c r="AD26" s="12">
        <v>10466</v>
      </c>
      <c r="AE26" s="12">
        <v>9712</v>
      </c>
      <c r="AF26" s="12">
        <v>10929</v>
      </c>
      <c r="AG26" s="12">
        <v>11498</v>
      </c>
      <c r="AH26" s="12">
        <v>13427</v>
      </c>
      <c r="AI26" s="12">
        <v>11990</v>
      </c>
      <c r="AJ26" s="12">
        <v>12214</v>
      </c>
      <c r="AK26" s="12">
        <v>11826</v>
      </c>
      <c r="AL26" s="12">
        <v>12925</v>
      </c>
      <c r="AM26" s="12">
        <v>11721</v>
      </c>
      <c r="AN26" s="12">
        <v>12537</v>
      </c>
      <c r="AO26" s="12">
        <v>12642</v>
      </c>
      <c r="AP26" s="12">
        <v>13986</v>
      </c>
      <c r="AQ26" s="12">
        <v>12946</v>
      </c>
      <c r="AR26" s="12">
        <v>13387</v>
      </c>
    </row>
    <row r="27" spans="2:44">
      <c r="B27" t="s">
        <v>82</v>
      </c>
      <c r="F27" s="12">
        <v>43862</v>
      </c>
      <c r="G27" s="12">
        <v>53600</v>
      </c>
      <c r="H27" s="12">
        <v>61814</v>
      </c>
      <c r="I27" s="12">
        <v>72053</v>
      </c>
      <c r="J27" s="12">
        <v>80110</v>
      </c>
      <c r="K27" s="12">
        <v>98771</v>
      </c>
      <c r="L27" s="12">
        <v>118899</v>
      </c>
      <c r="M27" s="12">
        <v>135301</v>
      </c>
      <c r="N27" s="12">
        <v>156500</v>
      </c>
      <c r="O27" s="12">
        <v>190234</v>
      </c>
      <c r="P27" s="12">
        <v>182502</v>
      </c>
      <c r="R27" s="81"/>
      <c r="W27" s="12">
        <v>103459</v>
      </c>
      <c r="X27" s="12">
        <v>107646</v>
      </c>
      <c r="Y27" s="12">
        <v>114096</v>
      </c>
      <c r="Z27" s="12">
        <v>118899</v>
      </c>
      <c r="AA27" s="12">
        <v>123048</v>
      </c>
      <c r="AB27" s="12">
        <v>127498</v>
      </c>
      <c r="AC27" s="12">
        <v>132121</v>
      </c>
      <c r="AD27" s="12">
        <v>135301</v>
      </c>
      <c r="AE27" s="12">
        <v>139995</v>
      </c>
      <c r="AF27" s="12">
        <v>144056</v>
      </c>
      <c r="AG27" s="12">
        <v>150028</v>
      </c>
      <c r="AH27" s="12">
        <v>156500</v>
      </c>
      <c r="AI27" s="12">
        <v>163906</v>
      </c>
      <c r="AJ27" s="12">
        <v>174014</v>
      </c>
      <c r="AK27" s="12">
        <v>186779</v>
      </c>
      <c r="AL27" s="12">
        <v>190234</v>
      </c>
      <c r="AM27" s="12">
        <v>190711</v>
      </c>
      <c r="AN27" s="12">
        <v>181798</v>
      </c>
      <c r="AO27" s="12">
        <v>182381</v>
      </c>
      <c r="AP27" s="12">
        <v>182502</v>
      </c>
      <c r="AQ27" s="12">
        <v>180895</v>
      </c>
      <c r="AR27" s="12">
        <v>179582</v>
      </c>
    </row>
    <row r="28" spans="18:18">
      <c r="R28" s="81"/>
    </row>
    <row r="29" ht="15.75" spans="2:18">
      <c r="B29" s="16" t="s">
        <v>83</v>
      </c>
      <c r="R29" s="81"/>
    </row>
    <row r="30" spans="3:44">
      <c r="C30" t="s">
        <v>84</v>
      </c>
      <c r="F30" s="72">
        <v>16260</v>
      </c>
      <c r="G30" s="72">
        <v>18965</v>
      </c>
      <c r="H30" s="72">
        <v>23319</v>
      </c>
      <c r="I30" s="72">
        <v>27055</v>
      </c>
      <c r="J30" s="72">
        <v>32287</v>
      </c>
      <c r="K30" s="72">
        <v>36517</v>
      </c>
      <c r="L30" s="12">
        <v>48999</v>
      </c>
      <c r="M30" s="12">
        <v>54606</v>
      </c>
      <c r="N30" s="12">
        <v>88132</v>
      </c>
      <c r="O30" s="12">
        <v>82699</v>
      </c>
      <c r="P30" s="12">
        <v>95858</v>
      </c>
      <c r="R30" s="84"/>
      <c r="S30" s="80"/>
      <c r="T30" s="80"/>
      <c r="U30" s="80"/>
      <c r="V30" s="72"/>
      <c r="W30" s="72">
        <v>9188</v>
      </c>
      <c r="X30" s="72">
        <v>10280</v>
      </c>
      <c r="Y30" s="72">
        <v>10746</v>
      </c>
      <c r="Z30" s="12">
        <v>13488</v>
      </c>
      <c r="AA30" s="12">
        <v>11548</v>
      </c>
      <c r="AB30" s="12">
        <v>9539</v>
      </c>
      <c r="AC30" s="12">
        <v>14453</v>
      </c>
      <c r="AD30" s="12">
        <v>19066</v>
      </c>
      <c r="AE30" s="12">
        <v>19546</v>
      </c>
      <c r="AF30" s="12">
        <v>22343</v>
      </c>
      <c r="AG30" s="12">
        <v>23973</v>
      </c>
      <c r="AH30" s="12">
        <v>25993</v>
      </c>
      <c r="AI30" s="12">
        <v>21973</v>
      </c>
      <c r="AJ30" s="12">
        <v>21621</v>
      </c>
      <c r="AK30" s="12">
        <v>18883</v>
      </c>
      <c r="AL30" s="12">
        <v>20222</v>
      </c>
      <c r="AM30" s="12">
        <v>21737</v>
      </c>
      <c r="AN30" s="12">
        <v>23454</v>
      </c>
      <c r="AO30" s="12">
        <v>23937</v>
      </c>
      <c r="AP30" s="12">
        <v>26730</v>
      </c>
      <c r="AQ30" s="12">
        <v>27897</v>
      </c>
      <c r="AR30" s="12">
        <v>29674</v>
      </c>
    </row>
    <row r="31" spans="3:44">
      <c r="C31" t="s">
        <v>79</v>
      </c>
      <c r="F31" s="72"/>
      <c r="G31" s="72"/>
      <c r="H31" s="72"/>
      <c r="I31" s="72"/>
      <c r="J31" s="72"/>
      <c r="K31" s="72"/>
      <c r="L31" s="12">
        <v>-4645</v>
      </c>
      <c r="M31" s="12">
        <v>-5607</v>
      </c>
      <c r="N31" s="12">
        <v>-2282</v>
      </c>
      <c r="O31" s="12">
        <v>-1922</v>
      </c>
      <c r="P31" s="12">
        <v>1716</v>
      </c>
      <c r="R31" s="72"/>
      <c r="S31" s="80"/>
      <c r="T31" s="80"/>
      <c r="U31" s="80"/>
      <c r="V31" s="72"/>
      <c r="W31" s="72"/>
      <c r="X31" s="72"/>
      <c r="Y31" s="72"/>
      <c r="Z31" s="12">
        <v>-1194</v>
      </c>
      <c r="AA31" s="12">
        <v>-1730</v>
      </c>
      <c r="AB31" s="12">
        <v>-1426</v>
      </c>
      <c r="AC31" s="12">
        <v>-1208</v>
      </c>
      <c r="AD31" s="12">
        <v>-1243</v>
      </c>
      <c r="AE31" s="12">
        <v>-974</v>
      </c>
      <c r="AF31" s="12">
        <v>-591</v>
      </c>
      <c r="AG31" s="12">
        <v>-644</v>
      </c>
      <c r="AH31" s="12">
        <v>-890</v>
      </c>
      <c r="AI31" s="12">
        <v>-706</v>
      </c>
      <c r="AJ31" s="12">
        <v>-590</v>
      </c>
      <c r="AK31" s="12">
        <v>-440</v>
      </c>
      <c r="AL31" s="12">
        <v>-186</v>
      </c>
      <c r="AM31" s="12">
        <v>191</v>
      </c>
      <c r="AN31" s="12">
        <v>395</v>
      </c>
      <c r="AO31" s="12">
        <v>266</v>
      </c>
      <c r="AP31" s="12">
        <v>864</v>
      </c>
      <c r="AQ31" s="12">
        <v>900</v>
      </c>
      <c r="AR31" s="12">
        <v>1172</v>
      </c>
    </row>
    <row r="32" spans="3:44">
      <c r="C32" t="s">
        <v>80</v>
      </c>
      <c r="F32" s="12">
        <v>-527</v>
      </c>
      <c r="G32" s="12">
        <v>-1893</v>
      </c>
      <c r="H32" s="12">
        <v>-3456</v>
      </c>
      <c r="I32" s="12">
        <v>-2741</v>
      </c>
      <c r="J32" s="12">
        <v>-2734</v>
      </c>
      <c r="K32" s="12">
        <v>-3358</v>
      </c>
      <c r="L32" s="12">
        <v>-4824</v>
      </c>
      <c r="M32" s="12">
        <v>-4476</v>
      </c>
      <c r="N32" s="12">
        <v>-4051</v>
      </c>
      <c r="O32" s="12">
        <v>-4636</v>
      </c>
      <c r="P32" s="12">
        <v>-4095</v>
      </c>
      <c r="W32" s="12">
        <v>-868</v>
      </c>
      <c r="X32" s="12">
        <v>-989</v>
      </c>
      <c r="Y32" s="12">
        <v>-941</v>
      </c>
      <c r="Z32" s="12">
        <v>-2026</v>
      </c>
      <c r="AA32" s="12">
        <v>-1121</v>
      </c>
      <c r="AB32" s="12">
        <v>-1116</v>
      </c>
      <c r="AC32" s="12">
        <v>-1103</v>
      </c>
      <c r="AD32" s="12">
        <v>-1136</v>
      </c>
      <c r="AE32" s="12">
        <v>-1145</v>
      </c>
      <c r="AF32" s="12">
        <v>-1398</v>
      </c>
      <c r="AG32" s="12">
        <v>-1288</v>
      </c>
      <c r="AH32" s="12">
        <v>-1450</v>
      </c>
      <c r="AI32" s="12">
        <v>-835</v>
      </c>
      <c r="AJ32" s="12">
        <v>-1339</v>
      </c>
      <c r="AK32" s="12">
        <v>-1225</v>
      </c>
      <c r="AL32" s="12">
        <v>-1237</v>
      </c>
      <c r="AM32" s="12">
        <v>-1225</v>
      </c>
      <c r="AN32" s="12">
        <v>-813</v>
      </c>
      <c r="AO32" s="12">
        <v>-1194</v>
      </c>
      <c r="AP32" s="12">
        <v>-863</v>
      </c>
      <c r="AQ32" s="12">
        <v>-1020</v>
      </c>
      <c r="AR32" s="12">
        <v>-1134</v>
      </c>
    </row>
    <row r="33" spans="3:44">
      <c r="C33" t="s">
        <v>85</v>
      </c>
      <c r="D33"/>
      <c r="F33" s="12">
        <v>-330</v>
      </c>
      <c r="G33" s="12">
        <v>-576</v>
      </c>
      <c r="H33" s="12">
        <v>-503</v>
      </c>
      <c r="I33" s="12">
        <v>-598</v>
      </c>
      <c r="J33" s="12">
        <v>-3407</v>
      </c>
      <c r="K33" s="12">
        <v>-6838</v>
      </c>
      <c r="L33" s="12">
        <v>-5299</v>
      </c>
      <c r="M33" s="12">
        <v>-3299</v>
      </c>
      <c r="N33" s="12">
        <v>-3085</v>
      </c>
      <c r="O33" s="12">
        <v>-1299</v>
      </c>
      <c r="P33" s="12">
        <v>-9186</v>
      </c>
      <c r="W33" s="12">
        <v>-1712</v>
      </c>
      <c r="X33" s="12">
        <v>-111</v>
      </c>
      <c r="Y33" s="12">
        <v>-628</v>
      </c>
      <c r="Z33" s="12">
        <v>-1002</v>
      </c>
      <c r="AA33" s="12">
        <v>-720</v>
      </c>
      <c r="AB33" s="12">
        <v>-614</v>
      </c>
      <c r="AC33" s="12">
        <v>-929</v>
      </c>
      <c r="AD33" s="12">
        <v>-1036</v>
      </c>
      <c r="AE33" s="12">
        <v>-990</v>
      </c>
      <c r="AF33" s="12">
        <v>-993</v>
      </c>
      <c r="AG33" s="12">
        <v>-1010</v>
      </c>
      <c r="AH33" s="12">
        <v>-1768</v>
      </c>
      <c r="AI33" s="12">
        <v>-338</v>
      </c>
      <c r="AJ33" s="12">
        <v>-239</v>
      </c>
      <c r="AK33" s="12">
        <v>-83</v>
      </c>
      <c r="AL33" s="12">
        <v>-639</v>
      </c>
      <c r="AM33" s="12">
        <v>-3288</v>
      </c>
      <c r="AN33" s="12">
        <v>-1198</v>
      </c>
      <c r="AO33" s="12">
        <v>-1666</v>
      </c>
      <c r="AP33" s="12">
        <v>-3034</v>
      </c>
      <c r="AQ33" s="12">
        <v>-2305</v>
      </c>
      <c r="AR33" s="12">
        <v>-2287</v>
      </c>
    </row>
    <row r="34" spans="2:44">
      <c r="B34" t="s">
        <v>86</v>
      </c>
      <c r="F34" s="17">
        <f t="shared" ref="F34:P34" si="8">SUM(F30:F33)</f>
        <v>15403</v>
      </c>
      <c r="G34" s="17">
        <f t="shared" si="8"/>
        <v>16496</v>
      </c>
      <c r="H34" s="17">
        <f t="shared" si="8"/>
        <v>19360</v>
      </c>
      <c r="I34" s="17">
        <f t="shared" si="8"/>
        <v>23716</v>
      </c>
      <c r="J34" s="17">
        <f t="shared" si="8"/>
        <v>26146</v>
      </c>
      <c r="K34" s="17">
        <f t="shared" si="8"/>
        <v>26321</v>
      </c>
      <c r="L34" s="17">
        <f t="shared" si="8"/>
        <v>34231</v>
      </c>
      <c r="M34" s="17">
        <f t="shared" si="8"/>
        <v>41224</v>
      </c>
      <c r="N34" s="17">
        <f t="shared" si="8"/>
        <v>78714</v>
      </c>
      <c r="O34" s="17">
        <f t="shared" si="8"/>
        <v>74842</v>
      </c>
      <c r="P34" s="17">
        <f t="shared" si="8"/>
        <v>84293</v>
      </c>
      <c r="W34" s="17">
        <f t="shared" ref="W34:AR34" si="9">SUM(W30:W33)</f>
        <v>6608</v>
      </c>
      <c r="X34" s="17">
        <f t="shared" si="9"/>
        <v>9180</v>
      </c>
      <c r="Y34" s="17">
        <f t="shared" si="9"/>
        <v>9177</v>
      </c>
      <c r="Z34" s="17">
        <f t="shared" si="9"/>
        <v>9266</v>
      </c>
      <c r="AA34" s="17">
        <f t="shared" si="9"/>
        <v>7977</v>
      </c>
      <c r="AB34" s="17">
        <f t="shared" si="9"/>
        <v>6383</v>
      </c>
      <c r="AC34" s="17">
        <f t="shared" si="9"/>
        <v>11213</v>
      </c>
      <c r="AD34" s="17">
        <f t="shared" si="9"/>
        <v>15651</v>
      </c>
      <c r="AE34" s="17">
        <f t="shared" si="9"/>
        <v>16437</v>
      </c>
      <c r="AF34" s="17">
        <f t="shared" si="9"/>
        <v>19361</v>
      </c>
      <c r="AG34" s="17">
        <f t="shared" si="9"/>
        <v>21031</v>
      </c>
      <c r="AH34" s="17">
        <f t="shared" si="9"/>
        <v>21885</v>
      </c>
      <c r="AI34" s="17">
        <f t="shared" si="9"/>
        <v>20094</v>
      </c>
      <c r="AJ34" s="17">
        <f t="shared" si="9"/>
        <v>19453</v>
      </c>
      <c r="AK34" s="17">
        <f t="shared" si="9"/>
        <v>17135</v>
      </c>
      <c r="AL34" s="17">
        <f t="shared" si="9"/>
        <v>18160</v>
      </c>
      <c r="AM34" s="17">
        <f t="shared" si="9"/>
        <v>17415</v>
      </c>
      <c r="AN34" s="17">
        <f t="shared" si="9"/>
        <v>21838</v>
      </c>
      <c r="AO34" s="17">
        <f t="shared" si="9"/>
        <v>21343</v>
      </c>
      <c r="AP34" s="17">
        <f t="shared" si="9"/>
        <v>23697</v>
      </c>
      <c r="AQ34" s="17">
        <f t="shared" si="9"/>
        <v>25472</v>
      </c>
      <c r="AR34" s="17">
        <f t="shared" si="9"/>
        <v>27425</v>
      </c>
    </row>
    <row r="37" ht="15.75" spans="3:4">
      <c r="C37" s="23" t="s">
        <v>87</v>
      </c>
      <c r="D37" s="22"/>
    </row>
    <row r="38" spans="3:18">
      <c r="C38" s="22" t="s">
        <v>66</v>
      </c>
      <c r="D38" s="22"/>
      <c r="F38" s="31">
        <f t="shared" ref="F38:P38" si="10">F6/F$11*100</f>
        <v>46.0869251967795</v>
      </c>
      <c r="G38" s="31">
        <f t="shared" si="10"/>
        <v>44.6690201663611</v>
      </c>
      <c r="H38" s="31">
        <f t="shared" si="10"/>
        <v>46.420141620771</v>
      </c>
      <c r="I38" s="31">
        <f t="shared" si="10"/>
        <v>47.3912176533144</v>
      </c>
      <c r="J38" s="31">
        <f t="shared" si="10"/>
        <v>47.313156826485</v>
      </c>
      <c r="K38" s="31">
        <f t="shared" si="10"/>
        <v>46.242846388294</v>
      </c>
      <c r="L38" s="31">
        <f t="shared" si="10"/>
        <v>46.2401996824357</v>
      </c>
      <c r="M38" s="31">
        <f t="shared" si="10"/>
        <v>46.5761229845448</v>
      </c>
      <c r="N38" s="31">
        <f t="shared" si="10"/>
        <v>45.7442059952569</v>
      </c>
      <c r="O38" s="31">
        <f t="shared" si="10"/>
        <v>47.665077995729</v>
      </c>
      <c r="P38" s="31">
        <f t="shared" si="10"/>
        <v>47.589087620448</v>
      </c>
      <c r="R38" s="85">
        <f>AVERAGEIF(E38:Q38,"&lt;&gt;0")</f>
        <v>46.5398183754927</v>
      </c>
    </row>
    <row r="39" spans="3:18">
      <c r="C39" s="22" t="s">
        <v>67</v>
      </c>
      <c r="D39" s="22"/>
      <c r="F39" s="31">
        <f t="shared" ref="F39:P39" si="11">F7/F$11*100</f>
        <v>54.8262756894036</v>
      </c>
      <c r="G39" s="31">
        <f t="shared" si="11"/>
        <v>55.0703777215497</v>
      </c>
      <c r="H39" s="31">
        <f t="shared" si="11"/>
        <v>38.9137073437437</v>
      </c>
      <c r="I39" s="31">
        <f t="shared" si="11"/>
        <v>34.4691598723857</v>
      </c>
      <c r="J39" s="31">
        <f t="shared" si="11"/>
        <v>32.6877452528077</v>
      </c>
      <c r="K39" s="31">
        <f t="shared" si="11"/>
        <v>32.6994057842843</v>
      </c>
      <c r="L39" s="31">
        <f t="shared" si="11"/>
        <v>31.2899658340387</v>
      </c>
      <c r="M39" s="31">
        <f t="shared" si="11"/>
        <v>30.3352380743671</v>
      </c>
      <c r="N39" s="31">
        <f t="shared" si="11"/>
        <v>30.7048288871552</v>
      </c>
      <c r="O39" s="31">
        <f t="shared" si="11"/>
        <v>29.0139869040716</v>
      </c>
      <c r="P39" s="31">
        <f t="shared" si="11"/>
        <v>29.6160627728583</v>
      </c>
      <c r="R39" s="85">
        <f>AVERAGEIF(E39:Q39,"&lt;&gt;0")</f>
        <v>36.3297049215151</v>
      </c>
    </row>
    <row r="40" spans="3:18">
      <c r="C40" s="22" t="s">
        <v>68</v>
      </c>
      <c r="D40" s="22"/>
      <c r="F40" s="31">
        <f t="shared" ref="F40:P40" si="12">F8/F$11*100</f>
        <v>0</v>
      </c>
      <c r="G40" s="31">
        <f t="shared" si="12"/>
        <v>0</v>
      </c>
      <c r="H40" s="31">
        <f t="shared" si="12"/>
        <v>14.1887476829935</v>
      </c>
      <c r="I40" s="31">
        <f t="shared" si="12"/>
        <v>13.477047146402</v>
      </c>
      <c r="J40" s="31">
        <f t="shared" si="12"/>
        <v>14.6064679085292</v>
      </c>
      <c r="K40" s="31">
        <f t="shared" si="12"/>
        <v>15.5979798127453</v>
      </c>
      <c r="L40" s="31">
        <f t="shared" si="12"/>
        <v>16.6369078878269</v>
      </c>
      <c r="M40" s="31">
        <f t="shared" si="12"/>
        <v>17.8329781347417</v>
      </c>
      <c r="N40" s="31">
        <f t="shared" si="12"/>
        <v>17.9023199307553</v>
      </c>
      <c r="O40" s="31">
        <f t="shared" si="12"/>
        <v>16.6258892078802</v>
      </c>
      <c r="P40" s="31">
        <f t="shared" si="12"/>
        <v>16.7582971691055</v>
      </c>
      <c r="R40" s="85">
        <f>AVERAGEIF(E40:Q40,"&lt;&gt;0")</f>
        <v>15.9585149867755</v>
      </c>
    </row>
    <row r="41" spans="3:18">
      <c r="C41" s="22" t="s">
        <v>69</v>
      </c>
      <c r="D41" s="22"/>
      <c r="F41" s="31">
        <f t="shared" ref="F41:P41" si="13">F9/F$11*100</f>
        <v>0</v>
      </c>
      <c r="G41" s="31">
        <f t="shared" si="13"/>
        <v>0</v>
      </c>
      <c r="H41" s="31">
        <f t="shared" si="13"/>
        <v>6.06488951712918</v>
      </c>
      <c r="I41" s="31">
        <f t="shared" si="13"/>
        <v>5.47567352002836</v>
      </c>
      <c r="J41" s="31">
        <f t="shared" si="13"/>
        <v>5.54508141265617</v>
      </c>
      <c r="K41" s="31">
        <f t="shared" si="13"/>
        <v>5.5606311988832</v>
      </c>
      <c r="L41" s="31">
        <f t="shared" si="13"/>
        <v>5.55181425579369</v>
      </c>
      <c r="M41" s="31">
        <f t="shared" si="13"/>
        <v>5.15923671566398</v>
      </c>
      <c r="N41" s="31">
        <f t="shared" si="13"/>
        <v>5.5908118787286</v>
      </c>
      <c r="O41" s="31">
        <f t="shared" si="13"/>
        <v>6.00206480080329</v>
      </c>
      <c r="P41" s="31">
        <f t="shared" si="13"/>
        <v>5.95977800477563</v>
      </c>
      <c r="R41" s="85">
        <f>AVERAGEIF(E41:Q41,"&lt;&gt;0")</f>
        <v>5.65666458938468</v>
      </c>
    </row>
    <row r="42" spans="3:18">
      <c r="C42" s="22" t="s">
        <v>70</v>
      </c>
      <c r="D42" s="22"/>
      <c r="F42" s="31">
        <f t="shared" ref="F42:P42" si="14">F10/F$11*100</f>
        <v>-0.913200886183108</v>
      </c>
      <c r="G42" s="31">
        <f t="shared" si="14"/>
        <v>0.260602112089211</v>
      </c>
      <c r="H42" s="31">
        <f t="shared" si="14"/>
        <v>-5.58748616463748</v>
      </c>
      <c r="I42" s="31">
        <f t="shared" si="14"/>
        <v>-0.81309819213045</v>
      </c>
      <c r="J42" s="31">
        <f t="shared" si="14"/>
        <v>-0.152451400478102</v>
      </c>
      <c r="K42" s="31">
        <f t="shared" si="14"/>
        <v>-0.100863184206872</v>
      </c>
      <c r="L42" s="31">
        <f t="shared" si="14"/>
        <v>0.281112339904978</v>
      </c>
      <c r="M42" s="31">
        <f t="shared" si="14"/>
        <v>0.0964240906824744</v>
      </c>
      <c r="N42" s="31">
        <f t="shared" si="14"/>
        <v>0.0578333081040378</v>
      </c>
      <c r="O42" s="31">
        <f t="shared" si="14"/>
        <v>0.692981091515932</v>
      </c>
      <c r="P42" s="31">
        <f t="shared" si="14"/>
        <v>0.0767744328126118</v>
      </c>
      <c r="R42" s="85">
        <f>AVERAGEIF(E42:Q42,"&lt;&gt;0")</f>
        <v>-0.554670222956979</v>
      </c>
    </row>
    <row r="43" spans="6:16">
      <c r="F43" s="73">
        <f t="shared" ref="F43:P43" si="15">SUM(F38:F42)</f>
        <v>100</v>
      </c>
      <c r="G43" s="73">
        <f t="shared" si="15"/>
        <v>100</v>
      </c>
      <c r="H43" s="73">
        <f t="shared" si="15"/>
        <v>100</v>
      </c>
      <c r="I43" s="73">
        <f t="shared" si="15"/>
        <v>100</v>
      </c>
      <c r="J43" s="73">
        <f t="shared" si="15"/>
        <v>100</v>
      </c>
      <c r="K43" s="73">
        <f t="shared" si="15"/>
        <v>100</v>
      </c>
      <c r="L43" s="73">
        <f t="shared" si="15"/>
        <v>100</v>
      </c>
      <c r="M43" s="73">
        <f t="shared" si="15"/>
        <v>100</v>
      </c>
      <c r="N43" s="73">
        <f t="shared" si="15"/>
        <v>100</v>
      </c>
      <c r="O43" s="73">
        <f t="shared" si="15"/>
        <v>100</v>
      </c>
      <c r="P43" s="73">
        <f t="shared" si="15"/>
        <v>100</v>
      </c>
    </row>
    <row r="45" ht="15.75" spans="3:4">
      <c r="C45" s="23" t="s">
        <v>88</v>
      </c>
      <c r="D45" s="22"/>
    </row>
    <row r="46" spans="3:18">
      <c r="C46" s="22" t="s">
        <v>74</v>
      </c>
      <c r="D46" s="22"/>
      <c r="F46" s="31">
        <f t="shared" ref="F46:O46" si="16">F15/F$24*100</f>
        <v>67.4039518002846</v>
      </c>
      <c r="G46" s="31">
        <f t="shared" si="16"/>
        <v>68.309571067105</v>
      </c>
      <c r="H46" s="31">
        <f t="shared" si="16"/>
        <v>69.8195735374522</v>
      </c>
      <c r="I46" s="31">
        <f t="shared" si="16"/>
        <v>70.6586760014179</v>
      </c>
      <c r="J46" s="31">
        <f t="shared" si="16"/>
        <v>62.9750575075549</v>
      </c>
      <c r="K46" s="31">
        <f t="shared" si="16"/>
        <v>62.342218551517</v>
      </c>
      <c r="L46" s="31">
        <f t="shared" si="16"/>
        <v>60.6183235819273</v>
      </c>
      <c r="M46" s="31">
        <f t="shared" si="16"/>
        <v>57.0118393443162</v>
      </c>
      <c r="N46" s="31">
        <f t="shared" si="16"/>
        <v>57.8142890966748</v>
      </c>
      <c r="O46" s="31">
        <f t="shared" si="16"/>
        <v>57.4361113861036</v>
      </c>
      <c r="P46" s="31">
        <f t="shared" ref="P46:P49" si="17">P15/P$24*100</f>
        <v>56.9409292308893</v>
      </c>
      <c r="R46" s="85">
        <f>AVERAGEIF(E46:Q46,"&lt;&gt;0")</f>
        <v>62.8482310095675</v>
      </c>
    </row>
    <row r="47" spans="3:18">
      <c r="C47" s="22" t="s">
        <v>75</v>
      </c>
      <c r="D47" s="22"/>
      <c r="F47" s="31">
        <f t="shared" ref="F47:O47" si="18">F16/F$24*100</f>
        <v>24.5861777049298</v>
      </c>
      <c r="G47" s="31">
        <f t="shared" si="18"/>
        <v>22.0284541143316</v>
      </c>
      <c r="H47" s="31">
        <f t="shared" si="18"/>
        <v>20.0469402178986</v>
      </c>
      <c r="I47" s="31">
        <f t="shared" si="18"/>
        <v>17.2788904643743</v>
      </c>
      <c r="J47" s="31">
        <f t="shared" si="18"/>
        <v>7.35194623607415</v>
      </c>
      <c r="K47" s="31">
        <f t="shared" si="18"/>
        <v>8.15310739005547</v>
      </c>
      <c r="L47" s="31">
        <f t="shared" si="18"/>
        <v>9.35949634553958</v>
      </c>
      <c r="M47" s="31">
        <f t="shared" si="18"/>
        <v>10.8323700055334</v>
      </c>
      <c r="N47" s="31">
        <f t="shared" si="18"/>
        <v>11.1959850487314</v>
      </c>
      <c r="O47" s="31">
        <f t="shared" si="18"/>
        <v>10.3392071730614</v>
      </c>
      <c r="P47" s="31">
        <f t="shared" si="17"/>
        <v>10.2506880420568</v>
      </c>
      <c r="R47" s="85">
        <f t="shared" ref="R47:R52" si="19">AVERAGEIF(E47:Q47,"&lt;&gt;0")</f>
        <v>13.765751158417</v>
      </c>
    </row>
    <row r="48" spans="3:18">
      <c r="C48" s="22" t="s">
        <v>76</v>
      </c>
      <c r="D48" s="22"/>
      <c r="F48" s="31">
        <f t="shared" ref="F48:O48" si="20">F17/F$24*100</f>
        <v>0</v>
      </c>
      <c r="G48" s="31">
        <f t="shared" si="20"/>
        <v>0</v>
      </c>
      <c r="H48" s="31">
        <f t="shared" si="20"/>
        <v>0</v>
      </c>
      <c r="I48" s="31">
        <f t="shared" si="20"/>
        <v>0</v>
      </c>
      <c r="J48" s="31">
        <f t="shared" si="20"/>
        <v>15.8910288214334</v>
      </c>
      <c r="K48" s="31">
        <f t="shared" si="20"/>
        <v>14.6251617099964</v>
      </c>
      <c r="L48" s="31">
        <f t="shared" si="20"/>
        <v>13.3123683251265</v>
      </c>
      <c r="M48" s="31">
        <f t="shared" si="20"/>
        <v>12.6501832605587</v>
      </c>
      <c r="N48" s="31">
        <f t="shared" si="20"/>
        <v>12.3045214778933</v>
      </c>
      <c r="O48" s="31">
        <f t="shared" si="20"/>
        <v>11.5897551938226</v>
      </c>
      <c r="P48" s="31">
        <f t="shared" si="17"/>
        <v>10.1862755941886</v>
      </c>
      <c r="R48" s="85">
        <f t="shared" si="19"/>
        <v>12.9370420547171</v>
      </c>
    </row>
    <row r="49" spans="3:18">
      <c r="C49" s="22" t="s">
        <v>77</v>
      </c>
      <c r="D49" s="22"/>
      <c r="F49" s="31">
        <f t="shared" ref="F49:P49" si="21">F19/F$24*100</f>
        <v>7.98825627262739</v>
      </c>
      <c r="G49" s="31">
        <f t="shared" si="21"/>
        <v>9.16652777988212</v>
      </c>
      <c r="H49" s="31">
        <f t="shared" si="21"/>
        <v>9.54006587632853</v>
      </c>
      <c r="I49" s="31">
        <f t="shared" si="21"/>
        <v>11.743397731301</v>
      </c>
      <c r="J49" s="31">
        <f t="shared" si="21"/>
        <v>9.84529340128997</v>
      </c>
      <c r="K49" s="31">
        <f t="shared" si="21"/>
        <v>10.2785431847916</v>
      </c>
      <c r="L49" s="31">
        <f t="shared" si="21"/>
        <v>10.5117480244908</v>
      </c>
      <c r="M49" s="31">
        <f t="shared" si="21"/>
        <v>11.8946785954955</v>
      </c>
      <c r="N49" s="31">
        <f t="shared" si="21"/>
        <v>10.8804247837073</v>
      </c>
      <c r="O49" s="31">
        <f t="shared" si="21"/>
        <v>10.2727375581609</v>
      </c>
      <c r="P49" s="31">
        <f t="shared" si="21"/>
        <v>11.2845403618808</v>
      </c>
      <c r="R49" s="85">
        <f t="shared" si="19"/>
        <v>10.3096557790869</v>
      </c>
    </row>
    <row r="50" spans="3:18">
      <c r="C50" s="22" t="s">
        <v>79</v>
      </c>
      <c r="D50" s="22"/>
      <c r="F50" s="31">
        <f t="shared" ref="F50:P50" si="22">F21/F$24*100</f>
        <v>0</v>
      </c>
      <c r="G50" s="31">
        <f t="shared" si="22"/>
        <v>0</v>
      </c>
      <c r="H50" s="31">
        <f t="shared" si="22"/>
        <v>0</v>
      </c>
      <c r="I50" s="31">
        <f t="shared" si="22"/>
        <v>0</v>
      </c>
      <c r="J50" s="31">
        <f t="shared" si="22"/>
        <v>3.65883361147445</v>
      </c>
      <c r="K50" s="31">
        <f t="shared" si="22"/>
        <v>4.26695122753419</v>
      </c>
      <c r="L50" s="31">
        <f t="shared" si="22"/>
        <v>5.50980186213757</v>
      </c>
      <c r="M50" s="31">
        <f t="shared" si="22"/>
        <v>7.15455795580928</v>
      </c>
      <c r="N50" s="31">
        <f t="shared" si="22"/>
        <v>7.45467460030974</v>
      </c>
      <c r="O50" s="31">
        <f t="shared" si="22"/>
        <v>9.29160361481565</v>
      </c>
      <c r="P50" s="31">
        <f t="shared" si="22"/>
        <v>10.7640357326428</v>
      </c>
      <c r="R50" s="85">
        <f t="shared" si="19"/>
        <v>6.8714940863891</v>
      </c>
    </row>
    <row r="51" spans="3:18">
      <c r="C51" s="22" t="s">
        <v>80</v>
      </c>
      <c r="D51" s="22"/>
      <c r="F51" s="31">
        <f t="shared" ref="F51:P51" si="23">F22/F$24*100</f>
        <v>0.0216142221581801</v>
      </c>
      <c r="G51" s="31">
        <f t="shared" si="23"/>
        <v>0.495447038681232</v>
      </c>
      <c r="H51" s="31">
        <f t="shared" si="23"/>
        <v>0.593420368320687</v>
      </c>
      <c r="I51" s="31">
        <f t="shared" si="23"/>
        <v>0.319035802906771</v>
      </c>
      <c r="J51" s="31">
        <f t="shared" si="23"/>
        <v>0.430291822651211</v>
      </c>
      <c r="K51" s="31">
        <f t="shared" si="23"/>
        <v>0.434881120312237</v>
      </c>
      <c r="L51" s="31">
        <f t="shared" si="23"/>
        <v>0.407149520873363</v>
      </c>
      <c r="M51" s="31">
        <f t="shared" si="23"/>
        <v>0.359946747604464</v>
      </c>
      <c r="N51" s="31">
        <f t="shared" si="23"/>
        <v>0.292271684579466</v>
      </c>
      <c r="O51" s="31">
        <f t="shared" si="23"/>
        <v>0.377603982519906</v>
      </c>
      <c r="P51" s="31">
        <f t="shared" si="23"/>
        <v>0.49675660552906</v>
      </c>
      <c r="R51" s="85">
        <f t="shared" si="19"/>
        <v>0.38440171964878</v>
      </c>
    </row>
    <row r="52" spans="3:18">
      <c r="C52" s="22" t="s">
        <v>70</v>
      </c>
      <c r="D52" s="22"/>
      <c r="F52" s="31">
        <f t="shared" ref="F52:P52" si="24">F23/F$24*100</f>
        <v>0</v>
      </c>
      <c r="G52" s="31">
        <f t="shared" si="24"/>
        <v>0</v>
      </c>
      <c r="H52" s="31">
        <f t="shared" si="24"/>
        <v>0</v>
      </c>
      <c r="I52" s="31">
        <f t="shared" si="24"/>
        <v>0</v>
      </c>
      <c r="J52" s="31">
        <f t="shared" si="24"/>
        <v>-0.152451400478102</v>
      </c>
      <c r="K52" s="31">
        <f t="shared" si="24"/>
        <v>-0.100863184206872</v>
      </c>
      <c r="L52" s="31">
        <f t="shared" si="24"/>
        <v>0.281112339904978</v>
      </c>
      <c r="M52" s="31">
        <f t="shared" si="24"/>
        <v>0.0964240906824744</v>
      </c>
      <c r="N52" s="31">
        <f t="shared" si="24"/>
        <v>0.0578333081040378</v>
      </c>
      <c r="O52" s="31">
        <f t="shared" si="24"/>
        <v>0.692981091515932</v>
      </c>
      <c r="P52" s="31">
        <f t="shared" si="24"/>
        <v>0.0767744328126118</v>
      </c>
      <c r="R52" s="85">
        <f t="shared" si="19"/>
        <v>0.135972954047866</v>
      </c>
    </row>
    <row r="53" s="8" customFormat="1" spans="5:45">
      <c r="E53" s="31"/>
      <c r="F53" s="73">
        <f t="shared" ref="F53:P53" si="25">SUM(F46:F52)</f>
        <v>100</v>
      </c>
      <c r="G53" s="73">
        <f t="shared" si="25"/>
        <v>100</v>
      </c>
      <c r="H53" s="73">
        <f t="shared" si="25"/>
        <v>100</v>
      </c>
      <c r="I53" s="73">
        <f t="shared" si="25"/>
        <v>100</v>
      </c>
      <c r="J53" s="73">
        <f t="shared" si="25"/>
        <v>100</v>
      </c>
      <c r="K53" s="73">
        <f t="shared" si="25"/>
        <v>100</v>
      </c>
      <c r="L53" s="73">
        <f t="shared" si="25"/>
        <v>100</v>
      </c>
      <c r="M53" s="73">
        <f t="shared" si="25"/>
        <v>100</v>
      </c>
      <c r="N53" s="73">
        <f t="shared" si="25"/>
        <v>100</v>
      </c>
      <c r="O53" s="73">
        <f t="shared" si="25"/>
        <v>100</v>
      </c>
      <c r="P53" s="73">
        <f t="shared" si="25"/>
        <v>100</v>
      </c>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row>
    <row r="55" s="68" customFormat="1" spans="3:45">
      <c r="C55" s="74" t="s">
        <v>89</v>
      </c>
      <c r="D55" s="74"/>
      <c r="E55" s="75"/>
      <c r="F55" s="75">
        <f t="shared" ref="F55:P55" si="26">F26/F80*100</f>
        <v>55.7359159732642</v>
      </c>
      <c r="G55" s="75">
        <f t="shared" si="26"/>
        <v>52.5359075162508</v>
      </c>
      <c r="H55" s="75">
        <f t="shared" si="26"/>
        <v>50.926714955262</v>
      </c>
      <c r="I55" s="75">
        <f t="shared" si="26"/>
        <v>47.7915646878024</v>
      </c>
      <c r="J55" s="75">
        <f t="shared" si="26"/>
        <v>47.5440405414299</v>
      </c>
      <c r="K55" s="75">
        <f t="shared" si="26"/>
        <v>44.880686493476</v>
      </c>
      <c r="L55" s="75">
        <f t="shared" si="26"/>
        <v>41.850728830533</v>
      </c>
      <c r="M55" s="75">
        <f t="shared" si="26"/>
        <v>38.684322333947</v>
      </c>
      <c r="N55" s="75">
        <f t="shared" si="26"/>
        <v>41.0730221112503</v>
      </c>
      <c r="O55" s="75">
        <f t="shared" si="26"/>
        <v>38.7906785100196</v>
      </c>
      <c r="P55" s="75">
        <f t="shared" si="26"/>
        <v>38.1648816488165</v>
      </c>
      <c r="Q55" s="75"/>
      <c r="R55" s="85">
        <f>AVERAGEIF(E55:Q55,"&lt;&gt;0")</f>
        <v>45.2707694183683</v>
      </c>
      <c r="S55" s="30"/>
      <c r="T55" s="30"/>
      <c r="U55" s="30"/>
      <c r="V55" s="75"/>
      <c r="W55" s="75">
        <f>W26/W80*100</f>
        <v>24.1069198101424</v>
      </c>
      <c r="X55" s="75">
        <f t="shared" ref="X55:AR55" si="27">X26/X80*100</f>
        <v>41.8478260869565</v>
      </c>
      <c r="Y55" s="75">
        <f t="shared" si="27"/>
        <v>42.634335154827</v>
      </c>
      <c r="Z55" s="75">
        <f t="shared" si="27"/>
        <v>40.442435775452</v>
      </c>
      <c r="AA55" s="75">
        <f t="shared" si="27"/>
        <v>39.258244652829</v>
      </c>
      <c r="AB55" s="75">
        <f t="shared" si="27"/>
        <v>36.0804182611977</v>
      </c>
      <c r="AC55" s="75">
        <f t="shared" si="27"/>
        <v>38.6702656627362</v>
      </c>
      <c r="AD55" s="75">
        <f t="shared" si="27"/>
        <v>40.1303680981595</v>
      </c>
      <c r="AE55" s="75">
        <f t="shared" si="27"/>
        <v>40.2937393685433</v>
      </c>
      <c r="AF55" s="75">
        <f t="shared" si="27"/>
        <v>41.6707972699889</v>
      </c>
      <c r="AG55" s="75">
        <f t="shared" si="27"/>
        <v>41.6277470040911</v>
      </c>
      <c r="AH55" s="75">
        <f t="shared" si="27"/>
        <v>40.7026797623378</v>
      </c>
      <c r="AI55" s="75">
        <f t="shared" si="27"/>
        <v>40.5081252745025</v>
      </c>
      <c r="AJ55" s="75">
        <f t="shared" si="27"/>
        <v>40.5726813712463</v>
      </c>
      <c r="AK55" s="75">
        <f t="shared" si="27"/>
        <v>37.9549393414211</v>
      </c>
      <c r="AL55" s="75">
        <f t="shared" si="27"/>
        <v>36.5712183803973</v>
      </c>
      <c r="AM55" s="75">
        <f t="shared" si="27"/>
        <v>38.2889063112505</v>
      </c>
      <c r="AN55" s="75">
        <f t="shared" si="27"/>
        <v>39.2812382504073</v>
      </c>
      <c r="AO55" s="75">
        <f t="shared" si="27"/>
        <v>38.0450811038551</v>
      </c>
      <c r="AP55" s="75">
        <f t="shared" si="27"/>
        <v>37.2215568862275</v>
      </c>
      <c r="AQ55" s="75">
        <f t="shared" si="27"/>
        <v>38.4017560512577</v>
      </c>
      <c r="AR55" s="75">
        <f t="shared" si="27"/>
        <v>37.7024248739685</v>
      </c>
      <c r="AS55" s="75"/>
    </row>
    <row r="57" ht="15.75" spans="3:4">
      <c r="C57" s="23" t="s">
        <v>90</v>
      </c>
      <c r="D57" s="22"/>
    </row>
    <row r="58" spans="3:44">
      <c r="C58" s="22" t="s">
        <v>74</v>
      </c>
      <c r="D58" s="22"/>
      <c r="F58" s="76"/>
      <c r="G58" s="76">
        <f t="shared" ref="G58:P58" si="28">(G15-F15)/ABS(F15)*100</f>
        <v>20.4772593661483</v>
      </c>
      <c r="H58" s="76">
        <f t="shared" si="28"/>
        <v>16.1295331041366</v>
      </c>
      <c r="I58" s="76">
        <f t="shared" si="28"/>
        <v>21.8270718337567</v>
      </c>
      <c r="J58" s="76">
        <f t="shared" si="28"/>
        <v>9.4473622324998</v>
      </c>
      <c r="K58" s="76">
        <f t="shared" si="28"/>
        <v>22.1813181303806</v>
      </c>
      <c r="L58" s="76">
        <f t="shared" si="28"/>
        <v>15.028840742825</v>
      </c>
      <c r="M58" s="76">
        <f t="shared" si="28"/>
        <v>6.06125465015543</v>
      </c>
      <c r="N58" s="76">
        <f t="shared" si="28"/>
        <v>43.1367838404028</v>
      </c>
      <c r="O58" s="76">
        <f t="shared" si="28"/>
        <v>9.06271189854382</v>
      </c>
      <c r="P58" s="76">
        <f t="shared" si="28"/>
        <v>7.74576792859341</v>
      </c>
      <c r="R58" s="85">
        <f>AVERAGEIF(E58:Q58,"&lt;&gt;0")</f>
        <v>17.1097903727442</v>
      </c>
      <c r="U58" s="85" cm="1">
        <f t="array" ref="U58">_xlfn.STDEV.S(IF(E58:Q58&lt;&gt;0,E58:Q58))</f>
        <v>10.9302432887588</v>
      </c>
      <c r="AA58" s="76">
        <f t="shared" ref="AA58:AR58" si="29">(AA15-W15)/ABS(W15)*100</f>
        <v>8.67077659999113</v>
      </c>
      <c r="AB58" s="76">
        <f t="shared" si="29"/>
        <v>-9.82573386346333</v>
      </c>
      <c r="AC58" s="76">
        <f t="shared" si="29"/>
        <v>6.45487247888121</v>
      </c>
      <c r="AD58" s="76">
        <f t="shared" si="29"/>
        <v>17.3551590950892</v>
      </c>
      <c r="AE58" s="76">
        <f t="shared" si="29"/>
        <v>30.107746306424</v>
      </c>
      <c r="AF58" s="76">
        <f t="shared" si="29"/>
        <v>68.136404146536</v>
      </c>
      <c r="AG58" s="76">
        <f t="shared" si="29"/>
        <v>43.9972663072367</v>
      </c>
      <c r="AH58" s="76">
        <f t="shared" si="29"/>
        <v>35.7270476130771</v>
      </c>
      <c r="AI58" s="76">
        <f t="shared" si="29"/>
        <v>24.2761692650334</v>
      </c>
      <c r="AJ58" s="76">
        <f t="shared" si="29"/>
        <v>13.5137397126517</v>
      </c>
      <c r="AK58" s="76">
        <f t="shared" si="29"/>
        <v>4.25301903707219</v>
      </c>
      <c r="AL58" s="76">
        <f t="shared" si="29"/>
        <v>-1.60966259439736</v>
      </c>
      <c r="AM58" s="76">
        <f t="shared" si="29"/>
        <v>1.87036195668635</v>
      </c>
      <c r="AN58" s="76">
        <f t="shared" si="29"/>
        <v>4.76541571432082</v>
      </c>
      <c r="AO58" s="76">
        <f t="shared" si="29"/>
        <v>11.3482890310832</v>
      </c>
      <c r="AP58" s="76">
        <f t="shared" si="29"/>
        <v>12.7124213688856</v>
      </c>
      <c r="AQ58" s="76">
        <f t="shared" si="29"/>
        <v>14.3635868083947</v>
      </c>
      <c r="AR58" s="76">
        <f t="shared" si="29"/>
        <v>13.7960964624191</v>
      </c>
    </row>
    <row r="59" spans="3:44">
      <c r="C59" s="22" t="s">
        <v>75</v>
      </c>
      <c r="D59" s="22"/>
      <c r="F59" s="76"/>
      <c r="G59" s="76">
        <f t="shared" ref="G59:P59" si="30">(G16-F16)/ABS(F16)*100</f>
        <v>6.51282051282051</v>
      </c>
      <c r="H59" s="76">
        <f t="shared" si="30"/>
        <v>3.39775775500378</v>
      </c>
      <c r="I59" s="76">
        <f t="shared" si="30"/>
        <v>3.75839819064724</v>
      </c>
      <c r="J59" s="76">
        <f t="shared" si="30"/>
        <v>-47.7497115014745</v>
      </c>
      <c r="K59" s="76">
        <f t="shared" si="30"/>
        <v>36.8711656441718</v>
      </c>
      <c r="L59" s="76">
        <f t="shared" si="30"/>
        <v>35.8045719408337</v>
      </c>
      <c r="M59" s="76">
        <f t="shared" si="30"/>
        <v>30.5168657997228</v>
      </c>
      <c r="N59" s="76">
        <f t="shared" si="30"/>
        <v>45.8881246206757</v>
      </c>
      <c r="O59" s="76">
        <f t="shared" si="30"/>
        <v>1.37978852487433</v>
      </c>
      <c r="P59" s="76">
        <f t="shared" si="30"/>
        <v>7.75228259754471</v>
      </c>
      <c r="R59" s="85">
        <f t="shared" ref="R59:R66" si="31">AVERAGEIF(E59:Q59,"&lt;&gt;0")</f>
        <v>12.413206408482</v>
      </c>
      <c r="U59" s="85" cm="1">
        <f t="array" ref="U59">_xlfn.STDEV.S(IF(E59:Q59&lt;&gt;0,E59:Q59))</f>
        <v>26.9726119732682</v>
      </c>
      <c r="AA59" s="76">
        <f t="shared" ref="AA59:AR59" si="32">(AA16-W16)/ABS(W16)*100</f>
        <v>33.4876033057851</v>
      </c>
      <c r="AB59" s="76">
        <f t="shared" si="32"/>
        <v>5.8007216208715</v>
      </c>
      <c r="AC59" s="76">
        <f t="shared" si="32"/>
        <v>32.4132492113565</v>
      </c>
      <c r="AD59" s="76">
        <f t="shared" si="32"/>
        <v>45.9614161543354</v>
      </c>
      <c r="AE59" s="76">
        <f t="shared" si="32"/>
        <v>48.7122337790986</v>
      </c>
      <c r="AF59" s="76">
        <f t="shared" si="32"/>
        <v>83.6831059811123</v>
      </c>
      <c r="AG59" s="76">
        <f t="shared" si="32"/>
        <v>43.0414929521541</v>
      </c>
      <c r="AH59" s="76">
        <f t="shared" si="32"/>
        <v>25.3885257806826</v>
      </c>
      <c r="AI59" s="76">
        <f t="shared" si="32"/>
        <v>14.3880099916736</v>
      </c>
      <c r="AJ59" s="76">
        <f t="shared" si="32"/>
        <v>4.8271922307912</v>
      </c>
      <c r="AK59" s="76">
        <f t="shared" si="32"/>
        <v>-1.85981956974323</v>
      </c>
      <c r="AL59" s="76">
        <f t="shared" si="32"/>
        <v>-7.76091740993861</v>
      </c>
      <c r="AM59" s="76">
        <f t="shared" si="32"/>
        <v>-2.56223613335274</v>
      </c>
      <c r="AN59" s="76">
        <f t="shared" si="32"/>
        <v>4.42779291553134</v>
      </c>
      <c r="AO59" s="76">
        <f t="shared" si="32"/>
        <v>12.4593409701598</v>
      </c>
      <c r="AP59" s="76">
        <f t="shared" si="32"/>
        <v>15.5343463518774</v>
      </c>
      <c r="AQ59" s="76">
        <f t="shared" si="32"/>
        <v>20.8725534140146</v>
      </c>
      <c r="AR59" s="76">
        <f t="shared" si="32"/>
        <v>13.0202217873451</v>
      </c>
    </row>
    <row r="60" spans="3:44">
      <c r="C60" s="22" t="s">
        <v>91</v>
      </c>
      <c r="D60" s="22"/>
      <c r="F60" s="76"/>
      <c r="G60" s="76"/>
      <c r="H60" s="76"/>
      <c r="I60" s="76"/>
      <c r="J60" s="76"/>
      <c r="K60" s="76">
        <f t="shared" ref="K60:P60" si="33">(K17-J17)/ABS(J17)*100</f>
        <v>13.5899182561308</v>
      </c>
      <c r="L60" s="76">
        <f t="shared" si="33"/>
        <v>7.68115942028986</v>
      </c>
      <c r="M60" s="76">
        <f t="shared" si="33"/>
        <v>7.16108971086462</v>
      </c>
      <c r="N60" s="76">
        <f t="shared" si="33"/>
        <v>37.2932005197055</v>
      </c>
      <c r="O60" s="76">
        <f t="shared" si="33"/>
        <v>3.40367811740955</v>
      </c>
      <c r="P60" s="76">
        <f t="shared" si="33"/>
        <v>-4.47834045149481</v>
      </c>
      <c r="R60" s="85">
        <f t="shared" si="31"/>
        <v>10.7751175954842</v>
      </c>
      <c r="U60" s="85" cm="1">
        <f t="array" ref="U60">_xlfn.STDEV.S(IF(E60:Q60&lt;&gt;0,E60:Q60))</f>
        <v>14.2882588291617</v>
      </c>
      <c r="AA60" s="76">
        <f>(AA17-W17)/ABS(W17)*100</f>
        <v>4.14755732801595</v>
      </c>
      <c r="AB60" s="76">
        <f t="shared" ref="AB60:AR60" si="34">(AB17-X17)/ABS(X17)*100</f>
        <v>-9.77329015050486</v>
      </c>
      <c r="AC60" s="76">
        <f t="shared" si="34"/>
        <v>8.93163207008189</v>
      </c>
      <c r="AD60" s="76">
        <f t="shared" si="34"/>
        <v>22.8614058355438</v>
      </c>
      <c r="AE60" s="76">
        <f t="shared" si="34"/>
        <v>30.1933754547195</v>
      </c>
      <c r="AF60" s="76">
        <f t="shared" si="34"/>
        <v>60.4096283783784</v>
      </c>
      <c r="AG60" s="76">
        <f t="shared" si="34"/>
        <v>39.8426573426573</v>
      </c>
      <c r="AH60" s="76">
        <f t="shared" si="34"/>
        <v>25.5566050465524</v>
      </c>
      <c r="AI60" s="76">
        <f t="shared" si="34"/>
        <v>20.2058823529412</v>
      </c>
      <c r="AJ60" s="76">
        <f t="shared" si="34"/>
        <v>8.71396603922601</v>
      </c>
      <c r="AK60" s="76">
        <f t="shared" si="34"/>
        <v>-1.58769846230779</v>
      </c>
      <c r="AL60" s="76">
        <f t="shared" si="34"/>
        <v>-8.91993551853842</v>
      </c>
      <c r="AM60" s="76">
        <f t="shared" si="34"/>
        <v>-8.29459261071691</v>
      </c>
      <c r="AN60" s="76">
        <f t="shared" si="34"/>
        <v>-4.95217338660855</v>
      </c>
      <c r="AO60" s="76">
        <f t="shared" si="34"/>
        <v>-2.57876016260163</v>
      </c>
      <c r="AP60" s="76">
        <f t="shared" si="34"/>
        <v>-2.10029498525074</v>
      </c>
      <c r="AQ60" s="76">
        <f t="shared" si="34"/>
        <v>-1.10725720384205</v>
      </c>
      <c r="AR60" s="76">
        <f t="shared" si="34"/>
        <v>-5.17197452229299</v>
      </c>
    </row>
    <row r="61" s="50" customFormat="1" spans="3:45">
      <c r="C61" s="77" t="s">
        <v>92</v>
      </c>
      <c r="D61" s="77"/>
      <c r="E61" s="78"/>
      <c r="F61" s="79"/>
      <c r="G61" s="79">
        <f t="shared" ref="G61:P61" si="35">(G18-F18)/ABS(F18)*100</f>
        <v>16.7449874686717</v>
      </c>
      <c r="H61" s="79">
        <f t="shared" si="35"/>
        <v>13.0249563933986</v>
      </c>
      <c r="I61" s="79">
        <f t="shared" si="35"/>
        <v>17.7964089627541</v>
      </c>
      <c r="J61" s="79">
        <f t="shared" si="35"/>
        <v>20.3998337175466</v>
      </c>
      <c r="K61" s="79">
        <f t="shared" si="35"/>
        <v>21.8504451907886</v>
      </c>
      <c r="L61" s="79">
        <f t="shared" si="35"/>
        <v>15.7563476185161</v>
      </c>
      <c r="M61" s="79">
        <f t="shared" si="35"/>
        <v>8.98517183315901</v>
      </c>
      <c r="N61" s="79">
        <f t="shared" si="35"/>
        <v>42.5886853066892</v>
      </c>
      <c r="O61" s="79">
        <f t="shared" si="35"/>
        <v>7.14855105323704</v>
      </c>
      <c r="P61" s="79">
        <f t="shared" si="35"/>
        <v>5.96151875726702</v>
      </c>
      <c r="Q61" s="78"/>
      <c r="R61" s="85">
        <f t="shared" si="31"/>
        <v>17.0256906302028</v>
      </c>
      <c r="S61" s="86"/>
      <c r="T61" s="86"/>
      <c r="U61" s="85" cm="1">
        <f t="array" ref="U61">_xlfn.STDEV.S(IF(E61:Q61&lt;&gt;0,E61:Q61))</f>
        <v>10.4936140902935</v>
      </c>
      <c r="V61" s="34"/>
      <c r="W61" s="34"/>
      <c r="X61" s="34"/>
      <c r="Y61" s="34"/>
      <c r="Z61" s="34"/>
      <c r="AA61" s="79">
        <f>(AA18-W18)/ABS(W18)*100</f>
        <v>10.3834962565796</v>
      </c>
      <c r="AB61" s="79">
        <f t="shared" ref="AB61:AR61" si="36">(AB18-X18)/ABS(X18)*100</f>
        <v>-8.08456945897704</v>
      </c>
      <c r="AC61" s="79">
        <f t="shared" si="36"/>
        <v>9.76151023789798</v>
      </c>
      <c r="AD61" s="79">
        <f t="shared" si="36"/>
        <v>21.7878420414404</v>
      </c>
      <c r="AE61" s="79">
        <f t="shared" si="36"/>
        <v>32.3460592956787</v>
      </c>
      <c r="AF61" s="79">
        <f t="shared" si="36"/>
        <v>68.8954364348612</v>
      </c>
      <c r="AG61" s="79">
        <f t="shared" si="36"/>
        <v>43.2268499797816</v>
      </c>
      <c r="AH61" s="79">
        <f t="shared" si="36"/>
        <v>32.5548172038356</v>
      </c>
      <c r="AI61" s="79">
        <f t="shared" si="36"/>
        <v>22.3279026049593</v>
      </c>
      <c r="AJ61" s="79">
        <f t="shared" si="36"/>
        <v>11.5851240980097</v>
      </c>
      <c r="AK61" s="79">
        <f t="shared" si="36"/>
        <v>2.54470167513646</v>
      </c>
      <c r="AL61" s="79">
        <f t="shared" si="36"/>
        <v>-3.58758307614429</v>
      </c>
      <c r="AM61" s="79">
        <f t="shared" si="36"/>
        <v>-0.206728746272479</v>
      </c>
      <c r="AN61" s="79">
        <f t="shared" si="36"/>
        <v>3.29555144968732</v>
      </c>
      <c r="AO61" s="79">
        <f t="shared" si="36"/>
        <v>9.48019529385852</v>
      </c>
      <c r="AP61" s="79">
        <f t="shared" si="36"/>
        <v>10.9667694183801</v>
      </c>
      <c r="AQ61" s="79">
        <f t="shared" si="36"/>
        <v>13.0362249761678</v>
      </c>
      <c r="AR61" s="79">
        <f t="shared" si="36"/>
        <v>11.1328964793698</v>
      </c>
      <c r="AS61" s="78"/>
    </row>
    <row r="62" spans="3:44">
      <c r="C62" s="22" t="s">
        <v>77</v>
      </c>
      <c r="D62" s="22"/>
      <c r="F62" s="76"/>
      <c r="G62" s="76">
        <f t="shared" ref="G62:P62" si="37">(G19-F19)/ABS(F19)*100</f>
        <v>36.4148816234498</v>
      </c>
      <c r="H62" s="76">
        <f t="shared" si="37"/>
        <v>18.2479338842975</v>
      </c>
      <c r="I62" s="76">
        <f t="shared" si="37"/>
        <v>48.1828347777467</v>
      </c>
      <c r="J62" s="76">
        <f t="shared" si="37"/>
        <v>2.95255164607113</v>
      </c>
      <c r="K62" s="76">
        <f t="shared" si="37"/>
        <v>28.8528495510354</v>
      </c>
      <c r="L62" s="76">
        <f t="shared" si="37"/>
        <v>20.9841427860343</v>
      </c>
      <c r="M62" s="76">
        <f t="shared" si="37"/>
        <v>27.6066768543552</v>
      </c>
      <c r="N62" s="76">
        <f t="shared" si="37"/>
        <v>29.1142738703883</v>
      </c>
      <c r="O62" s="76">
        <f t="shared" si="37"/>
        <v>3.64940068493151</v>
      </c>
      <c r="P62" s="76">
        <f t="shared" si="37"/>
        <v>19.3873687833419</v>
      </c>
      <c r="R62" s="85">
        <f t="shared" si="31"/>
        <v>23.5392914461652</v>
      </c>
      <c r="U62" s="85" cm="1">
        <f t="array" ref="U62">_xlfn.STDEV.S(IF(E62:Q62&lt;&gt;0,E62:Q62))</f>
        <v>13.8248179597557</v>
      </c>
      <c r="AA62" s="76">
        <f>(AA19-W19)/ABS(W19)*100</f>
        <v>22.5138121546961</v>
      </c>
      <c r="AB62" s="76">
        <f t="shared" ref="AB62:AR62" si="38">(AB19-X19)/ABS(X19)*100</f>
        <v>25.5882352941176</v>
      </c>
      <c r="AC62" s="76">
        <f t="shared" si="38"/>
        <v>35.2592592592593</v>
      </c>
      <c r="AD62" s="76">
        <f t="shared" si="38"/>
        <v>26.7857142857143</v>
      </c>
      <c r="AE62" s="76">
        <f t="shared" si="38"/>
        <v>46.4261555806088</v>
      </c>
      <c r="AF62" s="76">
        <f t="shared" si="38"/>
        <v>29.2544886807182</v>
      </c>
      <c r="AG62" s="76">
        <f t="shared" si="38"/>
        <v>23.2931726907631</v>
      </c>
      <c r="AH62" s="76">
        <f t="shared" si="38"/>
        <v>22.2804914593947</v>
      </c>
      <c r="AI62" s="76">
        <f t="shared" si="38"/>
        <v>4.88142901139513</v>
      </c>
      <c r="AJ62" s="76">
        <f t="shared" si="38"/>
        <v>-1.05692284463234</v>
      </c>
      <c r="AK62" s="76">
        <f t="shared" si="38"/>
        <v>2.08765176191886</v>
      </c>
      <c r="AL62" s="76">
        <f t="shared" si="38"/>
        <v>7.78090920230364</v>
      </c>
      <c r="AM62" s="76">
        <f t="shared" si="38"/>
        <v>8.83864337101747</v>
      </c>
      <c r="AN62" s="76">
        <f t="shared" si="38"/>
        <v>24.2484358309171</v>
      </c>
      <c r="AO62" s="76">
        <f t="shared" si="38"/>
        <v>20.9427121102248</v>
      </c>
      <c r="AP62" s="76">
        <f t="shared" si="38"/>
        <v>22.7148703956344</v>
      </c>
      <c r="AQ62" s="76">
        <f t="shared" si="38"/>
        <v>17.8874949413193</v>
      </c>
      <c r="AR62" s="76">
        <f t="shared" si="38"/>
        <v>14.3699336772292</v>
      </c>
    </row>
    <row r="63" s="50" customFormat="1" spans="3:45">
      <c r="C63" s="77" t="s">
        <v>93</v>
      </c>
      <c r="D63" s="77"/>
      <c r="E63" s="78"/>
      <c r="F63" s="79"/>
      <c r="G63" s="79">
        <f t="shared" ref="G63:P63" si="39">(G20-F20)/ABS(F20)*100</f>
        <v>18.3166087160178</v>
      </c>
      <c r="H63" s="79">
        <f t="shared" si="39"/>
        <v>13.5061059171057</v>
      </c>
      <c r="I63" s="79">
        <f t="shared" si="39"/>
        <v>20.7125992702297</v>
      </c>
      <c r="J63" s="79">
        <f t="shared" si="39"/>
        <v>18.3443723328592</v>
      </c>
      <c r="K63" s="79">
        <f t="shared" si="39"/>
        <v>22.5681043468462</v>
      </c>
      <c r="L63" s="79">
        <f t="shared" si="39"/>
        <v>16.3196040574913</v>
      </c>
      <c r="M63" s="79">
        <f t="shared" si="39"/>
        <v>11.0719578462045</v>
      </c>
      <c r="N63" s="79">
        <f t="shared" si="39"/>
        <v>40.8539152607703</v>
      </c>
      <c r="O63" s="79">
        <f t="shared" si="39"/>
        <v>6.73559860059193</v>
      </c>
      <c r="P63" s="79">
        <f t="shared" si="39"/>
        <v>7.50015777350036</v>
      </c>
      <c r="Q63" s="78"/>
      <c r="R63" s="85">
        <f t="shared" si="31"/>
        <v>17.5929024121617</v>
      </c>
      <c r="S63" s="86"/>
      <c r="T63" s="86"/>
      <c r="U63" s="85" cm="1">
        <f t="array" ref="U63">_xlfn.STDEV.S(IF(E63:Q63&lt;&gt;0,E63:Q63))</f>
        <v>9.75954673411553</v>
      </c>
      <c r="V63" s="34"/>
      <c r="W63" s="34"/>
      <c r="X63" s="34"/>
      <c r="Y63" s="34"/>
      <c r="Z63" s="34"/>
      <c r="AA63" s="79"/>
      <c r="AB63" s="79"/>
      <c r="AC63" s="79"/>
      <c r="AD63" s="79"/>
      <c r="AE63" s="79"/>
      <c r="AF63" s="79"/>
      <c r="AG63" s="79"/>
      <c r="AH63" s="79"/>
      <c r="AI63" s="79"/>
      <c r="AJ63" s="79"/>
      <c r="AK63" s="79"/>
      <c r="AL63" s="79"/>
      <c r="AM63" s="79"/>
      <c r="AN63" s="79"/>
      <c r="AO63" s="79"/>
      <c r="AP63" s="79"/>
      <c r="AQ63" s="79"/>
      <c r="AR63" s="79"/>
      <c r="AS63" s="78"/>
    </row>
    <row r="64" spans="3:44">
      <c r="C64" s="22" t="s">
        <v>79</v>
      </c>
      <c r="D64" s="22"/>
      <c r="F64" s="76"/>
      <c r="G64" s="76"/>
      <c r="H64" s="76"/>
      <c r="I64" s="76"/>
      <c r="J64" s="76"/>
      <c r="K64" s="76">
        <f t="shared" ref="K64:P64" si="40">(K21-J21)/ABS(J21)*100</f>
        <v>43.9349112426036</v>
      </c>
      <c r="L64" s="76">
        <f t="shared" si="40"/>
        <v>52.757793764988</v>
      </c>
      <c r="M64" s="76">
        <f t="shared" si="40"/>
        <v>46.4341780668311</v>
      </c>
      <c r="N64" s="76">
        <f t="shared" si="40"/>
        <v>47.0709855272226</v>
      </c>
      <c r="O64" s="76">
        <f t="shared" si="40"/>
        <v>36.8322399250234</v>
      </c>
      <c r="P64" s="76">
        <f t="shared" si="40"/>
        <v>25.9056316590563</v>
      </c>
      <c r="R64" s="85">
        <f t="shared" si="31"/>
        <v>42.1559566976208</v>
      </c>
      <c r="U64" s="85" cm="1">
        <f t="array" ref="U64">_xlfn.STDEV.S(IF(E64:Q64&lt;&gt;0,E64:Q64))</f>
        <v>9.4914628913538</v>
      </c>
      <c r="AA64" s="76">
        <f t="shared" ref="AA64:AR64" si="41">(AA21-W21)/ABS(W21)*100</f>
        <v>52.1643835616438</v>
      </c>
      <c r="AB64" s="76">
        <f t="shared" si="41"/>
        <v>43.1904761904762</v>
      </c>
      <c r="AC64" s="76">
        <f t="shared" si="41"/>
        <v>44.7667087011349</v>
      </c>
      <c r="AD64" s="76">
        <f t="shared" si="41"/>
        <v>46.5570007651109</v>
      </c>
      <c r="AE64" s="76">
        <f t="shared" si="41"/>
        <v>45.7328051854519</v>
      </c>
      <c r="AF64" s="76">
        <f t="shared" si="41"/>
        <v>53.9075490522115</v>
      </c>
      <c r="AG64" s="76">
        <f t="shared" si="41"/>
        <v>44.8896631823461</v>
      </c>
      <c r="AH64" s="76">
        <f t="shared" si="41"/>
        <v>44.6358653093187</v>
      </c>
      <c r="AI64" s="76">
        <f t="shared" si="41"/>
        <v>43.8349394613294</v>
      </c>
      <c r="AJ64" s="76">
        <f t="shared" si="41"/>
        <v>35.609334485739</v>
      </c>
      <c r="AK64" s="76">
        <f t="shared" si="41"/>
        <v>37.6352705410822</v>
      </c>
      <c r="AL64" s="76">
        <f t="shared" si="41"/>
        <v>32.0158816098177</v>
      </c>
      <c r="AM64" s="76">
        <f t="shared" si="41"/>
        <v>28.053599037966</v>
      </c>
      <c r="AN64" s="76">
        <f t="shared" si="41"/>
        <v>27.9636711281071</v>
      </c>
      <c r="AO64" s="76">
        <f t="shared" si="41"/>
        <v>22.4665113570181</v>
      </c>
      <c r="AP64" s="76">
        <f t="shared" si="41"/>
        <v>25.6596035543404</v>
      </c>
      <c r="AQ64" s="76">
        <f t="shared" si="41"/>
        <v>28.44110544674</v>
      </c>
      <c r="AR64" s="76">
        <f t="shared" si="41"/>
        <v>28.8382517743743</v>
      </c>
    </row>
    <row r="65" spans="3:44">
      <c r="C65" s="22" t="s">
        <v>80</v>
      </c>
      <c r="D65" s="22"/>
      <c r="F65" s="76"/>
      <c r="G65" s="76">
        <f t="shared" ref="G65:P65" si="42">(G22-F22)/ABS(F22)*100</f>
        <v>2625</v>
      </c>
      <c r="H65" s="76">
        <f t="shared" si="42"/>
        <v>36.085626911315</v>
      </c>
      <c r="I65" s="76">
        <f t="shared" si="42"/>
        <v>-35.2808988764045</v>
      </c>
      <c r="J65" s="76">
        <f t="shared" si="42"/>
        <v>65.625</v>
      </c>
      <c r="K65" s="76">
        <f t="shared" si="42"/>
        <v>24.7379454926625</v>
      </c>
      <c r="L65" s="76">
        <f t="shared" si="42"/>
        <v>10.7563025210084</v>
      </c>
      <c r="M65" s="76">
        <f t="shared" si="42"/>
        <v>-0.303490136570561</v>
      </c>
      <c r="N65" s="76">
        <f t="shared" si="42"/>
        <v>14.6118721461187</v>
      </c>
      <c r="O65" s="76">
        <f t="shared" si="42"/>
        <v>41.8326693227092</v>
      </c>
      <c r="P65" s="76">
        <f t="shared" si="42"/>
        <v>42.9775280898876</v>
      </c>
      <c r="R65" s="85">
        <f t="shared" si="31"/>
        <v>282.604255547073</v>
      </c>
      <c r="U65" s="85" cm="1">
        <f t="array" ref="U65">_xlfn.STDEV.S(IF(E65:Q65&lt;&gt;0,E65:Q65))</f>
        <v>823.499659679842</v>
      </c>
      <c r="AA65" s="76">
        <f t="shared" ref="AA65:AR65" si="43">(AA22-W22)/ABS(W22)*100</f>
        <v>-20.5882352941176</v>
      </c>
      <c r="AB65" s="76">
        <f t="shared" si="43"/>
        <v>-8.64197530864197</v>
      </c>
      <c r="AC65" s="76">
        <f t="shared" si="43"/>
        <v>14.8387096774194</v>
      </c>
      <c r="AD65" s="76">
        <f t="shared" si="43"/>
        <v>13.953488372093</v>
      </c>
      <c r="AE65" s="76">
        <f t="shared" si="43"/>
        <v>46.6666666666667</v>
      </c>
      <c r="AF65" s="76">
        <f t="shared" si="43"/>
        <v>29.7297297297297</v>
      </c>
      <c r="AG65" s="76">
        <f t="shared" si="43"/>
        <v>2.24719101123596</v>
      </c>
      <c r="AH65" s="76">
        <f t="shared" si="43"/>
        <v>-7.6530612244898</v>
      </c>
      <c r="AI65" s="76">
        <f t="shared" si="43"/>
        <v>122.222222222222</v>
      </c>
      <c r="AJ65" s="76">
        <f t="shared" si="43"/>
        <v>0.520833333333333</v>
      </c>
      <c r="AK65" s="76">
        <f t="shared" si="43"/>
        <v>14.8351648351648</v>
      </c>
      <c r="AL65" s="76">
        <f t="shared" si="43"/>
        <v>24.8618784530387</v>
      </c>
      <c r="AM65" s="76">
        <f t="shared" si="43"/>
        <v>-34.5454545454545</v>
      </c>
      <c r="AN65" s="76">
        <f t="shared" si="43"/>
        <v>47.6683937823834</v>
      </c>
      <c r="AO65" s="76">
        <f t="shared" si="43"/>
        <v>42.1052631578947</v>
      </c>
      <c r="AP65" s="76">
        <f t="shared" si="43"/>
        <v>190.70796460177</v>
      </c>
      <c r="AQ65" s="76">
        <f t="shared" si="43"/>
        <v>71.875</v>
      </c>
      <c r="AR65" s="76">
        <f t="shared" si="43"/>
        <v>28.0701754385965</v>
      </c>
    </row>
    <row r="66" s="69" customFormat="1" spans="3:45">
      <c r="C66" s="88" t="s">
        <v>94</v>
      </c>
      <c r="D66" s="88"/>
      <c r="E66" s="79"/>
      <c r="F66" s="79"/>
      <c r="G66" s="79">
        <f t="shared" ref="G66:P66" si="44">(G24-F24)/ABS(F24)*100</f>
        <v>18.8800230551703</v>
      </c>
      <c r="H66" s="79">
        <f t="shared" si="44"/>
        <v>13.6179754852199</v>
      </c>
      <c r="I66" s="79">
        <f t="shared" si="44"/>
        <v>20.3803224472923</v>
      </c>
      <c r="J66" s="79">
        <f t="shared" si="44"/>
        <v>22.8010900389933</v>
      </c>
      <c r="K66" s="79">
        <f t="shared" si="44"/>
        <v>23.421586757476</v>
      </c>
      <c r="L66" s="79">
        <f t="shared" si="44"/>
        <v>18.3000898997946</v>
      </c>
      <c r="M66" s="79">
        <f t="shared" si="44"/>
        <v>12.7705320128261</v>
      </c>
      <c r="N66" s="79">
        <f t="shared" si="44"/>
        <v>41.1500764270492</v>
      </c>
      <c r="O66" s="79">
        <f t="shared" si="44"/>
        <v>9.78081564371577</v>
      </c>
      <c r="P66" s="79">
        <f t="shared" si="44"/>
        <v>8.68277022726951</v>
      </c>
      <c r="Q66" s="79"/>
      <c r="R66" s="86">
        <f t="shared" si="31"/>
        <v>18.9785281994807</v>
      </c>
      <c r="S66" s="86">
        <f>MEDIAN(E66:Q66)</f>
        <v>18.5900564774825</v>
      </c>
      <c r="T66" s="86"/>
      <c r="U66" s="86" cm="1">
        <f t="array" ref="U66">_xlfn.STDEV.S(IF(E66:Q66&lt;&gt;0,E66:Q66))</f>
        <v>9.34666071453634</v>
      </c>
      <c r="V66" s="79">
        <f>R66-U66</f>
        <v>9.63186748494435</v>
      </c>
      <c r="W66" s="79"/>
      <c r="X66" s="79"/>
      <c r="Y66" s="79"/>
      <c r="Z66" s="79"/>
      <c r="AA66" s="79">
        <f t="shared" ref="AA66:AR66" si="45">(AA24-W24)/ABS(W24)*100</f>
        <v>13.2639863507526</v>
      </c>
      <c r="AB66" s="79">
        <f t="shared" si="45"/>
        <v>-1.66135990139688</v>
      </c>
      <c r="AC66" s="79">
        <f t="shared" si="45"/>
        <v>14.010222474629</v>
      </c>
      <c r="AD66" s="79">
        <f t="shared" si="45"/>
        <v>23.4899620184482</v>
      </c>
      <c r="AE66" s="79">
        <f t="shared" si="45"/>
        <v>34.3910201899949</v>
      </c>
      <c r="AF66" s="79">
        <f t="shared" si="45"/>
        <v>61.579235971486</v>
      </c>
      <c r="AG66" s="79">
        <f t="shared" si="45"/>
        <v>41.0304723539731</v>
      </c>
      <c r="AH66" s="79">
        <f t="shared" si="45"/>
        <v>32.3860241133256</v>
      </c>
      <c r="AI66" s="79">
        <f t="shared" si="45"/>
        <v>22.9544057562281</v>
      </c>
      <c r="AJ66" s="79">
        <f t="shared" si="45"/>
        <v>12.6131221719457</v>
      </c>
      <c r="AK66" s="79">
        <f t="shared" si="45"/>
        <v>6.10276728400749</v>
      </c>
      <c r="AL66" s="79">
        <f t="shared" si="45"/>
        <v>0.959840690341852</v>
      </c>
      <c r="AM66" s="79">
        <f t="shared" si="45"/>
        <v>2.61134228286601</v>
      </c>
      <c r="AN66" s="79">
        <f t="shared" si="45"/>
        <v>7.05890794288584</v>
      </c>
      <c r="AO66" s="79">
        <f t="shared" si="45"/>
        <v>11.0012736641</v>
      </c>
      <c r="AP66" s="79">
        <f t="shared" si="45"/>
        <v>13.4941089837997</v>
      </c>
      <c r="AQ66" s="79">
        <f t="shared" si="45"/>
        <v>15.4068809377105</v>
      </c>
      <c r="AR66" s="79">
        <f t="shared" si="45"/>
        <v>13.5890836952442</v>
      </c>
      <c r="AS66" s="79"/>
    </row>
    <row r="67" s="70" customFormat="1" spans="5:45">
      <c r="E67" s="76"/>
      <c r="F67" s="76"/>
      <c r="G67" s="76"/>
      <c r="H67" s="76"/>
      <c r="I67" s="76"/>
      <c r="J67" s="76"/>
      <c r="K67" s="76"/>
      <c r="L67" s="76"/>
      <c r="M67" s="76"/>
      <c r="N67" s="76"/>
      <c r="O67" s="76"/>
      <c r="P67" s="76"/>
      <c r="Q67" s="76"/>
      <c r="R67" s="76"/>
      <c r="S67" s="30"/>
      <c r="T67" s="30"/>
      <c r="U67" s="30"/>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row>
    <row r="69" ht="15.75" spans="3:4">
      <c r="C69" s="23" t="s">
        <v>95</v>
      </c>
      <c r="D69" s="22"/>
    </row>
    <row r="70" spans="3:44">
      <c r="C70" s="22" t="s">
        <v>84</v>
      </c>
      <c r="D70" s="22"/>
      <c r="G70" s="76">
        <f t="shared" ref="G70:P70" si="46">(G30-F30)/ABS(F30)*100</f>
        <v>16.6359163591636</v>
      </c>
      <c r="H70" s="76">
        <f t="shared" si="46"/>
        <v>22.9580806749275</v>
      </c>
      <c r="I70" s="76">
        <f t="shared" si="46"/>
        <v>16.0212702088426</v>
      </c>
      <c r="J70" s="76">
        <f t="shared" si="46"/>
        <v>19.3383847717612</v>
      </c>
      <c r="K70" s="76">
        <f t="shared" si="46"/>
        <v>13.1012481803822</v>
      </c>
      <c r="L70" s="76">
        <f t="shared" si="46"/>
        <v>34.1813401977161</v>
      </c>
      <c r="M70" s="76">
        <f t="shared" si="46"/>
        <v>11.4430906753199</v>
      </c>
      <c r="N70" s="76">
        <f t="shared" si="46"/>
        <v>61.3961835695711</v>
      </c>
      <c r="O70" s="76">
        <f t="shared" si="46"/>
        <v>-6.16461671129669</v>
      </c>
      <c r="P70" s="76">
        <f t="shared" si="46"/>
        <v>15.9119215468143</v>
      </c>
      <c r="R70" s="85">
        <f t="shared" ref="R70:R74" si="47">AVERAGEIF(E70:Q70,"&lt;&gt;0")</f>
        <v>20.4822819473202</v>
      </c>
      <c r="U70" s="85" cm="1">
        <f t="array" ref="U70">_xlfn.STDEV.S(IF(E70:Q70&lt;&gt;0,E70:Q70))</f>
        <v>17.5463729002544</v>
      </c>
      <c r="AD70" s="76">
        <f t="shared" ref="AD70:AR70" si="48">(AD30-Z30)/ABS(Z30)*100</f>
        <v>41.3552787663108</v>
      </c>
      <c r="AE70" s="76">
        <f t="shared" si="48"/>
        <v>69.2587461032213</v>
      </c>
      <c r="AF70" s="76">
        <f t="shared" si="48"/>
        <v>134.22790648915</v>
      </c>
      <c r="AG70" s="76">
        <f t="shared" si="48"/>
        <v>65.8686777831592</v>
      </c>
      <c r="AH70" s="76">
        <f t="shared" si="48"/>
        <v>36.3316899192279</v>
      </c>
      <c r="AI70" s="76">
        <f t="shared" si="48"/>
        <v>12.4168627852246</v>
      </c>
      <c r="AJ70" s="76">
        <f t="shared" si="48"/>
        <v>-3.23143713914873</v>
      </c>
      <c r="AK70" s="76">
        <f t="shared" si="48"/>
        <v>-21.2322195803612</v>
      </c>
      <c r="AL70" s="76">
        <f t="shared" si="48"/>
        <v>-22.2021313430539</v>
      </c>
      <c r="AM70" s="76">
        <f t="shared" si="48"/>
        <v>-1.07404541937833</v>
      </c>
      <c r="AN70" s="76">
        <f t="shared" si="48"/>
        <v>8.47786873872624</v>
      </c>
      <c r="AO70" s="76">
        <f t="shared" si="48"/>
        <v>26.7648149128846</v>
      </c>
      <c r="AP70" s="76">
        <f t="shared" si="48"/>
        <v>32.1827712392444</v>
      </c>
      <c r="AQ70" s="76">
        <f t="shared" si="48"/>
        <v>28.3387772001656</v>
      </c>
      <c r="AR70" s="76">
        <f t="shared" si="48"/>
        <v>26.519996589068</v>
      </c>
    </row>
    <row r="71" spans="3:44">
      <c r="C71" s="22" t="s">
        <v>79</v>
      </c>
      <c r="D71" s="22"/>
      <c r="G71" s="76"/>
      <c r="H71" s="76"/>
      <c r="I71" s="76"/>
      <c r="J71" s="76"/>
      <c r="K71" s="76"/>
      <c r="L71" s="76"/>
      <c r="M71" s="76">
        <f>(M31-L31)/ABS(L31)*100</f>
        <v>-20.7104413347686</v>
      </c>
      <c r="N71" s="76">
        <f>(N31-M31)/ABS(M31)*100</f>
        <v>59.3008739076155</v>
      </c>
      <c r="O71" s="76">
        <f>(O31-N31)/ABS(N31)*100</f>
        <v>15.7756354075372</v>
      </c>
      <c r="P71" s="76">
        <f>(P31-O31)/ABS(O31)*100</f>
        <v>189.281997918835</v>
      </c>
      <c r="R71" s="85">
        <f t="shared" si="47"/>
        <v>60.9120164748048</v>
      </c>
      <c r="U71" s="85" cm="1">
        <f t="array" ref="U71">_xlfn.STDEV.S(IF(E71:Q71&lt;&gt;0,E71:Q71))</f>
        <v>91.6168951504718</v>
      </c>
      <c r="AD71" s="76">
        <f t="shared" ref="AD71:AR71" si="49">(AD31-Z31)/ABS(Z31)*100</f>
        <v>-4.10385259631491</v>
      </c>
      <c r="AE71" s="76">
        <f t="shared" si="49"/>
        <v>43.6994219653179</v>
      </c>
      <c r="AF71" s="76">
        <f t="shared" si="49"/>
        <v>58.5553997194951</v>
      </c>
      <c r="AG71" s="76">
        <f t="shared" si="49"/>
        <v>46.6887417218543</v>
      </c>
      <c r="AH71" s="76">
        <f t="shared" si="49"/>
        <v>28.3990345937249</v>
      </c>
      <c r="AI71" s="76">
        <f t="shared" si="49"/>
        <v>27.5154004106776</v>
      </c>
      <c r="AJ71" s="76">
        <f t="shared" si="49"/>
        <v>0.169204737732657</v>
      </c>
      <c r="AK71" s="76">
        <f t="shared" si="49"/>
        <v>31.6770186335404</v>
      </c>
      <c r="AL71" s="76">
        <f t="shared" si="49"/>
        <v>79.1011235955056</v>
      </c>
      <c r="AM71" s="76">
        <f t="shared" si="49"/>
        <v>127.053824362606</v>
      </c>
      <c r="AN71" s="76">
        <f t="shared" si="49"/>
        <v>166.949152542373</v>
      </c>
      <c r="AO71" s="76">
        <f t="shared" si="49"/>
        <v>160.454545454545</v>
      </c>
      <c r="AP71" s="76">
        <f t="shared" si="49"/>
        <v>564.516129032258</v>
      </c>
      <c r="AQ71" s="76">
        <f t="shared" si="49"/>
        <v>371.204188481675</v>
      </c>
      <c r="AR71" s="76">
        <f t="shared" si="49"/>
        <v>196.708860759494</v>
      </c>
    </row>
    <row r="72" spans="3:44">
      <c r="C72" s="22" t="s">
        <v>80</v>
      </c>
      <c r="D72" s="22"/>
      <c r="G72" s="76">
        <f t="shared" ref="G72:P72" si="50">(G32-F32)/ABS(F32)*100</f>
        <v>-259.203036053131</v>
      </c>
      <c r="H72" s="76">
        <f t="shared" si="50"/>
        <v>-82.56735340729</v>
      </c>
      <c r="I72" s="76">
        <f t="shared" si="50"/>
        <v>20.6886574074074</v>
      </c>
      <c r="J72" s="76">
        <f t="shared" si="50"/>
        <v>0.25538124771981</v>
      </c>
      <c r="K72" s="76">
        <f t="shared" si="50"/>
        <v>-22.8237015362107</v>
      </c>
      <c r="L72" s="76">
        <f t="shared" si="50"/>
        <v>-43.6569386539607</v>
      </c>
      <c r="M72" s="76">
        <f t="shared" si="50"/>
        <v>7.21393034825871</v>
      </c>
      <c r="N72" s="76">
        <f t="shared" si="50"/>
        <v>9.49508489722967</v>
      </c>
      <c r="O72" s="76">
        <f t="shared" si="50"/>
        <v>-14.4408787953592</v>
      </c>
      <c r="P72" s="76">
        <f t="shared" si="50"/>
        <v>11.6695427092321</v>
      </c>
      <c r="R72" s="85">
        <f t="shared" si="47"/>
        <v>-37.3369311836104</v>
      </c>
      <c r="U72" s="85" cm="1">
        <f t="array" ref="U72">_xlfn.STDEV.S(IF(E72:Q72&lt;&gt;0,E72:Q72))</f>
        <v>83.9344767533983</v>
      </c>
      <c r="AD72" s="76">
        <f t="shared" ref="AD72:AR72" si="51">(AD32-Z32)/ABS(Z32)*100</f>
        <v>43.928923988154</v>
      </c>
      <c r="AE72" s="76">
        <f t="shared" si="51"/>
        <v>-2.14094558429973</v>
      </c>
      <c r="AF72" s="76">
        <f t="shared" si="51"/>
        <v>-25.2688172043011</v>
      </c>
      <c r="AG72" s="76">
        <f t="shared" si="51"/>
        <v>-16.7724388032638</v>
      </c>
      <c r="AH72" s="76">
        <f t="shared" si="51"/>
        <v>-27.6408450704225</v>
      </c>
      <c r="AI72" s="76">
        <f t="shared" si="51"/>
        <v>27.0742358078603</v>
      </c>
      <c r="AJ72" s="76">
        <f t="shared" si="51"/>
        <v>4.22031473533619</v>
      </c>
      <c r="AK72" s="76">
        <f t="shared" si="51"/>
        <v>4.89130434782609</v>
      </c>
      <c r="AL72" s="76">
        <f t="shared" si="51"/>
        <v>14.6896551724138</v>
      </c>
      <c r="AM72" s="76">
        <f t="shared" si="51"/>
        <v>-46.7065868263473</v>
      </c>
      <c r="AN72" s="76">
        <f t="shared" si="51"/>
        <v>39.2830470500373</v>
      </c>
      <c r="AO72" s="76">
        <f t="shared" si="51"/>
        <v>2.53061224489796</v>
      </c>
      <c r="AP72" s="76">
        <f t="shared" si="51"/>
        <v>30.234438156831</v>
      </c>
      <c r="AQ72" s="76">
        <f t="shared" si="51"/>
        <v>16.734693877551</v>
      </c>
      <c r="AR72" s="76">
        <f t="shared" si="51"/>
        <v>-39.4833948339483</v>
      </c>
    </row>
    <row r="73" spans="3:44">
      <c r="C73" s="22" t="s">
        <v>85</v>
      </c>
      <c r="D73" s="22"/>
      <c r="G73" s="76">
        <f t="shared" ref="G73:P73" si="52">(G33-F33)/ABS(F33)*100</f>
        <v>-74.5454545454545</v>
      </c>
      <c r="H73" s="76">
        <f t="shared" si="52"/>
        <v>12.6736111111111</v>
      </c>
      <c r="I73" s="76">
        <f t="shared" si="52"/>
        <v>-18.8866799204771</v>
      </c>
      <c r="J73" s="76">
        <f t="shared" si="52"/>
        <v>-469.732441471572</v>
      </c>
      <c r="K73" s="76">
        <f t="shared" si="52"/>
        <v>-100.704432051658</v>
      </c>
      <c r="L73" s="76">
        <f t="shared" si="52"/>
        <v>22.5065808715999</v>
      </c>
      <c r="M73" s="76">
        <f t="shared" si="52"/>
        <v>37.7429703717683</v>
      </c>
      <c r="N73" s="76">
        <f t="shared" si="52"/>
        <v>6.48681418611701</v>
      </c>
      <c r="O73" s="76">
        <f t="shared" si="52"/>
        <v>57.8930307941653</v>
      </c>
      <c r="P73" s="76">
        <f t="shared" si="52"/>
        <v>-607.15935334873</v>
      </c>
      <c r="R73" s="85">
        <f t="shared" si="47"/>
        <v>-113.372535400313</v>
      </c>
      <c r="U73" s="85" cm="1">
        <f t="array" ref="U73">_xlfn.STDEV.S(IF(E73:Q73&lt;&gt;0,E73:Q73))</f>
        <v>231.492314101312</v>
      </c>
      <c r="AD73" s="76">
        <f t="shared" ref="AD73:AR73" si="53">(AD33-Z33)/ABS(Z33)*100</f>
        <v>-3.39321357285429</v>
      </c>
      <c r="AE73" s="76">
        <f t="shared" si="53"/>
        <v>-37.5</v>
      </c>
      <c r="AF73" s="76">
        <f t="shared" si="53"/>
        <v>-61.7263843648209</v>
      </c>
      <c r="AG73" s="76">
        <f t="shared" si="53"/>
        <v>-8.71905274488697</v>
      </c>
      <c r="AH73" s="76">
        <f t="shared" si="53"/>
        <v>-70.6563706563707</v>
      </c>
      <c r="AI73" s="76">
        <f t="shared" si="53"/>
        <v>65.8585858585859</v>
      </c>
      <c r="AJ73" s="76">
        <f t="shared" si="53"/>
        <v>75.9315206445116</v>
      </c>
      <c r="AK73" s="76">
        <f t="shared" si="53"/>
        <v>91.7821782178218</v>
      </c>
      <c r="AL73" s="76">
        <f t="shared" si="53"/>
        <v>63.8574660633484</v>
      </c>
      <c r="AM73" s="76">
        <f t="shared" si="53"/>
        <v>-872.781065088757</v>
      </c>
      <c r="AN73" s="76">
        <f t="shared" si="53"/>
        <v>-401.255230125523</v>
      </c>
      <c r="AO73" s="76">
        <f t="shared" si="53"/>
        <v>-1907.22891566265</v>
      </c>
      <c r="AP73" s="76">
        <f t="shared" si="53"/>
        <v>-374.804381846635</v>
      </c>
      <c r="AQ73" s="76">
        <f t="shared" si="53"/>
        <v>29.8965936739659</v>
      </c>
      <c r="AR73" s="76">
        <f t="shared" si="53"/>
        <v>-90.9015025041736</v>
      </c>
    </row>
    <row r="74" s="50" customFormat="1" spans="3:45">
      <c r="C74" s="77" t="s">
        <v>96</v>
      </c>
      <c r="D74" s="77"/>
      <c r="E74" s="78"/>
      <c r="F74" s="34"/>
      <c r="G74" s="79">
        <f t="shared" ref="G74:P74" si="54">(G34-F34)/ABS(F34)*100</f>
        <v>7.09602025579433</v>
      </c>
      <c r="H74" s="79">
        <f t="shared" si="54"/>
        <v>17.3617846750727</v>
      </c>
      <c r="I74" s="79">
        <f t="shared" si="54"/>
        <v>22.5</v>
      </c>
      <c r="J74" s="79">
        <f t="shared" si="54"/>
        <v>10.2462472592343</v>
      </c>
      <c r="K74" s="79">
        <f t="shared" si="54"/>
        <v>0.669318442591601</v>
      </c>
      <c r="L74" s="79">
        <f t="shared" si="54"/>
        <v>30.0520496941606</v>
      </c>
      <c r="M74" s="79">
        <f t="shared" si="54"/>
        <v>20.4288510414537</v>
      </c>
      <c r="N74" s="79">
        <f t="shared" si="54"/>
        <v>90.942169609936</v>
      </c>
      <c r="O74" s="79">
        <f t="shared" si="54"/>
        <v>-4.91907411642148</v>
      </c>
      <c r="P74" s="79">
        <f t="shared" si="54"/>
        <v>12.6279361855643</v>
      </c>
      <c r="Q74" s="78"/>
      <c r="R74" s="86">
        <f t="shared" si="47"/>
        <v>20.7005303047386</v>
      </c>
      <c r="S74" s="86">
        <f>MEDIAN(E74:Q74)</f>
        <v>14.9948604303185</v>
      </c>
      <c r="T74" s="86"/>
      <c r="U74" s="86" cm="1">
        <f t="array" ref="U74">_xlfn.STDEV.S(IF(E74:Q74&lt;&gt;0,E74:Q74))</f>
        <v>26.7767581914724</v>
      </c>
      <c r="V74" s="34"/>
      <c r="W74" s="34"/>
      <c r="X74" s="34"/>
      <c r="Y74" s="34"/>
      <c r="Z74" s="34"/>
      <c r="AA74" s="34"/>
      <c r="AB74" s="34"/>
      <c r="AC74" s="34"/>
      <c r="AD74" s="79">
        <f t="shared" ref="AD74:AR74" si="55">(AD34-Z34)/ABS(Z34)*100</f>
        <v>68.9078350960501</v>
      </c>
      <c r="AE74" s="79">
        <f t="shared" si="55"/>
        <v>106.054907860098</v>
      </c>
      <c r="AF74" s="79">
        <f t="shared" si="55"/>
        <v>203.321322262259</v>
      </c>
      <c r="AG74" s="79">
        <f t="shared" si="55"/>
        <v>87.5590832069919</v>
      </c>
      <c r="AH74" s="79">
        <f t="shared" si="55"/>
        <v>39.8313206823845</v>
      </c>
      <c r="AI74" s="79">
        <f t="shared" si="55"/>
        <v>22.2485855083044</v>
      </c>
      <c r="AJ74" s="79">
        <f t="shared" si="55"/>
        <v>0.475182067041992</v>
      </c>
      <c r="AK74" s="79">
        <f t="shared" si="55"/>
        <v>-18.5250344729209</v>
      </c>
      <c r="AL74" s="79">
        <f t="shared" si="55"/>
        <v>-17.0207904957734</v>
      </c>
      <c r="AM74" s="79">
        <f t="shared" si="55"/>
        <v>-13.3323380113467</v>
      </c>
      <c r="AN74" s="79">
        <f t="shared" si="55"/>
        <v>12.2603197450265</v>
      </c>
      <c r="AO74" s="79">
        <f t="shared" si="55"/>
        <v>24.5579223810913</v>
      </c>
      <c r="AP74" s="79">
        <f t="shared" si="55"/>
        <v>30.4900881057269</v>
      </c>
      <c r="AQ74" s="79">
        <f t="shared" si="55"/>
        <v>46.2647143267298</v>
      </c>
      <c r="AR74" s="79">
        <f t="shared" si="55"/>
        <v>25.5838446744207</v>
      </c>
      <c r="AS74" s="78"/>
    </row>
    <row r="78" ht="15.75" spans="2:2">
      <c r="B78" s="16" t="s">
        <v>97</v>
      </c>
    </row>
    <row r="79" spans="2:44">
      <c r="B79" t="s">
        <v>98</v>
      </c>
      <c r="F79" s="12">
        <v>55519</v>
      </c>
      <c r="G79" s="12">
        <v>66001</v>
      </c>
      <c r="H79" s="12">
        <v>74989</v>
      </c>
      <c r="I79" s="12">
        <v>90272</v>
      </c>
      <c r="J79" s="12">
        <v>110855</v>
      </c>
      <c r="K79" s="12">
        <v>136819</v>
      </c>
      <c r="L79" s="12">
        <v>161857</v>
      </c>
      <c r="M79" s="12">
        <v>182527</v>
      </c>
      <c r="N79" s="12">
        <v>257637</v>
      </c>
      <c r="O79" s="12">
        <v>282836</v>
      </c>
      <c r="P79" s="12">
        <v>307394</v>
      </c>
      <c r="W79" s="12">
        <v>36339</v>
      </c>
      <c r="X79" s="12">
        <v>38944</v>
      </c>
      <c r="Y79" s="12">
        <v>40499</v>
      </c>
      <c r="Z79" s="12">
        <v>46075</v>
      </c>
      <c r="AA79" s="12">
        <v>41159</v>
      </c>
      <c r="AB79" s="12">
        <v>38297</v>
      </c>
      <c r="AC79" s="12">
        <v>46173</v>
      </c>
      <c r="AD79" s="12">
        <v>56898</v>
      </c>
      <c r="AE79" s="12">
        <v>55314</v>
      </c>
      <c r="AF79" s="12">
        <v>61880</v>
      </c>
      <c r="AG79" s="12">
        <v>65118</v>
      </c>
      <c r="AH79" s="12">
        <v>75325</v>
      </c>
      <c r="AI79" s="12">
        <v>68011</v>
      </c>
      <c r="AJ79" s="12">
        <v>69685</v>
      </c>
      <c r="AK79" s="12">
        <v>69092</v>
      </c>
      <c r="AL79" s="12">
        <v>76048</v>
      </c>
      <c r="AM79" s="12">
        <v>69787</v>
      </c>
      <c r="AN79" s="12">
        <v>74604</v>
      </c>
      <c r="AO79" s="12">
        <v>76693</v>
      </c>
      <c r="AP79" s="12">
        <v>86310</v>
      </c>
      <c r="AQ79" s="12">
        <v>80539</v>
      </c>
      <c r="AR79" s="12">
        <v>84742</v>
      </c>
    </row>
    <row r="80" spans="2:44">
      <c r="B80" t="s">
        <v>99</v>
      </c>
      <c r="D80"/>
      <c r="F80" s="12">
        <v>21993</v>
      </c>
      <c r="G80" s="12">
        <v>25691</v>
      </c>
      <c r="H80" s="12">
        <v>28164</v>
      </c>
      <c r="I80" s="12">
        <v>35138</v>
      </c>
      <c r="J80" s="12">
        <v>45583</v>
      </c>
      <c r="K80" s="12">
        <v>59549</v>
      </c>
      <c r="L80" s="12">
        <v>71896</v>
      </c>
      <c r="M80" s="12">
        <v>84732</v>
      </c>
      <c r="N80" s="12">
        <v>110939</v>
      </c>
      <c r="O80" s="12">
        <v>126203</v>
      </c>
      <c r="P80" s="12">
        <v>133332</v>
      </c>
      <c r="W80" s="12">
        <v>16012</v>
      </c>
      <c r="X80" s="12">
        <v>17296</v>
      </c>
      <c r="Y80" s="12">
        <v>17568</v>
      </c>
      <c r="Z80" s="12">
        <v>21020</v>
      </c>
      <c r="AA80" s="12">
        <v>18982</v>
      </c>
      <c r="AB80" s="12">
        <v>18553</v>
      </c>
      <c r="AC80" s="12">
        <v>21117</v>
      </c>
      <c r="AD80" s="12">
        <v>26080</v>
      </c>
      <c r="AE80" s="12">
        <v>24103</v>
      </c>
      <c r="AF80" s="12">
        <v>26227</v>
      </c>
      <c r="AG80" s="12">
        <v>27621</v>
      </c>
      <c r="AH80" s="12">
        <v>32988</v>
      </c>
      <c r="AI80" s="12">
        <v>29599</v>
      </c>
      <c r="AJ80" s="12">
        <v>30104</v>
      </c>
      <c r="AK80" s="12">
        <v>31158</v>
      </c>
      <c r="AL80" s="12">
        <v>35342</v>
      </c>
      <c r="AM80" s="12">
        <v>30612</v>
      </c>
      <c r="AN80" s="12">
        <v>31916</v>
      </c>
      <c r="AO80" s="12">
        <v>33229</v>
      </c>
      <c r="AP80" s="12">
        <v>37575</v>
      </c>
      <c r="AQ80" s="12">
        <v>33712</v>
      </c>
      <c r="AR80" s="12">
        <v>35507</v>
      </c>
    </row>
    <row r="81" spans="2:44">
      <c r="B81" t="s">
        <v>100</v>
      </c>
      <c r="F81" s="17">
        <f t="shared" ref="F81:P81" si="56">F79-F80</f>
        <v>33526</v>
      </c>
      <c r="G81" s="17">
        <f t="shared" si="56"/>
        <v>40310</v>
      </c>
      <c r="H81" s="17">
        <f t="shared" si="56"/>
        <v>46825</v>
      </c>
      <c r="I81" s="17">
        <f t="shared" si="56"/>
        <v>55134</v>
      </c>
      <c r="J81" s="17">
        <f t="shared" si="56"/>
        <v>65272</v>
      </c>
      <c r="K81" s="17">
        <f t="shared" si="56"/>
        <v>77270</v>
      </c>
      <c r="L81" s="17">
        <f t="shared" si="56"/>
        <v>89961</v>
      </c>
      <c r="M81" s="17">
        <f t="shared" si="56"/>
        <v>97795</v>
      </c>
      <c r="N81" s="17">
        <f t="shared" si="56"/>
        <v>146698</v>
      </c>
      <c r="O81" s="17">
        <f t="shared" si="56"/>
        <v>156633</v>
      </c>
      <c r="P81" s="17">
        <f t="shared" si="56"/>
        <v>174062</v>
      </c>
      <c r="W81" s="17">
        <f t="shared" ref="W81:AR81" si="57">W79-W80</f>
        <v>20327</v>
      </c>
      <c r="X81" s="17">
        <f t="shared" si="57"/>
        <v>21648</v>
      </c>
      <c r="Y81" s="17">
        <f t="shared" si="57"/>
        <v>22931</v>
      </c>
      <c r="Z81" s="17">
        <f t="shared" si="57"/>
        <v>25055</v>
      </c>
      <c r="AA81" s="17">
        <f t="shared" si="57"/>
        <v>22177</v>
      </c>
      <c r="AB81" s="17">
        <f t="shared" si="57"/>
        <v>19744</v>
      </c>
      <c r="AC81" s="17">
        <f t="shared" si="57"/>
        <v>25056</v>
      </c>
      <c r="AD81" s="17">
        <f t="shared" si="57"/>
        <v>30818</v>
      </c>
      <c r="AE81" s="17">
        <f t="shared" si="57"/>
        <v>31211</v>
      </c>
      <c r="AF81" s="17">
        <f t="shared" si="57"/>
        <v>35653</v>
      </c>
      <c r="AG81" s="17">
        <f t="shared" si="57"/>
        <v>37497</v>
      </c>
      <c r="AH81" s="17">
        <f t="shared" si="57"/>
        <v>42337</v>
      </c>
      <c r="AI81" s="17">
        <f t="shared" si="57"/>
        <v>38412</v>
      </c>
      <c r="AJ81" s="17">
        <f t="shared" si="57"/>
        <v>39581</v>
      </c>
      <c r="AK81" s="17">
        <f t="shared" si="57"/>
        <v>37934</v>
      </c>
      <c r="AL81" s="17">
        <f t="shared" si="57"/>
        <v>40706</v>
      </c>
      <c r="AM81" s="17">
        <f t="shared" si="57"/>
        <v>39175</v>
      </c>
      <c r="AN81" s="17">
        <f t="shared" si="57"/>
        <v>42688</v>
      </c>
      <c r="AO81" s="17">
        <f t="shared" si="57"/>
        <v>43464</v>
      </c>
      <c r="AP81" s="17">
        <f t="shared" si="57"/>
        <v>48735</v>
      </c>
      <c r="AQ81" s="17">
        <f t="shared" si="57"/>
        <v>46827</v>
      </c>
      <c r="AR81" s="17">
        <f t="shared" si="57"/>
        <v>49235</v>
      </c>
    </row>
    <row r="82" s="5" customFormat="1" ht="15.75" spans="3:45">
      <c r="C82" s="18" t="s">
        <v>101</v>
      </c>
      <c r="D82" s="19"/>
      <c r="E82" s="20"/>
      <c r="F82" s="21">
        <f t="shared" ref="F82:P82" si="58">IFERROR(F80/F79*100,0)</f>
        <v>39.6134656604045</v>
      </c>
      <c r="G82" s="21">
        <f t="shared" si="58"/>
        <v>38.9251678004879</v>
      </c>
      <c r="H82" s="21">
        <f t="shared" si="58"/>
        <v>37.5575084345704</v>
      </c>
      <c r="I82" s="21">
        <f t="shared" si="58"/>
        <v>38.9245834810351</v>
      </c>
      <c r="J82" s="21">
        <f t="shared" si="58"/>
        <v>41.1194804023274</v>
      </c>
      <c r="K82" s="21">
        <f t="shared" si="58"/>
        <v>43.5239257705436</v>
      </c>
      <c r="L82" s="21">
        <f t="shared" si="58"/>
        <v>44.4194566808973</v>
      </c>
      <c r="M82" s="21">
        <f t="shared" si="58"/>
        <v>46.4216252937922</v>
      </c>
      <c r="N82" s="21">
        <f t="shared" si="58"/>
        <v>43.0601970990192</v>
      </c>
      <c r="O82" s="21">
        <f t="shared" si="58"/>
        <v>44.6205574962169</v>
      </c>
      <c r="P82" s="21">
        <f t="shared" si="58"/>
        <v>43.3749520159795</v>
      </c>
      <c r="Q82" s="20"/>
      <c r="R82" s="79">
        <f>AVERAGE(E82:Q82)</f>
        <v>41.9600836486613</v>
      </c>
      <c r="S82" s="21"/>
      <c r="T82" s="21"/>
      <c r="U82" s="21"/>
      <c r="V82" s="21"/>
      <c r="W82" s="21">
        <f t="shared" ref="W82:AR82" si="59">IFERROR(W80/W79*100,0)</f>
        <v>44.0628525826247</v>
      </c>
      <c r="X82" s="21">
        <f t="shared" si="59"/>
        <v>44.4124897288414</v>
      </c>
      <c r="Y82" s="21">
        <f t="shared" si="59"/>
        <v>43.3788488604657</v>
      </c>
      <c r="Z82" s="21">
        <f t="shared" si="59"/>
        <v>45.6212696690179</v>
      </c>
      <c r="AA82" s="21">
        <f t="shared" si="59"/>
        <v>46.1187103671129</v>
      </c>
      <c r="AB82" s="21">
        <f t="shared" si="59"/>
        <v>48.4450479149803</v>
      </c>
      <c r="AC82" s="21">
        <f t="shared" si="59"/>
        <v>45.7345201741277</v>
      </c>
      <c r="AD82" s="21">
        <f t="shared" si="59"/>
        <v>45.8364090126191</v>
      </c>
      <c r="AE82" s="21">
        <f t="shared" si="59"/>
        <v>43.5748635065264</v>
      </c>
      <c r="AF82" s="21">
        <f t="shared" si="59"/>
        <v>42.3836457659987</v>
      </c>
      <c r="AG82" s="21">
        <f t="shared" si="59"/>
        <v>42.4168432691422</v>
      </c>
      <c r="AH82" s="21">
        <f t="shared" si="59"/>
        <v>43.7942250248921</v>
      </c>
      <c r="AI82" s="21">
        <f t="shared" si="59"/>
        <v>43.5209010307156</v>
      </c>
      <c r="AJ82" s="21">
        <f t="shared" si="59"/>
        <v>43.2001148023247</v>
      </c>
      <c r="AK82" s="21">
        <f t="shared" si="59"/>
        <v>45.096393214844</v>
      </c>
      <c r="AL82" s="21">
        <f t="shared" si="59"/>
        <v>46.473280033663</v>
      </c>
      <c r="AM82" s="21">
        <f t="shared" si="59"/>
        <v>43.8649032054681</v>
      </c>
      <c r="AN82" s="21">
        <f t="shared" si="59"/>
        <v>42.7805479598949</v>
      </c>
      <c r="AO82" s="21">
        <f t="shared" si="59"/>
        <v>43.3272919301631</v>
      </c>
      <c r="AP82" s="21">
        <f t="shared" si="59"/>
        <v>43.5349322210636</v>
      </c>
      <c r="AQ82" s="21">
        <f t="shared" si="59"/>
        <v>41.8579818473038</v>
      </c>
      <c r="AR82" s="21">
        <f t="shared" si="59"/>
        <v>41.9001203653442</v>
      </c>
      <c r="AS82" s="20"/>
    </row>
    <row r="84" spans="2:44">
      <c r="B84" t="s">
        <v>102</v>
      </c>
      <c r="F84" s="12">
        <v>7137</v>
      </c>
      <c r="G84" s="12">
        <v>9832</v>
      </c>
      <c r="H84" s="12">
        <v>12282</v>
      </c>
      <c r="I84" s="12">
        <v>13948</v>
      </c>
      <c r="J84" s="12">
        <v>16625</v>
      </c>
      <c r="K84" s="12">
        <v>21419</v>
      </c>
      <c r="L84" s="12">
        <v>26018</v>
      </c>
      <c r="M84" s="12">
        <v>27573</v>
      </c>
      <c r="N84" s="12">
        <v>31562</v>
      </c>
      <c r="O84" s="12">
        <v>39500</v>
      </c>
      <c r="P84" s="12">
        <v>45427</v>
      </c>
      <c r="R84" s="30">
        <f>AVERAGE(E84:Q84)/AVERAGE($E$79:$Q$79)*100</f>
        <v>14.5550545373677</v>
      </c>
      <c r="W84" s="12">
        <v>6029</v>
      </c>
      <c r="X84" s="12">
        <v>6213</v>
      </c>
      <c r="Y84" s="12">
        <v>6554</v>
      </c>
      <c r="Z84" s="12">
        <v>7222</v>
      </c>
      <c r="AA84" s="12">
        <v>6820</v>
      </c>
      <c r="AB84" s="12">
        <v>6875</v>
      </c>
      <c r="AC84" s="12">
        <v>6856</v>
      </c>
      <c r="AD84" s="12">
        <v>7022</v>
      </c>
      <c r="AE84" s="12">
        <v>7485</v>
      </c>
      <c r="AF84" s="12">
        <v>7675</v>
      </c>
      <c r="AG84" s="12">
        <v>7694</v>
      </c>
      <c r="AH84" s="12">
        <v>8708</v>
      </c>
      <c r="AI84" s="12">
        <v>9119</v>
      </c>
      <c r="AJ84" s="12">
        <v>9841</v>
      </c>
      <c r="AK84" s="12">
        <v>10273</v>
      </c>
      <c r="AL84" s="12">
        <v>10267</v>
      </c>
      <c r="AM84" s="12">
        <v>11468</v>
      </c>
      <c r="AN84" s="12">
        <v>10588</v>
      </c>
      <c r="AO84" s="12">
        <v>11258</v>
      </c>
      <c r="AP84" s="12">
        <v>12113</v>
      </c>
      <c r="AQ84" s="12">
        <v>11903</v>
      </c>
      <c r="AR84" s="12">
        <v>11860</v>
      </c>
    </row>
    <row r="85" spans="2:44">
      <c r="B85" t="s">
        <v>103</v>
      </c>
      <c r="F85" s="12">
        <v>6554</v>
      </c>
      <c r="G85" s="12">
        <v>8131</v>
      </c>
      <c r="H85" s="12">
        <v>9047</v>
      </c>
      <c r="I85" s="12">
        <v>10485</v>
      </c>
      <c r="J85" s="12">
        <v>12893</v>
      </c>
      <c r="K85" s="12">
        <v>16333</v>
      </c>
      <c r="L85" s="12">
        <v>18464</v>
      </c>
      <c r="M85" s="12">
        <v>17946</v>
      </c>
      <c r="N85" s="12">
        <v>22912</v>
      </c>
      <c r="O85" s="12">
        <v>26567</v>
      </c>
      <c r="P85" s="12">
        <v>27917</v>
      </c>
      <c r="R85" s="30">
        <f>AVERAGE(E85:Q85)/AVERAGE($E$79:$Q$79)*100</f>
        <v>10.2651522610103</v>
      </c>
      <c r="W85" s="12">
        <v>3905</v>
      </c>
      <c r="X85" s="12">
        <v>4212</v>
      </c>
      <c r="Y85" s="12">
        <v>4609</v>
      </c>
      <c r="Z85" s="12">
        <v>5738</v>
      </c>
      <c r="AA85" s="12">
        <v>4500</v>
      </c>
      <c r="AB85" s="12">
        <v>3901</v>
      </c>
      <c r="AC85" s="12">
        <v>4231</v>
      </c>
      <c r="AD85" s="12">
        <v>5314</v>
      </c>
      <c r="AE85" s="12">
        <v>4516</v>
      </c>
      <c r="AF85" s="12">
        <v>5276</v>
      </c>
      <c r="AG85" s="12">
        <v>5516</v>
      </c>
      <c r="AH85" s="12">
        <v>7604</v>
      </c>
      <c r="AI85" s="12">
        <v>5825</v>
      </c>
      <c r="AJ85" s="12">
        <v>6630</v>
      </c>
      <c r="AK85" s="12">
        <v>6929</v>
      </c>
      <c r="AL85" s="12">
        <v>7183</v>
      </c>
      <c r="AM85" s="12">
        <v>6533</v>
      </c>
      <c r="AN85" s="12">
        <v>6781</v>
      </c>
      <c r="AO85" s="12">
        <v>6884</v>
      </c>
      <c r="AP85" s="12">
        <v>7719</v>
      </c>
      <c r="AQ85" s="12">
        <v>6426</v>
      </c>
      <c r="AR85" s="12">
        <v>6792</v>
      </c>
    </row>
    <row r="86" spans="2:44">
      <c r="B86" t="s">
        <v>104</v>
      </c>
      <c r="F86" s="12">
        <v>4432</v>
      </c>
      <c r="G86" s="12">
        <v>5851</v>
      </c>
      <c r="H86" s="12">
        <v>6136</v>
      </c>
      <c r="I86" s="12">
        <v>6985</v>
      </c>
      <c r="J86" s="12">
        <v>6840</v>
      </c>
      <c r="K86" s="12">
        <v>6923</v>
      </c>
      <c r="L86" s="12">
        <v>9551</v>
      </c>
      <c r="M86" s="12">
        <v>11052</v>
      </c>
      <c r="N86" s="12">
        <v>13510</v>
      </c>
      <c r="O86" s="12">
        <v>15724</v>
      </c>
      <c r="P86" s="12">
        <v>16425</v>
      </c>
      <c r="R86" s="30">
        <f>AVERAGE(E86:Q86)/AVERAGE($E$79:$Q$79)*100</f>
        <v>5.98996007426858</v>
      </c>
      <c r="W86" s="12">
        <v>2088</v>
      </c>
      <c r="X86" s="12">
        <v>2043</v>
      </c>
      <c r="Y86" s="12">
        <v>2591</v>
      </c>
      <c r="Z86" s="12">
        <v>2829</v>
      </c>
      <c r="AA86" s="12">
        <v>2880</v>
      </c>
      <c r="AB86" s="12">
        <v>2585</v>
      </c>
      <c r="AC86" s="12">
        <v>2756</v>
      </c>
      <c r="AD86" s="12">
        <v>2831</v>
      </c>
      <c r="AE86" s="12">
        <v>2773</v>
      </c>
      <c r="AF86" s="12">
        <v>3341</v>
      </c>
      <c r="AG86" s="12">
        <v>3256</v>
      </c>
      <c r="AH86" s="12">
        <v>4140</v>
      </c>
      <c r="AI86" s="12">
        <v>3374</v>
      </c>
      <c r="AJ86" s="12">
        <v>3657</v>
      </c>
      <c r="AK86" s="12">
        <v>3597</v>
      </c>
      <c r="AL86" s="12">
        <v>5096</v>
      </c>
      <c r="AM86" s="12">
        <v>3759</v>
      </c>
      <c r="AN86" s="12">
        <v>3481</v>
      </c>
      <c r="AO86" s="12">
        <v>3979</v>
      </c>
      <c r="AP86" s="12">
        <v>5206</v>
      </c>
      <c r="AQ86" s="12">
        <v>3026</v>
      </c>
      <c r="AR86" s="12">
        <v>3158</v>
      </c>
    </row>
    <row r="87" spans="2:44">
      <c r="B87" t="s">
        <v>105</v>
      </c>
      <c r="F87" s="12">
        <v>0</v>
      </c>
      <c r="G87" s="12">
        <v>0</v>
      </c>
      <c r="H87" s="12">
        <v>0</v>
      </c>
      <c r="I87" s="12">
        <v>0</v>
      </c>
      <c r="J87" s="12">
        <v>2736</v>
      </c>
      <c r="K87" s="12">
        <v>5071</v>
      </c>
      <c r="L87" s="12">
        <v>1697</v>
      </c>
      <c r="M87" s="12">
        <v>0</v>
      </c>
      <c r="N87" s="12">
        <v>0</v>
      </c>
      <c r="O87" s="12">
        <v>0</v>
      </c>
      <c r="P87" s="12">
        <v>0</v>
      </c>
      <c r="R87" s="30">
        <f>AVERAGE(E87:Q87)/AVERAGE($E$79:$Q$79)*100</f>
        <v>0.550412172077933</v>
      </c>
      <c r="W87" s="12">
        <v>1697</v>
      </c>
      <c r="X87" s="12">
        <v>0</v>
      </c>
      <c r="Y87" s="12">
        <v>0</v>
      </c>
      <c r="Z87" s="12">
        <v>0</v>
      </c>
      <c r="AA87" s="12">
        <v>0</v>
      </c>
      <c r="AB87" s="12">
        <v>0</v>
      </c>
      <c r="AC87" s="12">
        <v>0</v>
      </c>
      <c r="AD87" s="12">
        <v>0</v>
      </c>
      <c r="AE87" s="12">
        <v>0</v>
      </c>
      <c r="AF87" s="12">
        <v>0</v>
      </c>
      <c r="AG87" s="12">
        <v>0</v>
      </c>
      <c r="AH87" s="12">
        <v>0</v>
      </c>
      <c r="AI87" s="12">
        <v>0</v>
      </c>
      <c r="AJ87" s="12">
        <v>0</v>
      </c>
      <c r="AK87" s="12">
        <v>0</v>
      </c>
      <c r="AL87" s="12">
        <v>0</v>
      </c>
      <c r="AM87" s="12">
        <v>0</v>
      </c>
      <c r="AN87" s="12">
        <v>0</v>
      </c>
      <c r="AO87" s="12">
        <v>0</v>
      </c>
      <c r="AP87" s="12">
        <v>0</v>
      </c>
      <c r="AQ87" s="12">
        <v>0</v>
      </c>
      <c r="AR87" s="12">
        <v>0</v>
      </c>
    </row>
    <row r="88" spans="2:44">
      <c r="B88" t="s">
        <v>106</v>
      </c>
      <c r="F88" s="17">
        <f t="shared" ref="F88:P88" si="60">SUM(F84:F87)</f>
        <v>18123</v>
      </c>
      <c r="G88" s="17">
        <f t="shared" si="60"/>
        <v>23814</v>
      </c>
      <c r="H88" s="17">
        <f t="shared" si="60"/>
        <v>27465</v>
      </c>
      <c r="I88" s="17">
        <f t="shared" si="60"/>
        <v>31418</v>
      </c>
      <c r="J88" s="17">
        <f t="shared" si="60"/>
        <v>39094</v>
      </c>
      <c r="K88" s="17">
        <f t="shared" si="60"/>
        <v>49746</v>
      </c>
      <c r="L88" s="17">
        <f t="shared" si="60"/>
        <v>55730</v>
      </c>
      <c r="M88" s="17">
        <f t="shared" si="60"/>
        <v>56571</v>
      </c>
      <c r="N88" s="17">
        <f t="shared" si="60"/>
        <v>67984</v>
      </c>
      <c r="O88" s="17">
        <f t="shared" si="60"/>
        <v>81791</v>
      </c>
      <c r="P88" s="17">
        <f t="shared" si="60"/>
        <v>89769</v>
      </c>
      <c r="W88" s="17">
        <f t="shared" ref="W88:AR88" si="61">SUM(W84:W87)</f>
        <v>13719</v>
      </c>
      <c r="X88" s="17">
        <f t="shared" si="61"/>
        <v>12468</v>
      </c>
      <c r="Y88" s="17">
        <f t="shared" si="61"/>
        <v>13754</v>
      </c>
      <c r="Z88" s="17">
        <f t="shared" si="61"/>
        <v>15789</v>
      </c>
      <c r="AA88" s="17">
        <f t="shared" si="61"/>
        <v>14200</v>
      </c>
      <c r="AB88" s="17">
        <f t="shared" si="61"/>
        <v>13361</v>
      </c>
      <c r="AC88" s="17">
        <f t="shared" si="61"/>
        <v>13843</v>
      </c>
      <c r="AD88" s="17">
        <f t="shared" si="61"/>
        <v>15167</v>
      </c>
      <c r="AE88" s="17">
        <f t="shared" si="61"/>
        <v>14774</v>
      </c>
      <c r="AF88" s="17">
        <f t="shared" si="61"/>
        <v>16292</v>
      </c>
      <c r="AG88" s="17">
        <f t="shared" si="61"/>
        <v>16466</v>
      </c>
      <c r="AH88" s="17">
        <f t="shared" si="61"/>
        <v>20452</v>
      </c>
      <c r="AI88" s="17">
        <f t="shared" si="61"/>
        <v>18318</v>
      </c>
      <c r="AJ88" s="17">
        <f t="shared" si="61"/>
        <v>20128</v>
      </c>
      <c r="AK88" s="17">
        <f t="shared" si="61"/>
        <v>20799</v>
      </c>
      <c r="AL88" s="17">
        <f t="shared" si="61"/>
        <v>22546</v>
      </c>
      <c r="AM88" s="17">
        <f t="shared" si="61"/>
        <v>21760</v>
      </c>
      <c r="AN88" s="17">
        <f t="shared" si="61"/>
        <v>20850</v>
      </c>
      <c r="AO88" s="17">
        <f t="shared" si="61"/>
        <v>22121</v>
      </c>
      <c r="AP88" s="17">
        <f t="shared" si="61"/>
        <v>25038</v>
      </c>
      <c r="AQ88" s="17">
        <f t="shared" si="61"/>
        <v>21355</v>
      </c>
      <c r="AR88" s="17">
        <f t="shared" si="61"/>
        <v>21810</v>
      </c>
    </row>
    <row r="90" spans="2:44">
      <c r="B90" t="s">
        <v>107</v>
      </c>
      <c r="F90" s="17">
        <f t="shared" ref="F90:P90" si="62">F81-F88</f>
        <v>15403</v>
      </c>
      <c r="G90" s="17">
        <f t="shared" si="62"/>
        <v>16496</v>
      </c>
      <c r="H90" s="17">
        <f t="shared" si="62"/>
        <v>19360</v>
      </c>
      <c r="I90" s="17">
        <f t="shared" si="62"/>
        <v>23716</v>
      </c>
      <c r="J90" s="17">
        <f t="shared" si="62"/>
        <v>26178</v>
      </c>
      <c r="K90" s="17">
        <f t="shared" si="62"/>
        <v>27524</v>
      </c>
      <c r="L90" s="17">
        <f t="shared" si="62"/>
        <v>34231</v>
      </c>
      <c r="M90" s="17">
        <f t="shared" si="62"/>
        <v>41224</v>
      </c>
      <c r="N90" s="17">
        <f t="shared" si="62"/>
        <v>78714</v>
      </c>
      <c r="O90" s="17">
        <f t="shared" si="62"/>
        <v>74842</v>
      </c>
      <c r="P90" s="17">
        <f t="shared" si="62"/>
        <v>84293</v>
      </c>
      <c r="W90" s="17">
        <f t="shared" ref="W90:AR90" si="63">W81-W88</f>
        <v>6608</v>
      </c>
      <c r="X90" s="17">
        <f t="shared" si="63"/>
        <v>9180</v>
      </c>
      <c r="Y90" s="17">
        <f t="shared" si="63"/>
        <v>9177</v>
      </c>
      <c r="Z90" s="17">
        <f t="shared" si="63"/>
        <v>9266</v>
      </c>
      <c r="AA90" s="17">
        <f t="shared" si="63"/>
        <v>7977</v>
      </c>
      <c r="AB90" s="17">
        <f t="shared" si="63"/>
        <v>6383</v>
      </c>
      <c r="AC90" s="17">
        <f t="shared" si="63"/>
        <v>11213</v>
      </c>
      <c r="AD90" s="17">
        <f t="shared" si="63"/>
        <v>15651</v>
      </c>
      <c r="AE90" s="17">
        <f t="shared" si="63"/>
        <v>16437</v>
      </c>
      <c r="AF90" s="17">
        <f t="shared" si="63"/>
        <v>19361</v>
      </c>
      <c r="AG90" s="17">
        <f t="shared" si="63"/>
        <v>21031</v>
      </c>
      <c r="AH90" s="17">
        <f t="shared" si="63"/>
        <v>21885</v>
      </c>
      <c r="AI90" s="17">
        <f t="shared" si="63"/>
        <v>20094</v>
      </c>
      <c r="AJ90" s="17">
        <f t="shared" si="63"/>
        <v>19453</v>
      </c>
      <c r="AK90" s="17">
        <f t="shared" si="63"/>
        <v>17135</v>
      </c>
      <c r="AL90" s="17">
        <f t="shared" si="63"/>
        <v>18160</v>
      </c>
      <c r="AM90" s="17">
        <f t="shared" si="63"/>
        <v>17415</v>
      </c>
      <c r="AN90" s="17">
        <f t="shared" si="63"/>
        <v>21838</v>
      </c>
      <c r="AO90" s="17">
        <f t="shared" si="63"/>
        <v>21343</v>
      </c>
      <c r="AP90" s="17">
        <f t="shared" si="63"/>
        <v>23697</v>
      </c>
      <c r="AQ90" s="17">
        <f t="shared" si="63"/>
        <v>25472</v>
      </c>
      <c r="AR90" s="17">
        <f t="shared" si="63"/>
        <v>27425</v>
      </c>
    </row>
    <row r="91" s="5" customFormat="1" ht="15.75" spans="3:45">
      <c r="C91" s="18" t="s">
        <v>108</v>
      </c>
      <c r="D91" s="19"/>
      <c r="E91" s="20"/>
      <c r="F91" s="21">
        <f t="shared" ref="F91:P91" si="64">IFERROR(F90/F79*100,0)</f>
        <v>27.743655325204</v>
      </c>
      <c r="G91" s="21">
        <f t="shared" si="64"/>
        <v>24.9935607036257</v>
      </c>
      <c r="H91" s="21">
        <f t="shared" si="64"/>
        <v>25.8171198442438</v>
      </c>
      <c r="I91" s="21">
        <f t="shared" si="64"/>
        <v>26.2717121588089</v>
      </c>
      <c r="J91" s="21">
        <f t="shared" si="64"/>
        <v>23.6146317261287</v>
      </c>
      <c r="K91" s="21">
        <f t="shared" si="64"/>
        <v>20.1170890007967</v>
      </c>
      <c r="L91" s="21">
        <f t="shared" si="64"/>
        <v>21.1489154006314</v>
      </c>
      <c r="M91" s="21">
        <f t="shared" si="64"/>
        <v>22.5851517857632</v>
      </c>
      <c r="N91" s="21">
        <f t="shared" si="64"/>
        <v>30.5522886852432</v>
      </c>
      <c r="O91" s="21">
        <f t="shared" si="64"/>
        <v>26.461270842467</v>
      </c>
      <c r="P91" s="21">
        <f t="shared" si="64"/>
        <v>27.4218104452266</v>
      </c>
      <c r="Q91" s="20"/>
      <c r="R91" s="79">
        <f>AVERAGE(E91:Q91)</f>
        <v>25.1570187198308</v>
      </c>
      <c r="S91" s="21"/>
      <c r="T91" s="21"/>
      <c r="U91" s="21"/>
      <c r="V91" s="21"/>
      <c r="W91" s="21">
        <f t="shared" ref="W91:AR91" si="65">IFERROR(W90/W79*100,0)</f>
        <v>18.1843198767165</v>
      </c>
      <c r="X91" s="21">
        <f t="shared" si="65"/>
        <v>23.5723089564503</v>
      </c>
      <c r="Y91" s="21">
        <f t="shared" si="65"/>
        <v>22.6598187609571</v>
      </c>
      <c r="Z91" s="21">
        <f t="shared" si="65"/>
        <v>20.1106890938687</v>
      </c>
      <c r="AA91" s="21">
        <f t="shared" si="65"/>
        <v>19.3809373405573</v>
      </c>
      <c r="AB91" s="21">
        <f t="shared" si="65"/>
        <v>16.6671018617646</v>
      </c>
      <c r="AC91" s="21">
        <f t="shared" si="65"/>
        <v>24.284755159942</v>
      </c>
      <c r="AD91" s="21">
        <f t="shared" si="65"/>
        <v>27.5071180006327</v>
      </c>
      <c r="AE91" s="21">
        <f t="shared" si="65"/>
        <v>29.7158043171711</v>
      </c>
      <c r="AF91" s="21">
        <f t="shared" si="65"/>
        <v>31.2879767291532</v>
      </c>
      <c r="AG91" s="21">
        <f t="shared" si="65"/>
        <v>32.2967535857981</v>
      </c>
      <c r="AH91" s="21">
        <f t="shared" si="65"/>
        <v>29.0540989047461</v>
      </c>
      <c r="AI91" s="21">
        <f t="shared" si="65"/>
        <v>29.5452206260752</v>
      </c>
      <c r="AJ91" s="21">
        <f t="shared" si="65"/>
        <v>27.9156202913109</v>
      </c>
      <c r="AK91" s="21">
        <f t="shared" si="65"/>
        <v>24.8002663115846</v>
      </c>
      <c r="AL91" s="21">
        <f t="shared" si="65"/>
        <v>23.8796549547654</v>
      </c>
      <c r="AM91" s="21">
        <f t="shared" si="65"/>
        <v>24.9545044205941</v>
      </c>
      <c r="AN91" s="21">
        <f t="shared" si="65"/>
        <v>29.271888906761</v>
      </c>
      <c r="AO91" s="21">
        <f t="shared" si="65"/>
        <v>27.8291369486133</v>
      </c>
      <c r="AP91" s="21">
        <f t="shared" si="65"/>
        <v>27.4556830031283</v>
      </c>
      <c r="AQ91" s="21">
        <f t="shared" si="65"/>
        <v>31.6269136691541</v>
      </c>
      <c r="AR91" s="21">
        <f t="shared" si="65"/>
        <v>32.362936914399</v>
      </c>
      <c r="AS91" s="20"/>
    </row>
    <row r="93" spans="2:44">
      <c r="B93" t="s">
        <v>109</v>
      </c>
      <c r="D93"/>
      <c r="F93" s="12">
        <f>496-427</f>
        <v>69</v>
      </c>
      <c r="G93" s="12">
        <f>763+516</f>
        <v>1279</v>
      </c>
      <c r="H93" s="12">
        <v>291</v>
      </c>
      <c r="I93" s="12">
        <v>434</v>
      </c>
      <c r="J93" s="12">
        <v>1015</v>
      </c>
      <c r="K93" s="12">
        <v>7389</v>
      </c>
      <c r="L93" s="12">
        <v>5394</v>
      </c>
      <c r="M93" s="12">
        <v>6858</v>
      </c>
      <c r="N93" s="12">
        <v>12020</v>
      </c>
      <c r="O93" s="12">
        <v>-3514</v>
      </c>
      <c r="P93" s="12">
        <v>1424</v>
      </c>
      <c r="R93" s="30">
        <f>AVERAGE(E93:Q93)/AVERAGE(E79:Q79)*100</f>
        <v>1.89140479039281</v>
      </c>
      <c r="W93" s="12">
        <v>1538</v>
      </c>
      <c r="X93" s="12">
        <v>2967</v>
      </c>
      <c r="Y93" s="12">
        <v>-549</v>
      </c>
      <c r="Z93" s="12">
        <v>1438</v>
      </c>
      <c r="AA93" s="12">
        <v>-220</v>
      </c>
      <c r="AB93" s="12">
        <v>1894</v>
      </c>
      <c r="AC93" s="12">
        <v>2146</v>
      </c>
      <c r="AD93" s="12">
        <v>3038</v>
      </c>
      <c r="AE93" s="12">
        <v>4846</v>
      </c>
      <c r="AF93" s="12">
        <v>2624</v>
      </c>
      <c r="AG93" s="12">
        <v>2033</v>
      </c>
      <c r="AH93" s="12">
        <v>2517</v>
      </c>
      <c r="AI93" s="12">
        <v>-1160</v>
      </c>
      <c r="AJ93" s="12">
        <v>-439</v>
      </c>
      <c r="AK93" s="12">
        <v>-902</v>
      </c>
      <c r="AL93" s="12">
        <v>-1013</v>
      </c>
      <c r="AM93" s="12">
        <v>790</v>
      </c>
      <c r="AN93" s="12">
        <v>65</v>
      </c>
      <c r="AO93" s="12">
        <v>-146</v>
      </c>
      <c r="AP93" s="12">
        <v>715</v>
      </c>
      <c r="AQ93" s="12">
        <v>2843</v>
      </c>
      <c r="AR93" s="12">
        <v>126</v>
      </c>
    </row>
    <row r="95" spans="2:44">
      <c r="B95" t="s">
        <v>110</v>
      </c>
      <c r="F95" s="17">
        <f t="shared" ref="F95:P95" si="66">F90+F93</f>
        <v>15472</v>
      </c>
      <c r="G95" s="17">
        <f t="shared" si="66"/>
        <v>17775</v>
      </c>
      <c r="H95" s="17">
        <f t="shared" si="66"/>
        <v>19651</v>
      </c>
      <c r="I95" s="17">
        <f t="shared" si="66"/>
        <v>24150</v>
      </c>
      <c r="J95" s="17">
        <f t="shared" si="66"/>
        <v>27193</v>
      </c>
      <c r="K95" s="17">
        <f t="shared" si="66"/>
        <v>34913</v>
      </c>
      <c r="L95" s="17">
        <f t="shared" si="66"/>
        <v>39625</v>
      </c>
      <c r="M95" s="17">
        <f t="shared" si="66"/>
        <v>48082</v>
      </c>
      <c r="N95" s="17">
        <f t="shared" si="66"/>
        <v>90734</v>
      </c>
      <c r="O95" s="17">
        <f t="shared" si="66"/>
        <v>71328</v>
      </c>
      <c r="P95" s="17">
        <f t="shared" si="66"/>
        <v>85717</v>
      </c>
      <c r="W95" s="17">
        <f t="shared" ref="W95:AR95" si="67">W90+W93</f>
        <v>8146</v>
      </c>
      <c r="X95" s="17">
        <f t="shared" si="67"/>
        <v>12147</v>
      </c>
      <c r="Y95" s="17">
        <f t="shared" si="67"/>
        <v>8628</v>
      </c>
      <c r="Z95" s="17">
        <f t="shared" si="67"/>
        <v>10704</v>
      </c>
      <c r="AA95" s="17">
        <f t="shared" si="67"/>
        <v>7757</v>
      </c>
      <c r="AB95" s="17">
        <f t="shared" si="67"/>
        <v>8277</v>
      </c>
      <c r="AC95" s="17">
        <f t="shared" si="67"/>
        <v>13359</v>
      </c>
      <c r="AD95" s="17">
        <f t="shared" si="67"/>
        <v>18689</v>
      </c>
      <c r="AE95" s="17">
        <f t="shared" si="67"/>
        <v>21283</v>
      </c>
      <c r="AF95" s="17">
        <f t="shared" si="67"/>
        <v>21985</v>
      </c>
      <c r="AG95" s="17">
        <f t="shared" si="67"/>
        <v>23064</v>
      </c>
      <c r="AH95" s="17">
        <f t="shared" si="67"/>
        <v>24402</v>
      </c>
      <c r="AI95" s="17">
        <f t="shared" si="67"/>
        <v>18934</v>
      </c>
      <c r="AJ95" s="17">
        <f t="shared" si="67"/>
        <v>19014</v>
      </c>
      <c r="AK95" s="17">
        <f t="shared" si="67"/>
        <v>16233</v>
      </c>
      <c r="AL95" s="17">
        <f t="shared" si="67"/>
        <v>17147</v>
      </c>
      <c r="AM95" s="17">
        <f t="shared" si="67"/>
        <v>18205</v>
      </c>
      <c r="AN95" s="17">
        <f t="shared" si="67"/>
        <v>21903</v>
      </c>
      <c r="AO95" s="17">
        <f t="shared" si="67"/>
        <v>21197</v>
      </c>
      <c r="AP95" s="17">
        <f t="shared" si="67"/>
        <v>24412</v>
      </c>
      <c r="AQ95" s="17">
        <f t="shared" si="67"/>
        <v>28315</v>
      </c>
      <c r="AR95" s="17">
        <f t="shared" si="67"/>
        <v>27551</v>
      </c>
    </row>
    <row r="97" spans="2:44">
      <c r="B97" t="s">
        <v>111</v>
      </c>
      <c r="F97" s="12">
        <v>2739</v>
      </c>
      <c r="G97" s="12">
        <v>3639</v>
      </c>
      <c r="H97" s="12">
        <v>3303</v>
      </c>
      <c r="I97" s="12">
        <v>4672</v>
      </c>
      <c r="J97" s="12">
        <v>14531</v>
      </c>
      <c r="K97" s="12">
        <v>4177</v>
      </c>
      <c r="L97" s="12">
        <v>5282</v>
      </c>
      <c r="M97" s="12">
        <v>7813</v>
      </c>
      <c r="N97" s="12">
        <v>14701</v>
      </c>
      <c r="O97" s="12">
        <v>11356</v>
      </c>
      <c r="P97" s="12">
        <v>11922</v>
      </c>
      <c r="R97" s="30">
        <f>AVERAGE(E97:Q97)/AVERAGE(E95:Q95)*100</f>
        <v>17.7260660711276</v>
      </c>
      <c r="W97" s="12">
        <v>1489</v>
      </c>
      <c r="X97" s="12">
        <v>2200</v>
      </c>
      <c r="Y97" s="12">
        <v>1560</v>
      </c>
      <c r="Z97" s="12">
        <v>33</v>
      </c>
      <c r="AA97" s="12">
        <v>921</v>
      </c>
      <c r="AB97" s="12">
        <v>1318</v>
      </c>
      <c r="AC97" s="12">
        <v>2112</v>
      </c>
      <c r="AD97" s="12">
        <v>3462</v>
      </c>
      <c r="AE97" s="12">
        <v>3353</v>
      </c>
      <c r="AF97" s="12">
        <v>3460</v>
      </c>
      <c r="AG97" s="12">
        <v>4128</v>
      </c>
      <c r="AH97" s="12">
        <v>3760</v>
      </c>
      <c r="AI97" s="12">
        <v>2498</v>
      </c>
      <c r="AJ97" s="12">
        <v>3012</v>
      </c>
      <c r="AK97" s="12">
        <v>2323</v>
      </c>
      <c r="AL97" s="12">
        <v>3523</v>
      </c>
      <c r="AM97" s="12">
        <v>3154</v>
      </c>
      <c r="AN97" s="12">
        <v>3535</v>
      </c>
      <c r="AO97" s="12">
        <v>1508</v>
      </c>
      <c r="AP97" s="12">
        <v>3725</v>
      </c>
      <c r="AQ97" s="12">
        <v>4653</v>
      </c>
      <c r="AR97" s="12">
        <v>3932</v>
      </c>
    </row>
    <row r="99" spans="2:44">
      <c r="B99" t="s">
        <v>112</v>
      </c>
      <c r="F99" s="17">
        <f t="shared" ref="F99:P99" si="68">F95-F97</f>
        <v>12733</v>
      </c>
      <c r="G99" s="17">
        <f t="shared" si="68"/>
        <v>14136</v>
      </c>
      <c r="H99" s="17">
        <f t="shared" si="68"/>
        <v>16348</v>
      </c>
      <c r="I99" s="17">
        <f t="shared" si="68"/>
        <v>19478</v>
      </c>
      <c r="J99" s="17">
        <f t="shared" si="68"/>
        <v>12662</v>
      </c>
      <c r="K99" s="17">
        <f t="shared" si="68"/>
        <v>30736</v>
      </c>
      <c r="L99" s="17">
        <f t="shared" si="68"/>
        <v>34343</v>
      </c>
      <c r="M99" s="17">
        <f t="shared" si="68"/>
        <v>40269</v>
      </c>
      <c r="N99" s="17">
        <f t="shared" si="68"/>
        <v>76033</v>
      </c>
      <c r="O99" s="17">
        <f t="shared" si="68"/>
        <v>59972</v>
      </c>
      <c r="P99" s="17">
        <f t="shared" si="68"/>
        <v>73795</v>
      </c>
      <c r="W99" s="17">
        <f t="shared" ref="W99:AR99" si="69">W95-W97</f>
        <v>6657</v>
      </c>
      <c r="X99" s="17">
        <f t="shared" si="69"/>
        <v>9947</v>
      </c>
      <c r="Y99" s="17">
        <f t="shared" si="69"/>
        <v>7068</v>
      </c>
      <c r="Z99" s="17">
        <f t="shared" si="69"/>
        <v>10671</v>
      </c>
      <c r="AA99" s="17">
        <f t="shared" si="69"/>
        <v>6836</v>
      </c>
      <c r="AB99" s="17">
        <f t="shared" si="69"/>
        <v>6959</v>
      </c>
      <c r="AC99" s="17">
        <f t="shared" si="69"/>
        <v>11247</v>
      </c>
      <c r="AD99" s="17">
        <f t="shared" si="69"/>
        <v>15227</v>
      </c>
      <c r="AE99" s="17">
        <f t="shared" si="69"/>
        <v>17930</v>
      </c>
      <c r="AF99" s="17">
        <f t="shared" si="69"/>
        <v>18525</v>
      </c>
      <c r="AG99" s="17">
        <f t="shared" si="69"/>
        <v>18936</v>
      </c>
      <c r="AH99" s="17">
        <f t="shared" si="69"/>
        <v>20642</v>
      </c>
      <c r="AI99" s="17">
        <f t="shared" si="69"/>
        <v>16436</v>
      </c>
      <c r="AJ99" s="17">
        <f t="shared" si="69"/>
        <v>16002</v>
      </c>
      <c r="AK99" s="17">
        <f t="shared" si="69"/>
        <v>13910</v>
      </c>
      <c r="AL99" s="17">
        <f t="shared" si="69"/>
        <v>13624</v>
      </c>
      <c r="AM99" s="17">
        <f t="shared" si="69"/>
        <v>15051</v>
      </c>
      <c r="AN99" s="17">
        <f t="shared" si="69"/>
        <v>18368</v>
      </c>
      <c r="AO99" s="17">
        <f t="shared" si="69"/>
        <v>19689</v>
      </c>
      <c r="AP99" s="17">
        <f t="shared" si="69"/>
        <v>20687</v>
      </c>
      <c r="AQ99" s="17">
        <f t="shared" si="69"/>
        <v>23662</v>
      </c>
      <c r="AR99" s="17">
        <f t="shared" si="69"/>
        <v>23619</v>
      </c>
    </row>
    <row r="100" ht="15.75" spans="3:18">
      <c r="C100" s="18" t="s">
        <v>113</v>
      </c>
      <c r="D100" s="22"/>
      <c r="F100" s="21">
        <f>IFERROR(F99/F79*100,0)</f>
        <v>22.9344908950089</v>
      </c>
      <c r="G100" s="21">
        <f t="shared" ref="G100:P100" si="70">IFERROR(G99/G79*100,0)</f>
        <v>21.4178573051923</v>
      </c>
      <c r="H100" s="21">
        <f t="shared" si="70"/>
        <v>21.8005307445092</v>
      </c>
      <c r="I100" s="21">
        <f t="shared" si="70"/>
        <v>21.5770116979794</v>
      </c>
      <c r="J100" s="21">
        <f t="shared" si="70"/>
        <v>11.4221280050516</v>
      </c>
      <c r="K100" s="21">
        <f t="shared" si="70"/>
        <v>22.4647161578436</v>
      </c>
      <c r="L100" s="21">
        <f t="shared" si="70"/>
        <v>21.2181122843003</v>
      </c>
      <c r="M100" s="21">
        <f t="shared" si="70"/>
        <v>22.0619415209805</v>
      </c>
      <c r="N100" s="21">
        <f t="shared" si="70"/>
        <v>29.5116772823779</v>
      </c>
      <c r="O100" s="21">
        <f t="shared" si="70"/>
        <v>21.203807153262</v>
      </c>
      <c r="P100" s="21">
        <f t="shared" si="70"/>
        <v>24.0066494466385</v>
      </c>
      <c r="R100" s="79">
        <f>AVERAGE(E100:Q100)</f>
        <v>21.7835384084677</v>
      </c>
    </row>
    <row r="104" customFormat="1" ht="15.75" spans="3:45">
      <c r="C104" s="23" t="s">
        <v>114</v>
      </c>
      <c r="D104" s="22"/>
      <c r="E104" s="11"/>
      <c r="F104" s="12"/>
      <c r="G104" s="12"/>
      <c r="H104" s="12"/>
      <c r="I104" s="12"/>
      <c r="J104" s="12"/>
      <c r="K104" s="12"/>
      <c r="L104" s="12"/>
      <c r="M104" s="12"/>
      <c r="N104" s="12"/>
      <c r="O104" s="12"/>
      <c r="P104" s="12"/>
      <c r="Q104" s="11"/>
      <c r="R104" s="12"/>
      <c r="S104" s="30"/>
      <c r="T104" s="30"/>
      <c r="U104" s="30"/>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1"/>
    </row>
    <row r="105" customFormat="1" spans="3:45">
      <c r="C105" s="25" t="s">
        <v>115</v>
      </c>
      <c r="D105" s="22"/>
      <c r="E105" s="11"/>
      <c r="F105" s="27">
        <f>671.664</f>
        <v>671.664</v>
      </c>
      <c r="G105" s="27">
        <f>680.172</f>
        <v>680.172</v>
      </c>
      <c r="H105" s="27">
        <f>687.348</f>
        <v>687.348</v>
      </c>
      <c r="I105" s="27">
        <f>691.293</f>
        <v>691.293</v>
      </c>
      <c r="J105" s="27">
        <f>694.783</f>
        <v>694.783</v>
      </c>
      <c r="K105" s="27">
        <f>695.556</f>
        <v>695.556</v>
      </c>
      <c r="L105" s="27">
        <f>688.335</f>
        <v>688.335</v>
      </c>
      <c r="M105" s="27">
        <f>675.222</f>
        <v>675.222</v>
      </c>
      <c r="N105" s="27">
        <f>6006+909+6438</f>
        <v>13353</v>
      </c>
      <c r="O105" s="27">
        <f>5994+887+6182</f>
        <v>13063</v>
      </c>
      <c r="P105" s="27">
        <f>5922+877+5831</f>
        <v>12630</v>
      </c>
      <c r="Q105" s="11"/>
      <c r="R105" s="12"/>
      <c r="S105" s="30"/>
      <c r="T105" s="30"/>
      <c r="U105" s="30"/>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1"/>
    </row>
    <row r="106" s="24" customFormat="1" spans="3:45">
      <c r="C106" s="25" t="s">
        <v>116</v>
      </c>
      <c r="D106" s="25"/>
      <c r="E106" s="26"/>
      <c r="F106" s="27">
        <f>F105*20</f>
        <v>13433.28</v>
      </c>
      <c r="G106" s="27">
        <f t="shared" ref="G106:M106" si="71">G105*20</f>
        <v>13603.44</v>
      </c>
      <c r="H106" s="27">
        <f t="shared" si="71"/>
        <v>13746.96</v>
      </c>
      <c r="I106" s="27">
        <f t="shared" si="71"/>
        <v>13825.86</v>
      </c>
      <c r="J106" s="27">
        <f t="shared" si="71"/>
        <v>13895.66</v>
      </c>
      <c r="K106" s="27">
        <f t="shared" si="71"/>
        <v>13911.12</v>
      </c>
      <c r="L106" s="27">
        <f t="shared" si="71"/>
        <v>13766.7</v>
      </c>
      <c r="M106" s="27">
        <f t="shared" si="71"/>
        <v>13504.44</v>
      </c>
      <c r="N106" s="27">
        <f>N105*1</f>
        <v>13353</v>
      </c>
      <c r="O106" s="27">
        <f>O105*1</f>
        <v>13063</v>
      </c>
      <c r="P106" s="27">
        <f>P105*1</f>
        <v>12630</v>
      </c>
      <c r="Q106" s="26"/>
      <c r="R106" s="27"/>
      <c r="S106" s="31"/>
      <c r="T106" s="31"/>
      <c r="U106" s="31"/>
      <c r="V106" s="27"/>
      <c r="W106" s="27">
        <v>694.869</v>
      </c>
      <c r="X106" s="27">
        <v>693.969</v>
      </c>
      <c r="Y106" s="27">
        <v>692.741</v>
      </c>
      <c r="Z106" s="27">
        <v>688.806</v>
      </c>
      <c r="AA106" s="27">
        <v>686.465</v>
      </c>
      <c r="AB106" s="27">
        <v>681.768</v>
      </c>
      <c r="AC106" s="27">
        <v>679.449</v>
      </c>
      <c r="AD106" s="27">
        <v>675.582</v>
      </c>
      <c r="AE106" s="27">
        <v>673.22</v>
      </c>
      <c r="AF106" s="27">
        <v>668.958</v>
      </c>
      <c r="AG106" s="27">
        <v>665.758</v>
      </c>
      <c r="AH106" s="27">
        <v>13253</v>
      </c>
      <c r="AI106" s="27">
        <v>13203</v>
      </c>
      <c r="AJ106" s="27">
        <v>13133</v>
      </c>
      <c r="AK106" s="27">
        <v>13018</v>
      </c>
      <c r="AL106" s="27">
        <v>12897</v>
      </c>
      <c r="AM106" s="27">
        <v>12781</v>
      </c>
      <c r="AN106" s="27">
        <v>12668</v>
      </c>
      <c r="AO106" s="27">
        <v>12581</v>
      </c>
      <c r="AP106" s="27">
        <v>12488</v>
      </c>
      <c r="AQ106" s="27">
        <v>12415</v>
      </c>
      <c r="AR106" s="27">
        <v>12343</v>
      </c>
      <c r="AS106" s="26"/>
    </row>
    <row r="107" s="7" customFormat="1" spans="3:45">
      <c r="C107" s="28" t="s">
        <v>117</v>
      </c>
      <c r="D107" s="29"/>
      <c r="E107" s="30"/>
      <c r="F107" s="30">
        <v>27.91</v>
      </c>
      <c r="G107" s="30">
        <v>26.25</v>
      </c>
      <c r="H107" s="30">
        <v>37.94</v>
      </c>
      <c r="I107" s="30">
        <v>38.59</v>
      </c>
      <c r="J107" s="30">
        <v>52.32</v>
      </c>
      <c r="K107" s="30">
        <v>51.78</v>
      </c>
      <c r="L107" s="30">
        <v>66.851</v>
      </c>
      <c r="M107" s="30">
        <v>87.594</v>
      </c>
      <c r="N107" s="30">
        <v>146</v>
      </c>
      <c r="O107" s="30">
        <v>88.73</v>
      </c>
      <c r="P107" s="30">
        <v>140.93</v>
      </c>
      <c r="Q107" s="30"/>
      <c r="R107" s="30"/>
      <c r="S107" s="30"/>
      <c r="T107" s="30">
        <f>((P107/F107)^(1/4)-1)*100</f>
        <v>49.9031999934266</v>
      </c>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row>
    <row r="108" s="8" customFormat="1" spans="3:45">
      <c r="C108" s="28" t="s">
        <v>12</v>
      </c>
      <c r="D108" s="28"/>
      <c r="E108" s="31"/>
      <c r="F108" s="31">
        <f t="shared" ref="F108:P108" si="72">IFERROR(F99/F106,0)</f>
        <v>0.947869768217442</v>
      </c>
      <c r="G108" s="31">
        <f t="shared" si="72"/>
        <v>1.03914892115524</v>
      </c>
      <c r="H108" s="31">
        <f t="shared" si="72"/>
        <v>1.18920837770678</v>
      </c>
      <c r="I108" s="31">
        <f t="shared" si="72"/>
        <v>1.4088092892594</v>
      </c>
      <c r="J108" s="31">
        <f t="shared" si="72"/>
        <v>0.911219762141561</v>
      </c>
      <c r="K108" s="31">
        <f t="shared" si="72"/>
        <v>2.20945545721696</v>
      </c>
      <c r="L108" s="31">
        <f t="shared" si="72"/>
        <v>2.49464287011412</v>
      </c>
      <c r="M108" s="31">
        <f t="shared" si="72"/>
        <v>2.98190817242329</v>
      </c>
      <c r="N108" s="31">
        <f t="shared" si="72"/>
        <v>5.69407623754961</v>
      </c>
      <c r="O108" s="31">
        <f t="shared" si="72"/>
        <v>4.59098216336217</v>
      </c>
      <c r="P108" s="31">
        <f t="shared" si="72"/>
        <v>5.84283452098179</v>
      </c>
      <c r="Q108" s="31"/>
      <c r="R108" s="31"/>
      <c r="S108" s="31"/>
      <c r="T108" s="31"/>
      <c r="U108" s="31"/>
      <c r="V108" s="31"/>
      <c r="W108" s="31">
        <f t="shared" ref="W108:AR108" si="73">IFERROR(W99/W106,0)</f>
        <v>9.58022303484542</v>
      </c>
      <c r="X108" s="31">
        <f t="shared" si="73"/>
        <v>14.3334932828412</v>
      </c>
      <c r="Y108" s="31">
        <f t="shared" si="73"/>
        <v>10.202947421908</v>
      </c>
      <c r="Z108" s="31">
        <f t="shared" si="73"/>
        <v>15.4920253307898</v>
      </c>
      <c r="AA108" s="31">
        <f t="shared" si="73"/>
        <v>9.95826444174138</v>
      </c>
      <c r="AB108" s="31">
        <f t="shared" si="73"/>
        <v>10.2072845894791</v>
      </c>
      <c r="AC108" s="31">
        <f t="shared" si="73"/>
        <v>16.5531187771268</v>
      </c>
      <c r="AD108" s="31">
        <f t="shared" si="73"/>
        <v>22.5390848187193</v>
      </c>
      <c r="AE108" s="31">
        <f t="shared" si="73"/>
        <v>26.6331956864027</v>
      </c>
      <c r="AF108" s="31">
        <f t="shared" si="73"/>
        <v>27.6923214910353</v>
      </c>
      <c r="AG108" s="31">
        <f t="shared" si="73"/>
        <v>28.4427674920917</v>
      </c>
      <c r="AH108" s="31">
        <f t="shared" si="73"/>
        <v>1.55753414321286</v>
      </c>
      <c r="AI108" s="31">
        <f t="shared" si="73"/>
        <v>1.24486859047186</v>
      </c>
      <c r="AJ108" s="31">
        <f t="shared" si="73"/>
        <v>1.21845732125181</v>
      </c>
      <c r="AK108" s="31">
        <f t="shared" si="73"/>
        <v>1.06852051006299</v>
      </c>
      <c r="AL108" s="31">
        <f t="shared" si="73"/>
        <v>1.05636969837947</v>
      </c>
      <c r="AM108" s="31">
        <f t="shared" si="73"/>
        <v>1.17760738596354</v>
      </c>
      <c r="AN108" s="31">
        <f t="shared" si="73"/>
        <v>1.44995263656457</v>
      </c>
      <c r="AO108" s="31">
        <f t="shared" si="73"/>
        <v>1.56497893649153</v>
      </c>
      <c r="AP108" s="31">
        <f t="shared" si="73"/>
        <v>1.65655028827675</v>
      </c>
      <c r="AQ108" s="31">
        <f t="shared" si="73"/>
        <v>1.90592025775272</v>
      </c>
      <c r="AR108" s="31">
        <f t="shared" si="73"/>
        <v>1.91355424127036</v>
      </c>
      <c r="AS108" s="31"/>
    </row>
    <row r="109" s="9" customFormat="1" spans="3:45">
      <c r="C109" s="32" t="s">
        <v>118</v>
      </c>
      <c r="D109" s="33"/>
      <c r="E109" s="34"/>
      <c r="F109" s="34">
        <f t="shared" ref="F109:P109" si="74">F107/F108</f>
        <v>29.4449732820231</v>
      </c>
      <c r="G109" s="34">
        <f t="shared" si="74"/>
        <v>25.2610568760611</v>
      </c>
      <c r="H109" s="34">
        <f t="shared" si="74"/>
        <v>31.903576119403</v>
      </c>
      <c r="I109" s="34">
        <f t="shared" si="74"/>
        <v>27.3919261423144</v>
      </c>
      <c r="J109" s="34">
        <f t="shared" si="74"/>
        <v>57.4175431369452</v>
      </c>
      <c r="K109" s="34">
        <f t="shared" si="74"/>
        <v>23.4356387818844</v>
      </c>
      <c r="L109" s="34">
        <f t="shared" si="74"/>
        <v>26.7978237690359</v>
      </c>
      <c r="M109" s="34">
        <f t="shared" si="74"/>
        <v>29.3751500499143</v>
      </c>
      <c r="N109" s="34">
        <f t="shared" si="74"/>
        <v>25.6406823353018</v>
      </c>
      <c r="O109" s="34">
        <f t="shared" si="74"/>
        <v>19.3270191089175</v>
      </c>
      <c r="P109" s="34">
        <f t="shared" si="74"/>
        <v>24.1201422860627</v>
      </c>
      <c r="Q109" s="34"/>
      <c r="R109" s="34">
        <f>AVERAGE(E109:Q109)</f>
        <v>29.1014119898058</v>
      </c>
      <c r="S109" s="86"/>
      <c r="T109" s="86"/>
      <c r="U109" s="86">
        <f>_xlfn.STDEV.S(E109:Q109)</f>
        <v>9.98626557642105</v>
      </c>
      <c r="V109" s="86">
        <f>R109-U109</f>
        <v>19.1151464133847</v>
      </c>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row>
    <row r="110" s="71" customFormat="1" spans="3:45">
      <c r="C110" s="28" t="s">
        <v>119</v>
      </c>
      <c r="D110" s="89"/>
      <c r="E110" s="85"/>
      <c r="F110" s="85">
        <f t="shared" ref="F110:M110" si="75">F79/(F106*20)</f>
        <v>0.206647222420734</v>
      </c>
      <c r="G110" s="85">
        <f t="shared" si="75"/>
        <v>0.242589374452344</v>
      </c>
      <c r="H110" s="85">
        <f t="shared" si="75"/>
        <v>0.272747574736524</v>
      </c>
      <c r="I110" s="85">
        <f t="shared" si="75"/>
        <v>0.326460704795217</v>
      </c>
      <c r="J110" s="85">
        <f t="shared" si="75"/>
        <v>0.398883536298384</v>
      </c>
      <c r="K110" s="85">
        <f t="shared" si="75"/>
        <v>0.491761267245197</v>
      </c>
      <c r="L110" s="85">
        <f t="shared" si="75"/>
        <v>0.587856930128498</v>
      </c>
      <c r="M110" s="85">
        <f t="shared" si="75"/>
        <v>0.675803661610552</v>
      </c>
      <c r="N110" s="85">
        <f>N79/N106</f>
        <v>19.294315884071</v>
      </c>
      <c r="O110" s="85">
        <f>O79/O106</f>
        <v>21.6516879736661</v>
      </c>
      <c r="P110" s="85">
        <f>P79/P106</f>
        <v>24.3384006334125</v>
      </c>
      <c r="Q110" s="85"/>
      <c r="R110" s="85"/>
      <c r="S110" s="85"/>
      <c r="T110" s="85"/>
      <c r="U110" s="85"/>
      <c r="V110" s="85"/>
      <c r="W110" s="85"/>
      <c r="X110" s="85"/>
      <c r="Y110" s="85"/>
      <c r="Z110" s="85"/>
      <c r="AA110" s="85"/>
      <c r="AB110" s="85"/>
      <c r="AC110" s="85"/>
      <c r="AD110" s="85"/>
      <c r="AE110" s="85"/>
      <c r="AF110" s="85"/>
      <c r="AG110" s="85"/>
      <c r="AH110" s="85"/>
      <c r="AI110" s="85"/>
      <c r="AJ110" s="85"/>
      <c r="AK110" s="85"/>
      <c r="AL110" s="85"/>
      <c r="AM110" s="85"/>
      <c r="AN110" s="85"/>
      <c r="AO110" s="85"/>
      <c r="AP110" s="85"/>
      <c r="AQ110" s="85"/>
      <c r="AR110" s="85"/>
      <c r="AS110" s="85"/>
    </row>
    <row r="111" s="9" customFormat="1" spans="3:45">
      <c r="C111" s="32" t="s">
        <v>120</v>
      </c>
      <c r="D111" s="33"/>
      <c r="E111" s="34"/>
      <c r="F111" s="34">
        <f t="shared" ref="F111:P111" si="76">F107/F110</f>
        <v>135.061094328068</v>
      </c>
      <c r="G111" s="34">
        <f t="shared" si="76"/>
        <v>108.207542309965</v>
      </c>
      <c r="H111" s="34">
        <f t="shared" si="76"/>
        <v>139.102978410167</v>
      </c>
      <c r="I111" s="34">
        <f t="shared" si="76"/>
        <v>118.207182160581</v>
      </c>
      <c r="J111" s="34">
        <f t="shared" si="76"/>
        <v>131.166105489152</v>
      </c>
      <c r="K111" s="34">
        <f t="shared" si="76"/>
        <v>105.294994642557</v>
      </c>
      <c r="L111" s="34">
        <f t="shared" si="76"/>
        <v>113.719846741259</v>
      </c>
      <c r="M111" s="34">
        <f t="shared" si="76"/>
        <v>129.614568514247</v>
      </c>
      <c r="N111" s="34">
        <f t="shared" si="76"/>
        <v>7.56699542379394</v>
      </c>
      <c r="O111" s="34">
        <f t="shared" si="76"/>
        <v>4.09806386032895</v>
      </c>
      <c r="P111" s="34">
        <f t="shared" si="76"/>
        <v>5.7904380046455</v>
      </c>
      <c r="Q111" s="34"/>
      <c r="R111" s="34">
        <f t="shared" ref="R111:R116" si="77">AVERAGE(E111:Q111)</f>
        <v>90.7118008986149</v>
      </c>
      <c r="S111" s="86"/>
      <c r="T111" s="86"/>
      <c r="U111" s="86">
        <f>_xlfn.STDEV.S(E111:Q111)</f>
        <v>55.5781563612926</v>
      </c>
      <c r="V111" s="86">
        <f>R111-U111</f>
        <v>35.1336445373223</v>
      </c>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row>
    <row r="112" s="10" customFormat="1" spans="3:45">
      <c r="C112" s="27"/>
      <c r="D112" s="12"/>
      <c r="E112" s="12"/>
      <c r="F112" s="12"/>
      <c r="G112" s="12"/>
      <c r="H112" s="12"/>
      <c r="I112" s="12"/>
      <c r="J112" s="12"/>
      <c r="K112" s="12"/>
      <c r="L112" s="12"/>
      <c r="M112" s="12"/>
      <c r="N112" s="12"/>
      <c r="O112" s="12"/>
      <c r="P112" s="12"/>
      <c r="Q112" s="12"/>
      <c r="R112" s="94"/>
      <c r="S112" s="30"/>
      <c r="T112" s="30"/>
      <c r="U112" s="30"/>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row>
    <row r="113" s="10" customFormat="1" spans="3:45">
      <c r="C113" s="90" t="s">
        <v>121</v>
      </c>
      <c r="D113" s="91"/>
      <c r="E113" s="12"/>
      <c r="F113" s="12">
        <f t="shared" ref="F113:P113" si="78">F106*F107</f>
        <v>374922.8448</v>
      </c>
      <c r="G113" s="12">
        <f t="shared" si="78"/>
        <v>357090.3</v>
      </c>
      <c r="H113" s="12">
        <f t="shared" si="78"/>
        <v>521559.6624</v>
      </c>
      <c r="I113" s="12">
        <f t="shared" si="78"/>
        <v>533539.9374</v>
      </c>
      <c r="J113" s="12">
        <f t="shared" si="78"/>
        <v>727020.9312</v>
      </c>
      <c r="K113" s="12">
        <f t="shared" si="78"/>
        <v>720317.7936</v>
      </c>
      <c r="L113" s="12">
        <f t="shared" si="78"/>
        <v>920317.6617</v>
      </c>
      <c r="M113" s="12">
        <f t="shared" si="78"/>
        <v>1182907.91736</v>
      </c>
      <c r="N113" s="12">
        <f t="shared" si="78"/>
        <v>1949538</v>
      </c>
      <c r="O113" s="12">
        <f t="shared" si="78"/>
        <v>1159079.99</v>
      </c>
      <c r="P113" s="12">
        <f t="shared" si="78"/>
        <v>1779945.9</v>
      </c>
      <c r="Q113" s="12"/>
      <c r="R113" s="12"/>
      <c r="S113" s="30"/>
      <c r="T113" s="30"/>
      <c r="U113" s="30"/>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row>
    <row r="114" s="10" customFormat="1" spans="3:45">
      <c r="C114" s="90" t="s">
        <v>122</v>
      </c>
      <c r="D114" s="91"/>
      <c r="E114" s="12"/>
      <c r="F114" s="12">
        <f>F113+F149-(F122+F123+F129)</f>
        <v>316465.8448</v>
      </c>
      <c r="G114" s="12">
        <f t="shared" ref="F114:P114" si="79">G113+G149-(G122+G123+G129)</f>
        <v>292844.3</v>
      </c>
      <c r="H114" s="12">
        <f t="shared" si="79"/>
        <v>445305.6624</v>
      </c>
      <c r="I114" s="12">
        <f t="shared" si="79"/>
        <v>445263.9374</v>
      </c>
      <c r="J114" s="12">
        <f t="shared" si="79"/>
        <v>621305.9312</v>
      </c>
      <c r="K114" s="12">
        <f t="shared" si="79"/>
        <v>601330.7936</v>
      </c>
      <c r="L114" s="12">
        <f t="shared" si="79"/>
        <v>792118.6617</v>
      </c>
      <c r="M114" s="12">
        <f t="shared" si="79"/>
        <v>1039442.91736</v>
      </c>
      <c r="N114" s="12">
        <f t="shared" si="79"/>
        <v>1795157</v>
      </c>
      <c r="O114" s="12">
        <f t="shared" si="79"/>
        <v>1029526.99</v>
      </c>
      <c r="P114" s="12">
        <f t="shared" si="79"/>
        <v>1651274.9</v>
      </c>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row>
    <row r="115" s="50" customFormat="1" spans="3:45">
      <c r="C115" s="92" t="s">
        <v>123</v>
      </c>
      <c r="D115" s="93"/>
      <c r="E115" s="78"/>
      <c r="F115" s="34">
        <f>F114/(F90+F181+F182)</f>
        <v>16.3615885017061</v>
      </c>
      <c r="G115" s="34">
        <f>G114/(G90+G181+G182)</f>
        <v>13.6365215366705</v>
      </c>
      <c r="H115" s="34">
        <f>H114/(H90+H181+H182)</f>
        <v>18.233045178725</v>
      </c>
      <c r="I115" s="34">
        <f>I114/(I90+I181+I182)</f>
        <v>14.9117192699263</v>
      </c>
      <c r="J115" s="34">
        <f>J114/(J90+J181+J182)</f>
        <v>18.7745423866074</v>
      </c>
      <c r="K115" s="34">
        <f>K114/(K90+K182+K183)</f>
        <v>15.9301365264385</v>
      </c>
      <c r="L115" s="34">
        <f>L114/(L90+L181+L182)</f>
        <v>17.2154799117621</v>
      </c>
      <c r="M115" s="34">
        <f>M114/(M90+M181+M182)</f>
        <v>18.9261469630924</v>
      </c>
      <c r="N115" s="34">
        <f>N114/(N90+N181+N182)</f>
        <v>20.1732500252846</v>
      </c>
      <c r="O115" s="34">
        <f>O114/(O90+O181+O182)</f>
        <v>11.6571780064993</v>
      </c>
      <c r="P115" s="34">
        <f>P114/(P90+P181+P182)</f>
        <v>17.1580637787176</v>
      </c>
      <c r="Q115" s="78"/>
      <c r="R115" s="34">
        <f t="shared" si="77"/>
        <v>16.6343338259482</v>
      </c>
      <c r="S115" s="86"/>
      <c r="T115" s="86"/>
      <c r="U115" s="86"/>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78"/>
    </row>
    <row r="116" s="50" customFormat="1" spans="3:45">
      <c r="C116" s="92" t="s">
        <v>124</v>
      </c>
      <c r="D116" s="93"/>
      <c r="E116" s="78"/>
      <c r="F116" s="34">
        <f t="shared" ref="F116:P116" si="80">F114/F79</f>
        <v>5.70013589581945</v>
      </c>
      <c r="G116" s="34">
        <f t="shared" si="80"/>
        <v>4.4369676217027</v>
      </c>
      <c r="H116" s="34">
        <f t="shared" si="80"/>
        <v>5.93827977970102</v>
      </c>
      <c r="I116" s="34">
        <f t="shared" si="80"/>
        <v>4.93247006159163</v>
      </c>
      <c r="J116" s="34">
        <f t="shared" si="80"/>
        <v>5.60467215010599</v>
      </c>
      <c r="K116" s="34">
        <f t="shared" si="80"/>
        <v>4.39508250754647</v>
      </c>
      <c r="L116" s="34">
        <f t="shared" si="80"/>
        <v>4.89394132907443</v>
      </c>
      <c r="M116" s="34">
        <f t="shared" si="80"/>
        <v>5.69473512061229</v>
      </c>
      <c r="N116" s="34">
        <f t="shared" si="80"/>
        <v>6.96777636752485</v>
      </c>
      <c r="O116" s="34">
        <f t="shared" si="80"/>
        <v>3.64001396569036</v>
      </c>
      <c r="P116" s="34">
        <f t="shared" si="80"/>
        <v>5.3718514349662</v>
      </c>
      <c r="Q116" s="78"/>
      <c r="R116" s="34">
        <f t="shared" si="77"/>
        <v>5.23417511221231</v>
      </c>
      <c r="S116" s="86"/>
      <c r="T116" s="86"/>
      <c r="U116" s="86"/>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78"/>
    </row>
    <row r="120" ht="15.75" spans="2:2">
      <c r="B120" s="16" t="s">
        <v>125</v>
      </c>
    </row>
    <row r="121" spans="2:2">
      <c r="B121" t="s">
        <v>126</v>
      </c>
    </row>
    <row r="122" spans="3:44">
      <c r="C122" t="s">
        <v>127</v>
      </c>
      <c r="F122" s="12">
        <v>18898</v>
      </c>
      <c r="G122" s="12">
        <v>18347</v>
      </c>
      <c r="H122" s="12">
        <v>16549</v>
      </c>
      <c r="I122" s="12">
        <v>12918</v>
      </c>
      <c r="J122" s="12">
        <v>10715</v>
      </c>
      <c r="K122" s="12">
        <v>16701</v>
      </c>
      <c r="L122" s="12">
        <v>18498</v>
      </c>
      <c r="M122" s="12">
        <v>26465</v>
      </c>
      <c r="N122" s="12">
        <v>20945</v>
      </c>
      <c r="O122" s="12">
        <v>21879</v>
      </c>
      <c r="P122" s="12">
        <v>24048</v>
      </c>
      <c r="Z122" s="12">
        <v>18498</v>
      </c>
      <c r="AA122" s="12">
        <v>19644</v>
      </c>
      <c r="AB122" s="12">
        <v>17742</v>
      </c>
      <c r="AC122" s="12">
        <v>20129</v>
      </c>
      <c r="AD122" s="12">
        <v>26465</v>
      </c>
      <c r="AE122" s="12">
        <v>26622</v>
      </c>
      <c r="AF122" s="12">
        <v>23630</v>
      </c>
      <c r="AG122" s="12">
        <v>23719</v>
      </c>
      <c r="AH122" s="12">
        <v>20945</v>
      </c>
      <c r="AI122" s="12">
        <v>20886</v>
      </c>
      <c r="AJ122" s="12">
        <v>17936</v>
      </c>
      <c r="AK122" s="12">
        <v>21984</v>
      </c>
      <c r="AL122" s="12">
        <v>21879</v>
      </c>
      <c r="AM122" s="12">
        <v>25924</v>
      </c>
      <c r="AN122" s="12">
        <v>25929</v>
      </c>
      <c r="AO122" s="12">
        <v>30702</v>
      </c>
      <c r="AP122" s="12">
        <v>24048</v>
      </c>
      <c r="AQ122" s="12">
        <v>24493</v>
      </c>
      <c r="AR122" s="12">
        <v>27225</v>
      </c>
    </row>
    <row r="123" spans="3:44">
      <c r="C123" t="s">
        <v>128</v>
      </c>
      <c r="F123" s="12">
        <v>39819</v>
      </c>
      <c r="G123" s="12">
        <v>46048</v>
      </c>
      <c r="H123" s="12">
        <v>56517</v>
      </c>
      <c r="I123" s="12">
        <v>73415</v>
      </c>
      <c r="J123" s="12">
        <v>91156</v>
      </c>
      <c r="K123" s="12">
        <v>92439</v>
      </c>
      <c r="L123" s="12">
        <v>101177</v>
      </c>
      <c r="M123" s="12">
        <v>110229</v>
      </c>
      <c r="N123" s="12">
        <v>118704</v>
      </c>
      <c r="O123" s="12">
        <v>91883</v>
      </c>
      <c r="P123" s="12">
        <v>86868</v>
      </c>
      <c r="Z123" s="12">
        <v>101177</v>
      </c>
      <c r="AA123" s="12">
        <v>97585</v>
      </c>
      <c r="AB123" s="12">
        <v>103338</v>
      </c>
      <c r="AC123" s="12">
        <v>112467</v>
      </c>
      <c r="AD123" s="12">
        <v>110229</v>
      </c>
      <c r="AE123" s="12">
        <v>108482</v>
      </c>
      <c r="AF123" s="12">
        <v>112233</v>
      </c>
      <c r="AG123" s="12">
        <v>118284</v>
      </c>
      <c r="AH123" s="12">
        <v>118704</v>
      </c>
      <c r="AI123" s="12">
        <v>113084</v>
      </c>
      <c r="AJ123" s="12">
        <v>107061</v>
      </c>
      <c r="AK123" s="12">
        <v>94275</v>
      </c>
      <c r="AL123" s="12">
        <v>91883</v>
      </c>
      <c r="AM123" s="12">
        <v>89178</v>
      </c>
      <c r="AN123" s="12">
        <v>92403</v>
      </c>
      <c r="AO123" s="12">
        <v>89233</v>
      </c>
      <c r="AP123" s="12">
        <v>86868</v>
      </c>
      <c r="AQ123" s="12">
        <v>83597</v>
      </c>
      <c r="AR123" s="12">
        <v>73500</v>
      </c>
    </row>
    <row r="124" spans="3:44">
      <c r="C124" t="s">
        <v>129</v>
      </c>
      <c r="F124" s="12">
        <v>8882</v>
      </c>
      <c r="G124" s="12">
        <v>9383</v>
      </c>
      <c r="H124" s="12">
        <v>11556</v>
      </c>
      <c r="I124" s="12">
        <v>14137</v>
      </c>
      <c r="J124" s="12">
        <v>18336</v>
      </c>
      <c r="K124" s="12">
        <v>20838</v>
      </c>
      <c r="L124" s="12">
        <v>25326</v>
      </c>
      <c r="M124" s="12">
        <v>30930</v>
      </c>
      <c r="N124" s="12">
        <v>39304</v>
      </c>
      <c r="O124" s="12">
        <v>40258</v>
      </c>
      <c r="P124" s="12">
        <v>47964</v>
      </c>
      <c r="Z124" s="12">
        <v>25326</v>
      </c>
      <c r="AA124" s="12">
        <v>21825</v>
      </c>
      <c r="AB124" s="12">
        <v>21201</v>
      </c>
      <c r="AC124" s="12">
        <v>24925</v>
      </c>
      <c r="AD124" s="12">
        <v>30930</v>
      </c>
      <c r="AE124" s="12">
        <v>28006</v>
      </c>
      <c r="AF124" s="12">
        <v>31967</v>
      </c>
      <c r="AG124" s="12">
        <v>34047</v>
      </c>
      <c r="AH124" s="12">
        <v>39304</v>
      </c>
      <c r="AI124" s="12">
        <v>34703</v>
      </c>
      <c r="AJ124" s="12">
        <v>35707</v>
      </c>
      <c r="AK124" s="12">
        <v>34697</v>
      </c>
      <c r="AL124" s="12">
        <v>40258</v>
      </c>
      <c r="AM124" s="12">
        <v>36036</v>
      </c>
      <c r="AN124" s="12">
        <v>38804</v>
      </c>
      <c r="AO124" s="12">
        <v>41020</v>
      </c>
      <c r="AP124" s="12">
        <v>47964</v>
      </c>
      <c r="AQ124" s="12">
        <v>44552</v>
      </c>
      <c r="AR124" s="12">
        <v>47087</v>
      </c>
    </row>
    <row r="125" spans="3:44">
      <c r="C125" t="s">
        <v>130</v>
      </c>
      <c r="D125"/>
      <c r="F125" s="12">
        <f>100+1526+408+3253</f>
        <v>5287</v>
      </c>
      <c r="G125" s="12">
        <f>875+591+3412</f>
        <v>4878</v>
      </c>
      <c r="H125" s="12">
        <f>450+1903+491+2648</f>
        <v>5492</v>
      </c>
      <c r="I125" s="12">
        <f>95+268+4575</f>
        <v>4938</v>
      </c>
      <c r="J125" s="12">
        <f>369+749+2983</f>
        <v>4101</v>
      </c>
      <c r="K125" s="12">
        <f>355+1107+4236</f>
        <v>5698</v>
      </c>
      <c r="L125" s="12">
        <f>2166+999+4412</f>
        <v>7577</v>
      </c>
      <c r="M125" s="12">
        <f>454+728+5490</f>
        <v>6672</v>
      </c>
      <c r="N125" s="12">
        <f>1170+8020</f>
        <v>9190</v>
      </c>
      <c r="O125" s="12">
        <f>2670+8105</f>
        <v>10775</v>
      </c>
      <c r="P125" s="12">
        <v>12650</v>
      </c>
      <c r="Z125" s="12">
        <f>2166+999+4412</f>
        <v>7577</v>
      </c>
      <c r="AA125" s="12">
        <f>1910+889+5165</f>
        <v>7964</v>
      </c>
      <c r="AB125" s="12">
        <f>394+815+5579</f>
        <v>6788</v>
      </c>
      <c r="AC125" s="12">
        <f>588+835+5425</f>
        <v>6848</v>
      </c>
      <c r="AD125" s="12">
        <f>454+728+5490</f>
        <v>6672</v>
      </c>
      <c r="AE125" s="12">
        <f>493+888+7646</f>
        <v>9027</v>
      </c>
      <c r="AF125" s="12">
        <f>884+907+6076</f>
        <v>7867</v>
      </c>
      <c r="AG125" s="12">
        <f>753+1278+6029</f>
        <v>8060</v>
      </c>
      <c r="AH125" s="12">
        <f>1170+8020</f>
        <v>9190</v>
      </c>
      <c r="AI125" s="12">
        <f>919+1369+6892</f>
        <v>9180</v>
      </c>
      <c r="AJ125" s="12">
        <f>1366+1980+8321</f>
        <v>11667</v>
      </c>
      <c r="AK125" s="12">
        <f>1479+3156+10518</f>
        <v>15153</v>
      </c>
      <c r="AL125" s="12">
        <f>2670+8105</f>
        <v>10775</v>
      </c>
      <c r="AM125" s="12">
        <f>2315+8532</f>
        <v>10847</v>
      </c>
      <c r="AN125" s="12">
        <f>2231+9421</f>
        <v>11652</v>
      </c>
      <c r="AO125" s="12">
        <f>2957+12398</f>
        <v>15355</v>
      </c>
      <c r="AP125" s="12">
        <v>12650</v>
      </c>
      <c r="AQ125" s="12">
        <v>12829</v>
      </c>
      <c r="AR125" s="12">
        <v>14183</v>
      </c>
    </row>
    <row r="126" spans="2:44">
      <c r="B126" t="s">
        <v>131</v>
      </c>
      <c r="F126" s="17">
        <f t="shared" ref="F126:L126" si="81">SUM(F122:F125)</f>
        <v>72886</v>
      </c>
      <c r="G126" s="17">
        <f t="shared" si="81"/>
        <v>78656</v>
      </c>
      <c r="H126" s="17">
        <f t="shared" si="81"/>
        <v>90114</v>
      </c>
      <c r="I126" s="17">
        <f t="shared" si="81"/>
        <v>105408</v>
      </c>
      <c r="J126" s="17">
        <f t="shared" si="81"/>
        <v>124308</v>
      </c>
      <c r="K126" s="17">
        <f t="shared" si="81"/>
        <v>135676</v>
      </c>
      <c r="L126" s="17">
        <f t="shared" si="81"/>
        <v>152578</v>
      </c>
      <c r="M126" s="17">
        <f t="shared" ref="L126:P126" si="82">SUM(M122:M125)</f>
        <v>174296</v>
      </c>
      <c r="N126" s="17">
        <f t="shared" si="82"/>
        <v>188143</v>
      </c>
      <c r="O126" s="17">
        <f t="shared" si="82"/>
        <v>164795</v>
      </c>
      <c r="P126" s="17">
        <f t="shared" si="82"/>
        <v>171530</v>
      </c>
      <c r="W126" s="17">
        <f t="shared" ref="W126:AR126" si="83">SUM(W122:W125)</f>
        <v>0</v>
      </c>
      <c r="X126" s="17">
        <f t="shared" si="83"/>
        <v>0</v>
      </c>
      <c r="Y126" s="17">
        <f t="shared" si="83"/>
        <v>0</v>
      </c>
      <c r="Z126" s="17">
        <f t="shared" si="83"/>
        <v>152578</v>
      </c>
      <c r="AA126" s="17">
        <f t="shared" si="83"/>
        <v>147018</v>
      </c>
      <c r="AB126" s="17">
        <f t="shared" si="83"/>
        <v>149069</v>
      </c>
      <c r="AC126" s="17">
        <f t="shared" si="83"/>
        <v>164369</v>
      </c>
      <c r="AD126" s="17">
        <f t="shared" si="83"/>
        <v>174296</v>
      </c>
      <c r="AE126" s="17">
        <f t="shared" si="83"/>
        <v>172137</v>
      </c>
      <c r="AF126" s="17">
        <f t="shared" si="83"/>
        <v>175697</v>
      </c>
      <c r="AG126" s="17">
        <f t="shared" si="83"/>
        <v>184110</v>
      </c>
      <c r="AH126" s="17">
        <f t="shared" si="83"/>
        <v>188143</v>
      </c>
      <c r="AI126" s="17">
        <f t="shared" si="83"/>
        <v>177853</v>
      </c>
      <c r="AJ126" s="17">
        <f t="shared" si="83"/>
        <v>172371</v>
      </c>
      <c r="AK126" s="17">
        <f t="shared" si="83"/>
        <v>166109</v>
      </c>
      <c r="AL126" s="17">
        <f t="shared" si="83"/>
        <v>164795</v>
      </c>
      <c r="AM126" s="17">
        <f t="shared" si="83"/>
        <v>161985</v>
      </c>
      <c r="AN126" s="17">
        <f t="shared" si="83"/>
        <v>168788</v>
      </c>
      <c r="AO126" s="17">
        <f t="shared" si="83"/>
        <v>176310</v>
      </c>
      <c r="AP126" s="17">
        <f t="shared" si="83"/>
        <v>171530</v>
      </c>
      <c r="AQ126" s="17">
        <f t="shared" si="83"/>
        <v>165471</v>
      </c>
      <c r="AR126" s="17">
        <f t="shared" si="83"/>
        <v>161995</v>
      </c>
    </row>
    <row r="128" spans="2:2">
      <c r="B128" t="s">
        <v>132</v>
      </c>
    </row>
    <row r="129" spans="3:44">
      <c r="C129" t="s">
        <v>133</v>
      </c>
      <c r="F129" s="12">
        <v>1976</v>
      </c>
      <c r="G129" s="12">
        <v>3079</v>
      </c>
      <c r="H129" s="12">
        <v>5183</v>
      </c>
      <c r="I129" s="12">
        <v>5878</v>
      </c>
      <c r="J129" s="12">
        <v>7813</v>
      </c>
      <c r="K129" s="12">
        <v>13859</v>
      </c>
      <c r="L129" s="12">
        <v>13078</v>
      </c>
      <c r="M129" s="12">
        <v>20703</v>
      </c>
      <c r="N129" s="12">
        <v>29549</v>
      </c>
      <c r="O129" s="12">
        <v>30492</v>
      </c>
      <c r="P129" s="12">
        <v>31008</v>
      </c>
      <c r="Z129" s="12">
        <v>13078</v>
      </c>
      <c r="AA129" s="12">
        <v>12367</v>
      </c>
      <c r="AB129" s="12">
        <v>12961</v>
      </c>
      <c r="AC129" s="12">
        <v>14656</v>
      </c>
      <c r="AD129" s="12">
        <v>20703</v>
      </c>
      <c r="AE129" s="12">
        <v>25294</v>
      </c>
      <c r="AF129" s="12">
        <v>25532</v>
      </c>
      <c r="AG129" s="12">
        <v>26101</v>
      </c>
      <c r="AH129" s="12">
        <v>29549</v>
      </c>
      <c r="AI129" s="12">
        <v>30544</v>
      </c>
      <c r="AJ129" s="12">
        <v>30665</v>
      </c>
      <c r="AK129" s="12">
        <v>30419</v>
      </c>
      <c r="AL129" s="12">
        <v>30492</v>
      </c>
      <c r="AM129" s="12">
        <v>31213</v>
      </c>
      <c r="AN129" s="12">
        <v>31224</v>
      </c>
      <c r="AO129" s="12">
        <v>30907</v>
      </c>
      <c r="AP129" s="12">
        <v>31008</v>
      </c>
      <c r="AQ129" s="12">
        <v>33994</v>
      </c>
      <c r="AR129" s="12">
        <v>34172</v>
      </c>
    </row>
    <row r="130" spans="3:44">
      <c r="C130" t="s">
        <v>134</v>
      </c>
      <c r="F130" s="12">
        <v>0</v>
      </c>
      <c r="G130" s="12">
        <v>176</v>
      </c>
      <c r="H130" s="12">
        <v>251</v>
      </c>
      <c r="I130" s="12">
        <v>383</v>
      </c>
      <c r="J130" s="12">
        <v>680</v>
      </c>
      <c r="K130" s="12">
        <v>737</v>
      </c>
      <c r="L130" s="12">
        <v>721</v>
      </c>
      <c r="M130" s="12">
        <v>1084</v>
      </c>
      <c r="N130" s="12">
        <v>1284</v>
      </c>
      <c r="O130" s="12">
        <v>5261</v>
      </c>
      <c r="P130" s="12">
        <v>12169</v>
      </c>
      <c r="Z130" s="12">
        <v>721</v>
      </c>
      <c r="AA130" s="12">
        <v>730</v>
      </c>
      <c r="AB130" s="12">
        <v>895</v>
      </c>
      <c r="AC130" s="12">
        <v>972</v>
      </c>
      <c r="AD130" s="12">
        <v>1084</v>
      </c>
      <c r="AE130" s="12">
        <v>1129</v>
      </c>
      <c r="AF130" s="12">
        <v>1153</v>
      </c>
      <c r="AG130" s="12">
        <v>1195</v>
      </c>
      <c r="AH130" s="12">
        <v>1284</v>
      </c>
      <c r="AI130" s="12">
        <v>1388</v>
      </c>
      <c r="AJ130" s="12">
        <v>1490</v>
      </c>
      <c r="AK130" s="12">
        <v>2991</v>
      </c>
      <c r="AL130" s="12">
        <v>5261</v>
      </c>
      <c r="AM130" s="12">
        <v>6885</v>
      </c>
      <c r="AN130" s="12">
        <v>9357</v>
      </c>
      <c r="AO130" s="12">
        <v>10983</v>
      </c>
      <c r="AP130" s="12">
        <v>12169</v>
      </c>
      <c r="AQ130" s="12">
        <v>11687</v>
      </c>
      <c r="AR130" s="12">
        <v>14958</v>
      </c>
    </row>
    <row r="131" spans="3:44">
      <c r="C131" t="s">
        <v>135</v>
      </c>
      <c r="F131" s="12">
        <v>16524</v>
      </c>
      <c r="G131" s="12">
        <v>23883</v>
      </c>
      <c r="H131" s="12">
        <v>29016</v>
      </c>
      <c r="I131" s="12">
        <v>34234</v>
      </c>
      <c r="J131" s="12">
        <v>42383</v>
      </c>
      <c r="K131" s="12">
        <v>59719</v>
      </c>
      <c r="L131" s="12">
        <v>73646</v>
      </c>
      <c r="M131" s="12">
        <v>84749</v>
      </c>
      <c r="N131" s="12">
        <v>97599</v>
      </c>
      <c r="O131" s="12">
        <v>112668</v>
      </c>
      <c r="P131" s="12">
        <v>134345</v>
      </c>
      <c r="Z131" s="12">
        <v>73646</v>
      </c>
      <c r="AA131" s="12">
        <v>76747</v>
      </c>
      <c r="AB131" s="12">
        <v>78748</v>
      </c>
      <c r="AC131" s="12">
        <v>81636</v>
      </c>
      <c r="AD131" s="12">
        <v>84749</v>
      </c>
      <c r="AE131" s="12">
        <v>87606</v>
      </c>
      <c r="AF131" s="12">
        <v>91697</v>
      </c>
      <c r="AG131" s="12">
        <v>94631</v>
      </c>
      <c r="AH131" s="12">
        <v>97599</v>
      </c>
      <c r="AI131" s="12">
        <v>104218</v>
      </c>
      <c r="AJ131" s="12">
        <v>106223</v>
      </c>
      <c r="AK131" s="12">
        <v>108363</v>
      </c>
      <c r="AL131" s="12">
        <v>112668</v>
      </c>
      <c r="AM131" s="12">
        <v>117560</v>
      </c>
      <c r="AN131" s="12">
        <v>121208</v>
      </c>
      <c r="AO131" s="12">
        <v>125705</v>
      </c>
      <c r="AP131" s="12">
        <v>134345</v>
      </c>
      <c r="AQ131" s="12">
        <v>143182</v>
      </c>
      <c r="AR131" s="12">
        <v>151155</v>
      </c>
    </row>
    <row r="132" spans="3:44">
      <c r="C132" t="s">
        <v>136</v>
      </c>
      <c r="F132" s="12">
        <v>0</v>
      </c>
      <c r="G132" s="12">
        <v>0</v>
      </c>
      <c r="H132" s="12">
        <v>0</v>
      </c>
      <c r="I132" s="12">
        <v>0</v>
      </c>
      <c r="J132" s="12">
        <v>0</v>
      </c>
      <c r="K132" s="12">
        <v>0</v>
      </c>
      <c r="L132" s="12">
        <v>10941</v>
      </c>
      <c r="M132" s="12">
        <v>12211</v>
      </c>
      <c r="N132" s="12">
        <v>12959</v>
      </c>
      <c r="O132" s="12">
        <v>14381</v>
      </c>
      <c r="P132" s="12">
        <v>14091</v>
      </c>
      <c r="Z132" s="12">
        <v>10941</v>
      </c>
      <c r="AA132" s="12">
        <v>11219</v>
      </c>
      <c r="AB132" s="12">
        <v>11567</v>
      </c>
      <c r="AC132" s="12">
        <v>11946</v>
      </c>
      <c r="AD132" s="12">
        <v>12211</v>
      </c>
      <c r="AE132" s="12">
        <v>12598</v>
      </c>
      <c r="AF132" s="12">
        <v>12978</v>
      </c>
      <c r="AG132" s="12">
        <v>12918</v>
      </c>
      <c r="AH132" s="12">
        <v>12959</v>
      </c>
      <c r="AI132" s="12">
        <v>12992</v>
      </c>
      <c r="AJ132" s="12">
        <v>13398</v>
      </c>
      <c r="AK132" s="12">
        <v>13677</v>
      </c>
      <c r="AL132" s="12">
        <v>14381</v>
      </c>
      <c r="AM132" s="12">
        <v>14447</v>
      </c>
      <c r="AN132" s="12">
        <v>14469</v>
      </c>
      <c r="AO132" s="12">
        <v>14199</v>
      </c>
      <c r="AP132" s="12">
        <v>14091</v>
      </c>
      <c r="AQ132" s="12">
        <v>13768</v>
      </c>
      <c r="AR132" s="12">
        <v>13606</v>
      </c>
    </row>
    <row r="133" spans="3:44">
      <c r="C133" t="s">
        <v>137</v>
      </c>
      <c r="F133" s="12">
        <v>6066</v>
      </c>
      <c r="G133" s="12">
        <v>4607</v>
      </c>
      <c r="H133" s="12">
        <v>3847</v>
      </c>
      <c r="I133" s="12">
        <v>3307</v>
      </c>
      <c r="J133" s="12">
        <v>2692</v>
      </c>
      <c r="K133" s="12">
        <v>2220</v>
      </c>
      <c r="L133" s="12">
        <v>1979</v>
      </c>
      <c r="M133" s="12">
        <v>1445</v>
      </c>
      <c r="N133" s="12">
        <v>1417</v>
      </c>
      <c r="O133" s="12">
        <v>2084</v>
      </c>
      <c r="P133" s="12">
        <v>0</v>
      </c>
      <c r="Z133" s="12">
        <v>1979</v>
      </c>
      <c r="AA133" s="12">
        <v>1840</v>
      </c>
      <c r="AB133" s="12">
        <v>1697</v>
      </c>
      <c r="AC133" s="12">
        <v>1520</v>
      </c>
      <c r="AD133" s="12">
        <v>1445</v>
      </c>
      <c r="AE133" s="12">
        <v>1823</v>
      </c>
      <c r="AF133" s="12">
        <v>1626</v>
      </c>
      <c r="AG133" s="12">
        <v>1549</v>
      </c>
      <c r="AH133" s="12">
        <v>1417</v>
      </c>
      <c r="AI133" s="12">
        <v>1313</v>
      </c>
      <c r="AJ133" s="12">
        <v>1377</v>
      </c>
      <c r="AK133" s="12">
        <v>2192</v>
      </c>
      <c r="AL133" s="12">
        <v>2084</v>
      </c>
      <c r="AM133" s="12">
        <v>1968</v>
      </c>
      <c r="AN133" s="12">
        <v>1966</v>
      </c>
      <c r="AO133" s="12">
        <v>1833</v>
      </c>
      <c r="AP133" s="12">
        <v>0</v>
      </c>
      <c r="AQ133" s="12">
        <v>0</v>
      </c>
      <c r="AR133" s="12">
        <v>0</v>
      </c>
    </row>
    <row r="134" spans="3:44">
      <c r="C134" t="s">
        <v>138</v>
      </c>
      <c r="F134" s="12">
        <v>11492</v>
      </c>
      <c r="G134" s="12">
        <v>15599</v>
      </c>
      <c r="H134" s="12">
        <v>15869</v>
      </c>
      <c r="I134" s="12">
        <v>16468</v>
      </c>
      <c r="J134" s="12">
        <v>16747</v>
      </c>
      <c r="K134" s="12">
        <v>17888</v>
      </c>
      <c r="L134" s="12">
        <v>20624</v>
      </c>
      <c r="M134" s="12">
        <v>21175</v>
      </c>
      <c r="N134" s="12">
        <v>22956</v>
      </c>
      <c r="O134" s="12">
        <v>28960</v>
      </c>
      <c r="P134" s="12">
        <v>29198</v>
      </c>
      <c r="Z134" s="12">
        <v>20624</v>
      </c>
      <c r="AA134" s="12">
        <v>20734</v>
      </c>
      <c r="AB134" s="12">
        <v>20824</v>
      </c>
      <c r="AC134" s="12">
        <v>20870</v>
      </c>
      <c r="AD134" s="12">
        <v>21175</v>
      </c>
      <c r="AE134" s="12">
        <v>22341</v>
      </c>
      <c r="AF134" s="12">
        <v>22406</v>
      </c>
      <c r="AG134" s="12">
        <v>22623</v>
      </c>
      <c r="AH134" s="12">
        <v>22956</v>
      </c>
      <c r="AI134" s="12">
        <v>23010</v>
      </c>
      <c r="AJ134" s="12">
        <v>23949</v>
      </c>
      <c r="AK134" s="12">
        <v>28834</v>
      </c>
      <c r="AL134" s="12">
        <v>28960</v>
      </c>
      <c r="AM134" s="12">
        <v>28994</v>
      </c>
      <c r="AN134" s="12">
        <v>29210</v>
      </c>
      <c r="AO134" s="12">
        <v>29146</v>
      </c>
      <c r="AP134" s="12">
        <v>29198</v>
      </c>
      <c r="AQ134" s="12">
        <v>29183</v>
      </c>
      <c r="AR134" s="12">
        <v>29185</v>
      </c>
    </row>
    <row r="135" spans="3:44">
      <c r="C135" t="s">
        <v>139</v>
      </c>
      <c r="D135"/>
      <c r="F135" s="12">
        <f>1976</f>
        <v>1976</v>
      </c>
      <c r="G135" s="12">
        <f>3187</f>
        <v>3187</v>
      </c>
      <c r="H135" s="12">
        <f>3181</f>
        <v>3181</v>
      </c>
      <c r="I135" s="12">
        <v>1819</v>
      </c>
      <c r="J135" s="12">
        <v>2672</v>
      </c>
      <c r="K135" s="12">
        <v>2693</v>
      </c>
      <c r="L135" s="12">
        <v>2342</v>
      </c>
      <c r="M135" s="12">
        <v>3953</v>
      </c>
      <c r="N135" s="12">
        <v>5361</v>
      </c>
      <c r="O135" s="12">
        <v>6623</v>
      </c>
      <c r="P135" s="12">
        <v>10051</v>
      </c>
      <c r="Z135" s="12">
        <v>2342</v>
      </c>
      <c r="AA135" s="12">
        <v>2748</v>
      </c>
      <c r="AB135" s="12">
        <v>2731</v>
      </c>
      <c r="AC135" s="12">
        <v>3274</v>
      </c>
      <c r="AD135" s="12">
        <v>3953</v>
      </c>
      <c r="AE135" s="12">
        <v>4167</v>
      </c>
      <c r="AF135" s="12">
        <v>4298</v>
      </c>
      <c r="AG135" s="12">
        <v>4276</v>
      </c>
      <c r="AH135" s="12">
        <v>5361</v>
      </c>
      <c r="AI135" s="12">
        <v>5778</v>
      </c>
      <c r="AJ135" s="12">
        <v>5712</v>
      </c>
      <c r="AK135" s="12">
        <v>5670</v>
      </c>
      <c r="AL135" s="12">
        <v>6623</v>
      </c>
      <c r="AM135" s="12">
        <v>6439</v>
      </c>
      <c r="AN135" s="12">
        <v>6822</v>
      </c>
      <c r="AO135" s="12">
        <v>7628</v>
      </c>
      <c r="AP135" s="12">
        <v>10051</v>
      </c>
      <c r="AQ135" s="12">
        <v>10065</v>
      </c>
      <c r="AR135" s="12">
        <v>9699</v>
      </c>
    </row>
    <row r="136" spans="2:44">
      <c r="B136" t="s">
        <v>140</v>
      </c>
      <c r="F136" s="17">
        <f t="shared" ref="F136:L136" si="84">SUM(F129:F135)</f>
        <v>38034</v>
      </c>
      <c r="G136" s="17">
        <f t="shared" si="84"/>
        <v>50531</v>
      </c>
      <c r="H136" s="17">
        <f t="shared" si="84"/>
        <v>57347</v>
      </c>
      <c r="I136" s="17">
        <f t="shared" si="84"/>
        <v>62089</v>
      </c>
      <c r="J136" s="17">
        <f t="shared" si="84"/>
        <v>72987</v>
      </c>
      <c r="K136" s="17">
        <f t="shared" si="84"/>
        <v>97116</v>
      </c>
      <c r="L136" s="17">
        <f t="shared" si="84"/>
        <v>123331</v>
      </c>
      <c r="M136" s="17">
        <f t="shared" ref="L136:P136" si="85">SUM(M129:M135)</f>
        <v>145320</v>
      </c>
      <c r="N136" s="17">
        <f t="shared" si="85"/>
        <v>171125</v>
      </c>
      <c r="O136" s="17">
        <f t="shared" si="85"/>
        <v>200469</v>
      </c>
      <c r="P136" s="17">
        <f t="shared" si="85"/>
        <v>230862</v>
      </c>
      <c r="W136" s="17">
        <f t="shared" ref="W136:AR136" si="86">SUM(W129:W135)</f>
        <v>0</v>
      </c>
      <c r="X136" s="17">
        <f t="shared" si="86"/>
        <v>0</v>
      </c>
      <c r="Y136" s="17">
        <f t="shared" si="86"/>
        <v>0</v>
      </c>
      <c r="Z136" s="17">
        <f t="shared" si="86"/>
        <v>123331</v>
      </c>
      <c r="AA136" s="17">
        <f t="shared" si="86"/>
        <v>126385</v>
      </c>
      <c r="AB136" s="17">
        <f t="shared" si="86"/>
        <v>129423</v>
      </c>
      <c r="AC136" s="17">
        <f t="shared" si="86"/>
        <v>134874</v>
      </c>
      <c r="AD136" s="17">
        <f t="shared" si="86"/>
        <v>145320</v>
      </c>
      <c r="AE136" s="17">
        <f t="shared" si="86"/>
        <v>154958</v>
      </c>
      <c r="AF136" s="17">
        <f t="shared" si="86"/>
        <v>159690</v>
      </c>
      <c r="AG136" s="17">
        <f t="shared" si="86"/>
        <v>163293</v>
      </c>
      <c r="AH136" s="17">
        <f t="shared" si="86"/>
        <v>171125</v>
      </c>
      <c r="AI136" s="17">
        <f t="shared" si="86"/>
        <v>179243</v>
      </c>
      <c r="AJ136" s="17">
        <f t="shared" si="86"/>
        <v>182814</v>
      </c>
      <c r="AK136" s="17">
        <f t="shared" si="86"/>
        <v>192146</v>
      </c>
      <c r="AL136" s="17">
        <f t="shared" si="86"/>
        <v>200469</v>
      </c>
      <c r="AM136" s="17">
        <f t="shared" si="86"/>
        <v>207506</v>
      </c>
      <c r="AN136" s="17">
        <f t="shared" si="86"/>
        <v>214256</v>
      </c>
      <c r="AO136" s="17">
        <f t="shared" si="86"/>
        <v>220401</v>
      </c>
      <c r="AP136" s="17">
        <f t="shared" si="86"/>
        <v>230862</v>
      </c>
      <c r="AQ136" s="17">
        <f t="shared" si="86"/>
        <v>241879</v>
      </c>
      <c r="AR136" s="17">
        <f t="shared" si="86"/>
        <v>252775</v>
      </c>
    </row>
    <row r="138" spans="2:44">
      <c r="B138" t="s">
        <v>141</v>
      </c>
      <c r="F138" s="17">
        <f t="shared" ref="F138:L138" si="87">F126+F136</f>
        <v>110920</v>
      </c>
      <c r="G138" s="17">
        <f t="shared" si="87"/>
        <v>129187</v>
      </c>
      <c r="H138" s="17">
        <f t="shared" si="87"/>
        <v>147461</v>
      </c>
      <c r="I138" s="17">
        <f t="shared" si="87"/>
        <v>167497</v>
      </c>
      <c r="J138" s="17">
        <f t="shared" si="87"/>
        <v>197295</v>
      </c>
      <c r="K138" s="17">
        <f t="shared" si="87"/>
        <v>232792</v>
      </c>
      <c r="L138" s="17">
        <f t="shared" si="87"/>
        <v>275909</v>
      </c>
      <c r="M138" s="17">
        <f t="shared" ref="L138:P138" si="88">M126+M136</f>
        <v>319616</v>
      </c>
      <c r="N138" s="17">
        <f t="shared" si="88"/>
        <v>359268</v>
      </c>
      <c r="O138" s="17">
        <f t="shared" si="88"/>
        <v>365264</v>
      </c>
      <c r="P138" s="17">
        <f t="shared" si="88"/>
        <v>402392</v>
      </c>
      <c r="W138" s="17">
        <f t="shared" ref="W138:AR138" si="89">W126+W136</f>
        <v>0</v>
      </c>
      <c r="X138" s="17">
        <f t="shared" si="89"/>
        <v>0</v>
      </c>
      <c r="Y138" s="17">
        <f t="shared" si="89"/>
        <v>0</v>
      </c>
      <c r="Z138" s="17">
        <f t="shared" si="89"/>
        <v>275909</v>
      </c>
      <c r="AA138" s="17">
        <f t="shared" si="89"/>
        <v>273403</v>
      </c>
      <c r="AB138" s="17">
        <f t="shared" si="89"/>
        <v>278492</v>
      </c>
      <c r="AC138" s="17">
        <f t="shared" si="89"/>
        <v>299243</v>
      </c>
      <c r="AD138" s="17">
        <f t="shared" si="89"/>
        <v>319616</v>
      </c>
      <c r="AE138" s="17">
        <f t="shared" si="89"/>
        <v>327095</v>
      </c>
      <c r="AF138" s="17">
        <f t="shared" si="89"/>
        <v>335387</v>
      </c>
      <c r="AG138" s="17">
        <f t="shared" si="89"/>
        <v>347403</v>
      </c>
      <c r="AH138" s="17">
        <f t="shared" si="89"/>
        <v>359268</v>
      </c>
      <c r="AI138" s="17">
        <f t="shared" si="89"/>
        <v>357096</v>
      </c>
      <c r="AJ138" s="17">
        <f t="shared" si="89"/>
        <v>355185</v>
      </c>
      <c r="AK138" s="17">
        <f t="shared" si="89"/>
        <v>358255</v>
      </c>
      <c r="AL138" s="17">
        <f t="shared" si="89"/>
        <v>365264</v>
      </c>
      <c r="AM138" s="17">
        <f t="shared" si="89"/>
        <v>369491</v>
      </c>
      <c r="AN138" s="17">
        <f t="shared" si="89"/>
        <v>383044</v>
      </c>
      <c r="AO138" s="17">
        <f t="shared" si="89"/>
        <v>396711</v>
      </c>
      <c r="AP138" s="17">
        <f t="shared" si="89"/>
        <v>402392</v>
      </c>
      <c r="AQ138" s="17">
        <f t="shared" si="89"/>
        <v>407350</v>
      </c>
      <c r="AR138" s="17">
        <f t="shared" si="89"/>
        <v>414770</v>
      </c>
    </row>
    <row r="140" spans="2:2">
      <c r="B140" t="s">
        <v>142</v>
      </c>
    </row>
    <row r="141" spans="3:44">
      <c r="C141" t="s">
        <v>143</v>
      </c>
      <c r="F141" s="12">
        <v>2453</v>
      </c>
      <c r="G141" s="12">
        <v>1715</v>
      </c>
      <c r="H141" s="12">
        <v>1931</v>
      </c>
      <c r="I141" s="12">
        <v>2041</v>
      </c>
      <c r="J141" s="12">
        <v>3137</v>
      </c>
      <c r="K141" s="12">
        <v>4378</v>
      </c>
      <c r="L141" s="12">
        <v>5561</v>
      </c>
      <c r="M141" s="12">
        <v>5589</v>
      </c>
      <c r="N141" s="12">
        <v>6037</v>
      </c>
      <c r="O141" s="12">
        <v>5128</v>
      </c>
      <c r="P141" s="12">
        <v>7493</v>
      </c>
      <c r="Z141" s="12">
        <v>5561</v>
      </c>
      <c r="AA141" s="12">
        <v>4099</v>
      </c>
      <c r="AB141" s="12">
        <v>4064</v>
      </c>
      <c r="AC141" s="12">
        <v>4391</v>
      </c>
      <c r="AD141" s="12">
        <v>5589</v>
      </c>
      <c r="AE141" s="12">
        <v>4801</v>
      </c>
      <c r="AF141" s="12">
        <v>4708</v>
      </c>
      <c r="AG141" s="12">
        <v>4616</v>
      </c>
      <c r="AH141" s="12">
        <v>6037</v>
      </c>
      <c r="AI141" s="12">
        <v>3436</v>
      </c>
      <c r="AJ141" s="12">
        <v>4409</v>
      </c>
      <c r="AK141" s="12">
        <v>6303</v>
      </c>
      <c r="AL141" s="12">
        <v>5128</v>
      </c>
      <c r="AM141" s="12">
        <v>4184</v>
      </c>
      <c r="AN141" s="12">
        <v>5313</v>
      </c>
      <c r="AO141" s="12">
        <v>5803</v>
      </c>
      <c r="AP141" s="12">
        <v>7493</v>
      </c>
      <c r="AQ141" s="12">
        <v>6198</v>
      </c>
      <c r="AR141" s="12">
        <v>6092</v>
      </c>
    </row>
    <row r="142" spans="3:44">
      <c r="C142" t="s">
        <v>144</v>
      </c>
      <c r="F142" s="12">
        <v>2502</v>
      </c>
      <c r="G142" s="12">
        <v>3069</v>
      </c>
      <c r="H142" s="12">
        <v>3539</v>
      </c>
      <c r="I142" s="12">
        <v>3976</v>
      </c>
      <c r="J142" s="12">
        <v>4581</v>
      </c>
      <c r="K142" s="12">
        <v>6839</v>
      </c>
      <c r="L142" s="12">
        <v>8495</v>
      </c>
      <c r="M142" s="12">
        <v>11086</v>
      </c>
      <c r="N142" s="12">
        <v>13889</v>
      </c>
      <c r="O142" s="12">
        <v>14028</v>
      </c>
      <c r="P142" s="12">
        <v>15140</v>
      </c>
      <c r="Z142" s="12">
        <v>8495</v>
      </c>
      <c r="AA142" s="12">
        <v>5656</v>
      </c>
      <c r="AB142" s="12">
        <v>7127</v>
      </c>
      <c r="AC142" s="12">
        <v>8747</v>
      </c>
      <c r="AD142" s="12">
        <v>11086</v>
      </c>
      <c r="AE142" s="12">
        <v>8375</v>
      </c>
      <c r="AF142" s="12">
        <v>10088</v>
      </c>
      <c r="AG142" s="12">
        <v>12170</v>
      </c>
      <c r="AH142" s="12">
        <v>13889</v>
      </c>
      <c r="AI142" s="12">
        <v>9803</v>
      </c>
      <c r="AJ142" s="12">
        <v>10852</v>
      </c>
      <c r="AK142" s="12">
        <v>12366</v>
      </c>
      <c r="AL142" s="12">
        <v>14028</v>
      </c>
      <c r="AM142" s="12">
        <v>9954</v>
      </c>
      <c r="AN142" s="12">
        <v>11260</v>
      </c>
      <c r="AO142" s="12">
        <v>12562</v>
      </c>
      <c r="AP142" s="12">
        <v>15140</v>
      </c>
      <c r="AQ142" s="12">
        <v>9703</v>
      </c>
      <c r="AR142" s="12">
        <v>11373</v>
      </c>
    </row>
    <row r="143" spans="3:44">
      <c r="C143" t="s">
        <v>145</v>
      </c>
      <c r="D143"/>
      <c r="F143" s="12">
        <f>3009+3755+1374+24</f>
        <v>8162</v>
      </c>
      <c r="G143" s="12">
        <f>2009+4408+2778+96</f>
        <v>9291</v>
      </c>
      <c r="H143" s="12">
        <f>3225+4768+2428+302</f>
        <v>10723</v>
      </c>
      <c r="I143" s="12">
        <f>6144+554</f>
        <v>6698</v>
      </c>
      <c r="J143" s="12">
        <f>10177+881</f>
        <v>11058</v>
      </c>
      <c r="K143" s="12">
        <f>16958+69</f>
        <v>17027</v>
      </c>
      <c r="L143" s="12">
        <f>23067+274</f>
        <v>23341</v>
      </c>
      <c r="M143" s="12">
        <f>28631+1485</f>
        <v>30116</v>
      </c>
      <c r="N143" s="12">
        <v>32044</v>
      </c>
      <c r="O143" s="12">
        <v>37866</v>
      </c>
      <c r="P143" s="12">
        <v>46168</v>
      </c>
      <c r="Z143" s="12">
        <f>23067+274</f>
        <v>23341</v>
      </c>
      <c r="AA143" s="12">
        <f>22601+913</f>
        <v>23514</v>
      </c>
      <c r="AB143" s="12">
        <f>24426+975</f>
        <v>25401</v>
      </c>
      <c r="AC143" s="12">
        <f>25631+1099</f>
        <v>26730</v>
      </c>
      <c r="AD143" s="12">
        <f>28631+1485</f>
        <v>30116</v>
      </c>
      <c r="AE143" s="12">
        <f>30732+1893</f>
        <v>32625</v>
      </c>
      <c r="AF143" s="12">
        <f>28981+1811</f>
        <v>30792</v>
      </c>
      <c r="AG143" s="12">
        <f>30113+4170</f>
        <v>34283</v>
      </c>
      <c r="AH143" s="12">
        <v>32044</v>
      </c>
      <c r="AI143" s="12">
        <f>33051+4344</f>
        <v>37395</v>
      </c>
      <c r="AJ143" s="12">
        <f>32976+1956</f>
        <v>34932</v>
      </c>
      <c r="AK143" s="12">
        <f>35038+1025</f>
        <v>36063</v>
      </c>
      <c r="AL143" s="12">
        <v>37866</v>
      </c>
      <c r="AM143" s="12">
        <v>43185</v>
      </c>
      <c r="AN143" s="12">
        <v>49300</v>
      </c>
      <c r="AO143" s="12">
        <v>55602</v>
      </c>
      <c r="AP143" s="12">
        <v>46168</v>
      </c>
      <c r="AQ143" s="12">
        <v>48603</v>
      </c>
      <c r="AR143" s="12">
        <v>47298</v>
      </c>
    </row>
    <row r="144" spans="3:44">
      <c r="C144" t="s">
        <v>146</v>
      </c>
      <c r="F144" s="12">
        <v>1729</v>
      </c>
      <c r="G144" s="12">
        <v>1952</v>
      </c>
      <c r="H144" s="12">
        <v>2329</v>
      </c>
      <c r="I144" s="12">
        <v>2942</v>
      </c>
      <c r="J144" s="12">
        <v>3975</v>
      </c>
      <c r="K144" s="12">
        <v>4592</v>
      </c>
      <c r="L144" s="12">
        <v>5916</v>
      </c>
      <c r="M144" s="12">
        <v>7500</v>
      </c>
      <c r="N144" s="12">
        <v>8996</v>
      </c>
      <c r="O144" s="12">
        <v>8370</v>
      </c>
      <c r="P144" s="12">
        <v>8876</v>
      </c>
      <c r="Z144" s="12">
        <v>5916</v>
      </c>
      <c r="AA144" s="12">
        <v>4982</v>
      </c>
      <c r="AB144" s="12">
        <v>5005</v>
      </c>
      <c r="AC144" s="12">
        <v>6030</v>
      </c>
      <c r="AD144" s="12">
        <v>7500</v>
      </c>
      <c r="AE144" s="12">
        <v>6962</v>
      </c>
      <c r="AF144" s="12">
        <v>7438</v>
      </c>
      <c r="AG144" s="12">
        <v>7745</v>
      </c>
      <c r="AH144" s="12">
        <v>8996</v>
      </c>
      <c r="AI144" s="12">
        <v>8116</v>
      </c>
      <c r="AJ144" s="12">
        <v>7889</v>
      </c>
      <c r="AK144" s="12">
        <v>7662</v>
      </c>
      <c r="AL144" s="12">
        <v>8370</v>
      </c>
      <c r="AM144" s="12">
        <v>7816</v>
      </c>
      <c r="AN144" s="12">
        <v>7990</v>
      </c>
      <c r="AO144" s="12">
        <v>8025</v>
      </c>
      <c r="AP144" s="12">
        <v>8876</v>
      </c>
      <c r="AQ144" s="12">
        <v>8520</v>
      </c>
      <c r="AR144" s="12">
        <v>8899</v>
      </c>
    </row>
    <row r="145" spans="3:44">
      <c r="C145" t="s">
        <v>147</v>
      </c>
      <c r="F145" s="12">
        <v>1062</v>
      </c>
      <c r="G145" s="12">
        <v>752</v>
      </c>
      <c r="H145" s="12">
        <v>788</v>
      </c>
      <c r="I145" s="12">
        <v>1099</v>
      </c>
      <c r="J145" s="12">
        <v>1432</v>
      </c>
      <c r="K145" s="12">
        <v>1784</v>
      </c>
      <c r="L145" s="12">
        <v>1908</v>
      </c>
      <c r="M145" s="12">
        <v>2543</v>
      </c>
      <c r="N145" s="12">
        <v>3288</v>
      </c>
      <c r="O145" s="12">
        <v>3908</v>
      </c>
      <c r="P145" s="12">
        <v>4137</v>
      </c>
      <c r="Z145" s="12">
        <v>1908</v>
      </c>
      <c r="AA145" s="12">
        <v>1938</v>
      </c>
      <c r="AB145" s="12">
        <v>2061</v>
      </c>
      <c r="AC145" s="12">
        <v>2302</v>
      </c>
      <c r="AD145" s="12">
        <v>2543</v>
      </c>
      <c r="AE145" s="12">
        <v>2690</v>
      </c>
      <c r="AF145" s="12">
        <v>2715</v>
      </c>
      <c r="AG145" s="12">
        <v>2968</v>
      </c>
      <c r="AH145" s="12">
        <v>3288</v>
      </c>
      <c r="AI145" s="12">
        <v>3198</v>
      </c>
      <c r="AJ145" s="12">
        <v>3272</v>
      </c>
      <c r="AK145" s="12">
        <v>3585</v>
      </c>
      <c r="AL145" s="12">
        <v>3908</v>
      </c>
      <c r="AM145" s="12">
        <v>3715</v>
      </c>
      <c r="AN145" s="12">
        <v>3846</v>
      </c>
      <c r="AO145" s="12">
        <v>4303</v>
      </c>
      <c r="AP145" s="12">
        <v>4137</v>
      </c>
      <c r="AQ145" s="12">
        <v>3973</v>
      </c>
      <c r="AR145" s="12">
        <v>4251</v>
      </c>
    </row>
    <row r="146" spans="2:44">
      <c r="B146" t="s">
        <v>148</v>
      </c>
      <c r="F146" s="17">
        <f t="shared" ref="F146:L146" si="90">SUM(F141:F145)</f>
        <v>15908</v>
      </c>
      <c r="G146" s="17">
        <f t="shared" si="90"/>
        <v>16779</v>
      </c>
      <c r="H146" s="17">
        <f t="shared" si="90"/>
        <v>19310</v>
      </c>
      <c r="I146" s="17">
        <f t="shared" si="90"/>
        <v>16756</v>
      </c>
      <c r="J146" s="17">
        <f t="shared" si="90"/>
        <v>24183</v>
      </c>
      <c r="K146" s="17">
        <f t="shared" si="90"/>
        <v>34620</v>
      </c>
      <c r="L146" s="17">
        <f t="shared" si="90"/>
        <v>45221</v>
      </c>
      <c r="M146" s="17">
        <f t="shared" ref="L146:P146" si="91">SUM(M141:M145)</f>
        <v>56834</v>
      </c>
      <c r="N146" s="17">
        <f t="shared" si="91"/>
        <v>64254</v>
      </c>
      <c r="O146" s="17">
        <f t="shared" si="91"/>
        <v>69300</v>
      </c>
      <c r="P146" s="17">
        <f t="shared" si="91"/>
        <v>81814</v>
      </c>
      <c r="W146" s="17">
        <f t="shared" ref="W146:AR146" si="92">SUM(W141:W145)</f>
        <v>0</v>
      </c>
      <c r="X146" s="17">
        <f t="shared" si="92"/>
        <v>0</v>
      </c>
      <c r="Y146" s="17">
        <f t="shared" si="92"/>
        <v>0</v>
      </c>
      <c r="Z146" s="17">
        <f t="shared" si="92"/>
        <v>45221</v>
      </c>
      <c r="AA146" s="17">
        <f t="shared" si="92"/>
        <v>40189</v>
      </c>
      <c r="AB146" s="17">
        <f t="shared" si="92"/>
        <v>43658</v>
      </c>
      <c r="AC146" s="17">
        <f t="shared" si="92"/>
        <v>48200</v>
      </c>
      <c r="AD146" s="17">
        <f t="shared" si="92"/>
        <v>56834</v>
      </c>
      <c r="AE146" s="17">
        <f t="shared" si="92"/>
        <v>55453</v>
      </c>
      <c r="AF146" s="17">
        <f t="shared" si="92"/>
        <v>55741</v>
      </c>
      <c r="AG146" s="17">
        <f t="shared" si="92"/>
        <v>61782</v>
      </c>
      <c r="AH146" s="17">
        <f t="shared" si="92"/>
        <v>64254</v>
      </c>
      <c r="AI146" s="17">
        <f t="shared" si="92"/>
        <v>61948</v>
      </c>
      <c r="AJ146" s="17">
        <f t="shared" si="92"/>
        <v>61354</v>
      </c>
      <c r="AK146" s="17">
        <f t="shared" si="92"/>
        <v>65979</v>
      </c>
      <c r="AL146" s="17">
        <f t="shared" si="92"/>
        <v>69300</v>
      </c>
      <c r="AM146" s="17">
        <f t="shared" si="92"/>
        <v>68854</v>
      </c>
      <c r="AN146" s="17">
        <f t="shared" si="92"/>
        <v>77709</v>
      </c>
      <c r="AO146" s="17">
        <f t="shared" si="92"/>
        <v>86295</v>
      </c>
      <c r="AP146" s="17">
        <f t="shared" si="92"/>
        <v>81814</v>
      </c>
      <c r="AQ146" s="17">
        <f t="shared" si="92"/>
        <v>76997</v>
      </c>
      <c r="AR146" s="17">
        <f t="shared" si="92"/>
        <v>77913</v>
      </c>
    </row>
    <row r="148" spans="2:2">
      <c r="B148" t="s">
        <v>149</v>
      </c>
    </row>
    <row r="149" spans="3:44">
      <c r="C149" t="s">
        <v>150</v>
      </c>
      <c r="F149" s="12">
        <v>2236</v>
      </c>
      <c r="G149" s="12">
        <v>3228</v>
      </c>
      <c r="H149" s="12">
        <v>1995</v>
      </c>
      <c r="I149" s="12">
        <v>3935</v>
      </c>
      <c r="J149" s="12">
        <v>3969</v>
      </c>
      <c r="K149" s="12">
        <v>4012</v>
      </c>
      <c r="L149" s="12">
        <v>4554</v>
      </c>
      <c r="M149" s="12">
        <v>13932</v>
      </c>
      <c r="N149" s="12">
        <v>14817</v>
      </c>
      <c r="O149" s="12">
        <v>14701</v>
      </c>
      <c r="P149" s="12">
        <v>13253</v>
      </c>
      <c r="Z149" s="12">
        <v>4554</v>
      </c>
      <c r="AA149" s="12">
        <v>5016</v>
      </c>
      <c r="AB149" s="12">
        <v>4018</v>
      </c>
      <c r="AC149" s="12">
        <v>13902</v>
      </c>
      <c r="AD149" s="12">
        <v>13932</v>
      </c>
      <c r="AE149" s="12">
        <v>13887</v>
      </c>
      <c r="AF149" s="12">
        <v>14328</v>
      </c>
      <c r="AG149" s="12">
        <v>14288</v>
      </c>
      <c r="AH149" s="12">
        <v>14817</v>
      </c>
      <c r="AI149" s="12">
        <v>14791</v>
      </c>
      <c r="AJ149" s="12">
        <v>14734</v>
      </c>
      <c r="AK149" s="12">
        <v>14653</v>
      </c>
      <c r="AL149" s="12">
        <v>14701</v>
      </c>
      <c r="AM149" s="12">
        <v>13697</v>
      </c>
      <c r="AN149" s="12">
        <v>13705</v>
      </c>
      <c r="AO149" s="12">
        <v>13781</v>
      </c>
      <c r="AP149" s="12">
        <v>13253</v>
      </c>
      <c r="AQ149" s="12">
        <v>13228</v>
      </c>
      <c r="AR149" s="12">
        <v>13238</v>
      </c>
    </row>
    <row r="150" spans="3:44">
      <c r="C150" t="s">
        <v>147</v>
      </c>
      <c r="F150" s="12">
        <v>139</v>
      </c>
      <c r="G150" s="12">
        <v>104</v>
      </c>
      <c r="H150" s="12">
        <v>151</v>
      </c>
      <c r="I150" s="12">
        <v>202</v>
      </c>
      <c r="J150" s="12">
        <v>340</v>
      </c>
      <c r="K150" s="12">
        <v>396</v>
      </c>
      <c r="L150" s="12">
        <v>358</v>
      </c>
      <c r="M150" s="12">
        <v>481</v>
      </c>
      <c r="N150" s="12">
        <v>535</v>
      </c>
      <c r="O150" s="12">
        <v>599</v>
      </c>
      <c r="P150" s="12">
        <v>911</v>
      </c>
      <c r="Z150" s="12">
        <v>358</v>
      </c>
      <c r="AA150" s="12">
        <v>350</v>
      </c>
      <c r="AB150" s="12">
        <v>397</v>
      </c>
      <c r="AC150" s="12">
        <v>454</v>
      </c>
      <c r="AD150" s="12">
        <v>481</v>
      </c>
      <c r="AE150" s="12">
        <v>530</v>
      </c>
      <c r="AF150" s="12">
        <v>510</v>
      </c>
      <c r="AG150" s="12">
        <v>510</v>
      </c>
      <c r="AH150" s="12">
        <v>535</v>
      </c>
      <c r="AI150" s="12">
        <v>499</v>
      </c>
      <c r="AJ150" s="12">
        <v>472</v>
      </c>
      <c r="AK150" s="12">
        <v>594</v>
      </c>
      <c r="AL150" s="12">
        <v>599</v>
      </c>
      <c r="AM150" s="12">
        <v>610</v>
      </c>
      <c r="AN150" s="12">
        <v>667</v>
      </c>
      <c r="AO150" s="12">
        <v>884</v>
      </c>
      <c r="AP150" s="12">
        <v>911</v>
      </c>
      <c r="AQ150" s="12">
        <v>921</v>
      </c>
      <c r="AR150" s="12">
        <v>985</v>
      </c>
    </row>
    <row r="151" spans="3:44">
      <c r="C151" t="s">
        <v>151</v>
      </c>
      <c r="F151" s="12">
        <v>2638</v>
      </c>
      <c r="G151" s="12">
        <v>3340</v>
      </c>
      <c r="H151" s="12">
        <v>3663</v>
      </c>
      <c r="I151" s="12">
        <v>4677</v>
      </c>
      <c r="J151" s="12">
        <v>12812</v>
      </c>
      <c r="K151" s="12">
        <v>11327</v>
      </c>
      <c r="L151" s="12">
        <v>9885</v>
      </c>
      <c r="M151" s="12">
        <v>8849</v>
      </c>
      <c r="N151" s="12">
        <v>9176</v>
      </c>
      <c r="O151" s="12">
        <v>9258</v>
      </c>
      <c r="P151" s="12">
        <v>8474</v>
      </c>
      <c r="Z151" s="12">
        <v>9885</v>
      </c>
      <c r="AA151" s="12">
        <v>9207</v>
      </c>
      <c r="AB151" s="12">
        <v>8599</v>
      </c>
      <c r="AC151" s="12">
        <v>8616</v>
      </c>
      <c r="AD151" s="12">
        <v>8849</v>
      </c>
      <c r="AE151" s="12">
        <v>9278</v>
      </c>
      <c r="AF151" s="12">
        <v>8651</v>
      </c>
      <c r="AG151" s="12">
        <v>8984</v>
      </c>
      <c r="AH151" s="12">
        <v>9176</v>
      </c>
      <c r="AI151" s="12">
        <v>9406</v>
      </c>
      <c r="AJ151" s="12">
        <v>8163</v>
      </c>
      <c r="AK151" s="12">
        <v>8572</v>
      </c>
      <c r="AL151" s="12">
        <v>9258</v>
      </c>
      <c r="AM151" s="12">
        <v>9722</v>
      </c>
      <c r="AN151" s="12">
        <v>8753</v>
      </c>
      <c r="AO151" s="12">
        <v>8038</v>
      </c>
      <c r="AP151" s="12">
        <v>8474</v>
      </c>
      <c r="AQ151" s="12">
        <v>9234</v>
      </c>
      <c r="AR151" s="12">
        <v>7703</v>
      </c>
    </row>
    <row r="152" spans="3:44">
      <c r="C152" t="s">
        <v>134</v>
      </c>
      <c r="F152" s="12">
        <v>1947</v>
      </c>
      <c r="G152" s="12">
        <v>758</v>
      </c>
      <c r="H152" s="12">
        <v>189</v>
      </c>
      <c r="I152" s="12">
        <v>226</v>
      </c>
      <c r="J152" s="12">
        <v>430</v>
      </c>
      <c r="K152" s="12">
        <v>1264</v>
      </c>
      <c r="L152" s="12">
        <v>1701</v>
      </c>
      <c r="M152" s="12">
        <v>3561</v>
      </c>
      <c r="N152" s="12">
        <v>5257</v>
      </c>
      <c r="O152" s="12">
        <v>514</v>
      </c>
      <c r="P152" s="12">
        <v>485</v>
      </c>
      <c r="Z152" s="12">
        <v>1701</v>
      </c>
      <c r="AA152" s="12">
        <v>2079</v>
      </c>
      <c r="AB152" s="12">
        <v>1797</v>
      </c>
      <c r="AC152" s="12">
        <v>1973</v>
      </c>
      <c r="AD152" s="12">
        <v>3561</v>
      </c>
      <c r="AE152" s="12">
        <v>4406</v>
      </c>
      <c r="AF152" s="12">
        <v>4703</v>
      </c>
      <c r="AG152" s="12">
        <v>3551</v>
      </c>
      <c r="AH152" s="12">
        <v>5257</v>
      </c>
      <c r="AI152" s="12">
        <v>2843</v>
      </c>
      <c r="AJ152" s="12">
        <v>924</v>
      </c>
      <c r="AK152" s="12">
        <v>476</v>
      </c>
      <c r="AL152" s="12">
        <v>514</v>
      </c>
      <c r="AM152" s="12">
        <v>542</v>
      </c>
      <c r="AN152" s="12">
        <v>558</v>
      </c>
      <c r="AO152" s="12">
        <v>528</v>
      </c>
      <c r="AP152" s="12">
        <v>485</v>
      </c>
      <c r="AQ152" s="12">
        <v>486</v>
      </c>
      <c r="AR152" s="12">
        <v>717</v>
      </c>
    </row>
    <row r="153" spans="3:44">
      <c r="C153" t="s">
        <v>152</v>
      </c>
      <c r="F153" s="12">
        <v>0</v>
      </c>
      <c r="G153" s="12">
        <v>0</v>
      </c>
      <c r="H153" s="12">
        <v>0</v>
      </c>
      <c r="I153" s="12">
        <v>0</v>
      </c>
      <c r="J153" s="12">
        <v>0</v>
      </c>
      <c r="K153" s="12">
        <v>0</v>
      </c>
      <c r="L153" s="12">
        <v>10214</v>
      </c>
      <c r="M153" s="12">
        <v>11146</v>
      </c>
      <c r="N153" s="12">
        <v>11389</v>
      </c>
      <c r="O153" s="12">
        <v>12501</v>
      </c>
      <c r="P153" s="12">
        <v>12460</v>
      </c>
      <c r="Z153" s="12">
        <v>10214</v>
      </c>
      <c r="AA153" s="12">
        <v>10476</v>
      </c>
      <c r="AB153" s="12">
        <v>10709</v>
      </c>
      <c r="AC153" s="12">
        <v>10984</v>
      </c>
      <c r="AD153" s="12">
        <v>11146</v>
      </c>
      <c r="AE153" s="12">
        <v>11382</v>
      </c>
      <c r="AF153" s="12">
        <v>11619</v>
      </c>
      <c r="AG153" s="12">
        <v>11471</v>
      </c>
      <c r="AH153" s="12">
        <v>11389</v>
      </c>
      <c r="AI153" s="12">
        <v>11363</v>
      </c>
      <c r="AJ153" s="12">
        <v>11697</v>
      </c>
      <c r="AK153" s="12">
        <v>11984</v>
      </c>
      <c r="AL153" s="12">
        <v>12501</v>
      </c>
      <c r="AM153" s="12">
        <v>12799</v>
      </c>
      <c r="AN153" s="12">
        <v>12746</v>
      </c>
      <c r="AO153" s="12">
        <v>12550</v>
      </c>
      <c r="AP153" s="12">
        <v>12460</v>
      </c>
      <c r="AQ153" s="12">
        <v>11957</v>
      </c>
      <c r="AR153" s="12">
        <v>11708</v>
      </c>
    </row>
    <row r="154" spans="3:44">
      <c r="C154" t="s">
        <v>153</v>
      </c>
      <c r="F154" s="12">
        <v>743</v>
      </c>
      <c r="G154" s="12">
        <v>1118</v>
      </c>
      <c r="H154" s="12">
        <v>1822</v>
      </c>
      <c r="I154" s="12">
        <v>2665</v>
      </c>
      <c r="J154" s="12">
        <v>3059</v>
      </c>
      <c r="K154" s="12">
        <v>3545</v>
      </c>
      <c r="L154" s="12">
        <v>2534</v>
      </c>
      <c r="M154" s="12">
        <v>2269</v>
      </c>
      <c r="N154" s="12">
        <v>2205</v>
      </c>
      <c r="O154" s="12">
        <v>2247</v>
      </c>
      <c r="P154" s="12">
        <v>1616</v>
      </c>
      <c r="Z154" s="12">
        <v>2534</v>
      </c>
      <c r="AA154" s="12">
        <v>2427</v>
      </c>
      <c r="AB154" s="12">
        <v>1992</v>
      </c>
      <c r="AC154" s="12">
        <v>2194</v>
      </c>
      <c r="AD154" s="12">
        <v>2269</v>
      </c>
      <c r="AE154" s="12">
        <v>2146</v>
      </c>
      <c r="AF154" s="12">
        <v>2270</v>
      </c>
      <c r="AG154" s="12">
        <v>2250</v>
      </c>
      <c r="AH154" s="12">
        <v>2205</v>
      </c>
      <c r="AI154" s="12">
        <v>2242</v>
      </c>
      <c r="AJ154" s="12">
        <v>2422</v>
      </c>
      <c r="AK154" s="12">
        <v>2371</v>
      </c>
      <c r="AL154" s="12">
        <v>2247</v>
      </c>
      <c r="AM154" s="12">
        <v>2373</v>
      </c>
      <c r="AN154" s="12">
        <v>1765</v>
      </c>
      <c r="AO154" s="12">
        <v>1433</v>
      </c>
      <c r="AP154" s="12">
        <v>1616</v>
      </c>
      <c r="AQ154" s="12">
        <v>1683</v>
      </c>
      <c r="AR154" s="12">
        <v>1753</v>
      </c>
    </row>
    <row r="155" spans="2:44">
      <c r="B155" t="s">
        <v>154</v>
      </c>
      <c r="F155" s="17">
        <f t="shared" ref="F155:L155" si="93">SUM(F149:F154)</f>
        <v>7703</v>
      </c>
      <c r="G155" s="17">
        <f t="shared" si="93"/>
        <v>8548</v>
      </c>
      <c r="H155" s="17">
        <f t="shared" si="93"/>
        <v>7820</v>
      </c>
      <c r="I155" s="17">
        <f t="shared" si="93"/>
        <v>11705</v>
      </c>
      <c r="J155" s="17">
        <f t="shared" si="93"/>
        <v>20610</v>
      </c>
      <c r="K155" s="17">
        <f t="shared" si="93"/>
        <v>20544</v>
      </c>
      <c r="L155" s="17">
        <f t="shared" si="93"/>
        <v>29246</v>
      </c>
      <c r="M155" s="17">
        <f t="shared" ref="L155:P155" si="94">SUM(M149:M154)</f>
        <v>40238</v>
      </c>
      <c r="N155" s="17">
        <f t="shared" si="94"/>
        <v>43379</v>
      </c>
      <c r="O155" s="17">
        <f t="shared" si="94"/>
        <v>39820</v>
      </c>
      <c r="P155" s="17">
        <f t="shared" si="94"/>
        <v>37199</v>
      </c>
      <c r="W155" s="17">
        <f t="shared" ref="W155:AR155" si="95">SUM(W149:W154)</f>
        <v>0</v>
      </c>
      <c r="X155" s="17">
        <f t="shared" si="95"/>
        <v>0</v>
      </c>
      <c r="Y155" s="17">
        <f t="shared" si="95"/>
        <v>0</v>
      </c>
      <c r="Z155" s="17">
        <f t="shared" si="95"/>
        <v>29246</v>
      </c>
      <c r="AA155" s="17">
        <f t="shared" si="95"/>
        <v>29555</v>
      </c>
      <c r="AB155" s="17">
        <f t="shared" si="95"/>
        <v>27512</v>
      </c>
      <c r="AC155" s="17">
        <f t="shared" si="95"/>
        <v>38123</v>
      </c>
      <c r="AD155" s="17">
        <f t="shared" si="95"/>
        <v>40238</v>
      </c>
      <c r="AE155" s="17">
        <f t="shared" si="95"/>
        <v>41629</v>
      </c>
      <c r="AF155" s="17">
        <f t="shared" si="95"/>
        <v>42081</v>
      </c>
      <c r="AG155" s="17">
        <f t="shared" si="95"/>
        <v>41054</v>
      </c>
      <c r="AH155" s="17">
        <f t="shared" si="95"/>
        <v>43379</v>
      </c>
      <c r="AI155" s="17">
        <f t="shared" si="95"/>
        <v>41144</v>
      </c>
      <c r="AJ155" s="17">
        <f t="shared" si="95"/>
        <v>38412</v>
      </c>
      <c r="AK155" s="17">
        <f t="shared" si="95"/>
        <v>38650</v>
      </c>
      <c r="AL155" s="17">
        <f t="shared" si="95"/>
        <v>39820</v>
      </c>
      <c r="AM155" s="17">
        <f t="shared" si="95"/>
        <v>39743</v>
      </c>
      <c r="AN155" s="17">
        <f t="shared" si="95"/>
        <v>38194</v>
      </c>
      <c r="AO155" s="17">
        <f t="shared" si="95"/>
        <v>37214</v>
      </c>
      <c r="AP155" s="17">
        <f t="shared" si="95"/>
        <v>37199</v>
      </c>
      <c r="AQ155" s="17">
        <f t="shared" si="95"/>
        <v>37509</v>
      </c>
      <c r="AR155" s="17">
        <f t="shared" si="95"/>
        <v>36104</v>
      </c>
    </row>
    <row r="157" spans="2:44">
      <c r="B157" t="s">
        <v>155</v>
      </c>
      <c r="F157" s="17">
        <f t="shared" ref="F157:L157" si="96">F146+F155</f>
        <v>23611</v>
      </c>
      <c r="G157" s="17">
        <f t="shared" si="96"/>
        <v>25327</v>
      </c>
      <c r="H157" s="17">
        <f t="shared" si="96"/>
        <v>27130</v>
      </c>
      <c r="I157" s="17">
        <f t="shared" si="96"/>
        <v>28461</v>
      </c>
      <c r="J157" s="17">
        <f t="shared" si="96"/>
        <v>44793</v>
      </c>
      <c r="K157" s="17">
        <f t="shared" si="96"/>
        <v>55164</v>
      </c>
      <c r="L157" s="17">
        <f t="shared" si="96"/>
        <v>74467</v>
      </c>
      <c r="M157" s="17">
        <f t="shared" ref="L157:P157" si="97">M146+M155</f>
        <v>97072</v>
      </c>
      <c r="N157" s="17">
        <f t="shared" si="97"/>
        <v>107633</v>
      </c>
      <c r="O157" s="17">
        <f t="shared" si="97"/>
        <v>109120</v>
      </c>
      <c r="P157" s="17">
        <f t="shared" si="97"/>
        <v>119013</v>
      </c>
      <c r="W157" s="17">
        <f t="shared" ref="W157:AR157" si="98">W146+W155</f>
        <v>0</v>
      </c>
      <c r="X157" s="17">
        <f t="shared" si="98"/>
        <v>0</v>
      </c>
      <c r="Y157" s="17">
        <f t="shared" si="98"/>
        <v>0</v>
      </c>
      <c r="Z157" s="17">
        <f t="shared" si="98"/>
        <v>74467</v>
      </c>
      <c r="AA157" s="17">
        <f t="shared" si="98"/>
        <v>69744</v>
      </c>
      <c r="AB157" s="17">
        <f t="shared" si="98"/>
        <v>71170</v>
      </c>
      <c r="AC157" s="17">
        <f t="shared" si="98"/>
        <v>86323</v>
      </c>
      <c r="AD157" s="17">
        <f t="shared" si="98"/>
        <v>97072</v>
      </c>
      <c r="AE157" s="17">
        <f t="shared" si="98"/>
        <v>97082</v>
      </c>
      <c r="AF157" s="17">
        <f t="shared" si="98"/>
        <v>97822</v>
      </c>
      <c r="AG157" s="17">
        <f t="shared" si="98"/>
        <v>102836</v>
      </c>
      <c r="AH157" s="17">
        <f t="shared" si="98"/>
        <v>107633</v>
      </c>
      <c r="AI157" s="17">
        <f t="shared" si="98"/>
        <v>103092</v>
      </c>
      <c r="AJ157" s="17">
        <f t="shared" si="98"/>
        <v>99766</v>
      </c>
      <c r="AK157" s="17">
        <f t="shared" si="98"/>
        <v>104629</v>
      </c>
      <c r="AL157" s="17">
        <f t="shared" si="98"/>
        <v>109120</v>
      </c>
      <c r="AM157" s="17">
        <f t="shared" si="98"/>
        <v>108597</v>
      </c>
      <c r="AN157" s="17">
        <f t="shared" si="98"/>
        <v>115903</v>
      </c>
      <c r="AO157" s="17">
        <f t="shared" si="98"/>
        <v>123509</v>
      </c>
      <c r="AP157" s="17">
        <f t="shared" si="98"/>
        <v>119013</v>
      </c>
      <c r="AQ157" s="17">
        <f t="shared" si="98"/>
        <v>114506</v>
      </c>
      <c r="AR157" s="17">
        <f t="shared" si="98"/>
        <v>114017</v>
      </c>
    </row>
    <row r="159" spans="2:2">
      <c r="B159" t="s">
        <v>156</v>
      </c>
    </row>
    <row r="160" spans="3:44">
      <c r="C160" t="s">
        <v>157</v>
      </c>
      <c r="F160" s="12">
        <v>25922</v>
      </c>
      <c r="G160" s="12">
        <v>28767</v>
      </c>
      <c r="H160" s="12">
        <v>32982</v>
      </c>
      <c r="I160" s="12">
        <v>36307</v>
      </c>
      <c r="J160" s="12">
        <v>40247</v>
      </c>
      <c r="K160" s="12">
        <v>45049</v>
      </c>
      <c r="L160" s="12">
        <v>50552</v>
      </c>
      <c r="M160" s="12">
        <v>58510</v>
      </c>
      <c r="N160" s="12">
        <v>61774</v>
      </c>
      <c r="O160" s="12">
        <v>68184</v>
      </c>
      <c r="P160" s="12">
        <v>76534</v>
      </c>
      <c r="Z160" s="12">
        <v>50552</v>
      </c>
      <c r="AA160" s="12">
        <v>53688</v>
      </c>
      <c r="AB160" s="12">
        <v>55937</v>
      </c>
      <c r="AC160" s="12">
        <v>57307</v>
      </c>
      <c r="AD160" s="12">
        <v>58510</v>
      </c>
      <c r="AE160" s="12">
        <v>59436</v>
      </c>
      <c r="AF160" s="12">
        <v>60436</v>
      </c>
      <c r="AG160" s="12">
        <v>61193</v>
      </c>
      <c r="AH160" s="12">
        <v>61774</v>
      </c>
      <c r="AI160" s="12">
        <v>62832</v>
      </c>
      <c r="AJ160" s="12">
        <v>64402</v>
      </c>
      <c r="AK160" s="12">
        <v>66258</v>
      </c>
      <c r="AL160" s="12">
        <v>68184</v>
      </c>
      <c r="AM160" s="12">
        <v>70269</v>
      </c>
      <c r="AN160" s="12">
        <v>72248</v>
      </c>
      <c r="AO160" s="12">
        <v>74591</v>
      </c>
      <c r="AP160" s="12">
        <v>76534</v>
      </c>
      <c r="AQ160" s="12">
        <v>77913</v>
      </c>
      <c r="AR160" s="12">
        <v>79732</v>
      </c>
    </row>
    <row r="161" spans="3:44">
      <c r="C161" t="s">
        <v>158</v>
      </c>
      <c r="F161" s="12">
        <v>125</v>
      </c>
      <c r="G161" s="12">
        <v>27</v>
      </c>
      <c r="H161" s="12">
        <v>-1874</v>
      </c>
      <c r="I161" s="12">
        <v>-2402</v>
      </c>
      <c r="J161" s="12">
        <v>-992</v>
      </c>
      <c r="K161" s="12">
        <v>-2309</v>
      </c>
      <c r="L161" s="12">
        <v>-1232</v>
      </c>
      <c r="M161" s="12">
        <v>633</v>
      </c>
      <c r="N161" s="12">
        <v>-1623</v>
      </c>
      <c r="O161" s="12">
        <v>-7603</v>
      </c>
      <c r="P161" s="12">
        <v>-4402</v>
      </c>
      <c r="Z161" s="12">
        <v>-1232</v>
      </c>
      <c r="AA161" s="12">
        <v>-1097</v>
      </c>
      <c r="AB161" s="12">
        <v>-296</v>
      </c>
      <c r="AC161" s="12">
        <v>46</v>
      </c>
      <c r="AD161" s="12">
        <v>633</v>
      </c>
      <c r="AE161" s="12">
        <v>-3</v>
      </c>
      <c r="AF161" s="12">
        <v>190</v>
      </c>
      <c r="AG161" s="12">
        <v>-408</v>
      </c>
      <c r="AH161" s="12">
        <v>-1623</v>
      </c>
      <c r="AI161" s="12">
        <v>-4049</v>
      </c>
      <c r="AJ161" s="12">
        <v>-5828</v>
      </c>
      <c r="AK161" s="12">
        <v>-8852</v>
      </c>
      <c r="AL161" s="12">
        <v>-7603</v>
      </c>
      <c r="AM161" s="12">
        <v>-6000</v>
      </c>
      <c r="AN161" s="12">
        <v>-5991</v>
      </c>
      <c r="AO161" s="12">
        <v>-7036</v>
      </c>
      <c r="AP161" s="12">
        <v>-4402</v>
      </c>
      <c r="AQ161" s="12">
        <v>-4839</v>
      </c>
      <c r="AR161" s="12">
        <v>-5012</v>
      </c>
    </row>
    <row r="162" spans="3:44">
      <c r="C162" t="s">
        <v>159</v>
      </c>
      <c r="F162" s="12">
        <v>61262</v>
      </c>
      <c r="G162" s="12">
        <v>75066</v>
      </c>
      <c r="H162" s="12">
        <v>89223</v>
      </c>
      <c r="I162" s="12">
        <v>105131</v>
      </c>
      <c r="J162" s="12">
        <v>113247</v>
      </c>
      <c r="K162" s="12">
        <v>134885</v>
      </c>
      <c r="L162" s="12">
        <v>152122</v>
      </c>
      <c r="M162" s="12">
        <v>163401</v>
      </c>
      <c r="N162" s="12">
        <v>191484</v>
      </c>
      <c r="O162" s="12">
        <v>195563</v>
      </c>
      <c r="P162" s="12">
        <v>211247</v>
      </c>
      <c r="Z162" s="12">
        <v>152122</v>
      </c>
      <c r="AA162" s="12">
        <v>151068</v>
      </c>
      <c r="AB162" s="12">
        <v>151681</v>
      </c>
      <c r="AC162" s="12">
        <v>155567</v>
      </c>
      <c r="AD162" s="12">
        <v>163401</v>
      </c>
      <c r="AE162" s="12">
        <v>170580</v>
      </c>
      <c r="AF162" s="12">
        <v>176939</v>
      </c>
      <c r="AG162" s="12">
        <v>183782</v>
      </c>
      <c r="AH162" s="12">
        <v>191484</v>
      </c>
      <c r="AI162" s="12">
        <v>195221</v>
      </c>
      <c r="AJ162" s="12">
        <v>196845</v>
      </c>
      <c r="AK162" s="12">
        <v>196220</v>
      </c>
      <c r="AL162" s="12">
        <v>195563</v>
      </c>
      <c r="AM162" s="12">
        <v>196625</v>
      </c>
      <c r="AN162" s="12">
        <v>200884</v>
      </c>
      <c r="AO162" s="12">
        <v>205647</v>
      </c>
      <c r="AP162" s="12">
        <v>211247</v>
      </c>
      <c r="AQ162" s="12">
        <v>219770</v>
      </c>
      <c r="AR162" s="12">
        <v>226033</v>
      </c>
    </row>
    <row r="163" spans="2:44">
      <c r="B163" t="s">
        <v>160</v>
      </c>
      <c r="F163" s="17">
        <f t="shared" ref="F163:L163" si="99">SUM(F160:F162)</f>
        <v>87309</v>
      </c>
      <c r="G163" s="17">
        <f t="shared" si="99"/>
        <v>103860</v>
      </c>
      <c r="H163" s="17">
        <f t="shared" si="99"/>
        <v>120331</v>
      </c>
      <c r="I163" s="17">
        <f t="shared" si="99"/>
        <v>139036</v>
      </c>
      <c r="J163" s="17">
        <f t="shared" si="99"/>
        <v>152502</v>
      </c>
      <c r="K163" s="17">
        <f t="shared" si="99"/>
        <v>177625</v>
      </c>
      <c r="L163" s="17">
        <f t="shared" si="99"/>
        <v>201442</v>
      </c>
      <c r="M163" s="17">
        <f t="shared" ref="L163:P163" si="100">SUM(M160:M162)</f>
        <v>222544</v>
      </c>
      <c r="N163" s="17">
        <f t="shared" si="100"/>
        <v>251635</v>
      </c>
      <c r="O163" s="17">
        <f t="shared" si="100"/>
        <v>256144</v>
      </c>
      <c r="P163" s="17">
        <f t="shared" si="100"/>
        <v>283379</v>
      </c>
      <c r="W163" s="17">
        <f t="shared" ref="W163:AR163" si="101">SUM(W160:W162)</f>
        <v>0</v>
      </c>
      <c r="X163" s="17">
        <f t="shared" si="101"/>
        <v>0</v>
      </c>
      <c r="Y163" s="17">
        <f t="shared" si="101"/>
        <v>0</v>
      </c>
      <c r="Z163" s="17">
        <f t="shared" si="101"/>
        <v>201442</v>
      </c>
      <c r="AA163" s="17">
        <f t="shared" si="101"/>
        <v>203659</v>
      </c>
      <c r="AB163" s="17">
        <f t="shared" si="101"/>
        <v>207322</v>
      </c>
      <c r="AC163" s="17">
        <f t="shared" si="101"/>
        <v>212920</v>
      </c>
      <c r="AD163" s="17">
        <f t="shared" si="101"/>
        <v>222544</v>
      </c>
      <c r="AE163" s="17">
        <f t="shared" si="101"/>
        <v>230013</v>
      </c>
      <c r="AF163" s="17">
        <f t="shared" si="101"/>
        <v>237565</v>
      </c>
      <c r="AG163" s="17">
        <f t="shared" si="101"/>
        <v>244567</v>
      </c>
      <c r="AH163" s="17">
        <f t="shared" si="101"/>
        <v>251635</v>
      </c>
      <c r="AI163" s="17">
        <f t="shared" si="101"/>
        <v>254004</v>
      </c>
      <c r="AJ163" s="17">
        <f t="shared" si="101"/>
        <v>255419</v>
      </c>
      <c r="AK163" s="17">
        <f t="shared" si="101"/>
        <v>253626</v>
      </c>
      <c r="AL163" s="17">
        <f t="shared" si="101"/>
        <v>256144</v>
      </c>
      <c r="AM163" s="17">
        <f t="shared" si="101"/>
        <v>260894</v>
      </c>
      <c r="AN163" s="17">
        <f t="shared" si="101"/>
        <v>267141</v>
      </c>
      <c r="AO163" s="17">
        <f t="shared" si="101"/>
        <v>273202</v>
      </c>
      <c r="AP163" s="17">
        <f t="shared" si="101"/>
        <v>283379</v>
      </c>
      <c r="AQ163" s="17">
        <f t="shared" si="101"/>
        <v>292844</v>
      </c>
      <c r="AR163" s="17">
        <f t="shared" si="101"/>
        <v>300753</v>
      </c>
    </row>
    <row r="165" spans="2:44">
      <c r="B165" t="s">
        <v>161</v>
      </c>
      <c r="F165" s="17">
        <f t="shared" ref="F165:L165" si="102">F157+F163</f>
        <v>110920</v>
      </c>
      <c r="G165" s="17">
        <f t="shared" si="102"/>
        <v>129187</v>
      </c>
      <c r="H165" s="17">
        <f t="shared" si="102"/>
        <v>147461</v>
      </c>
      <c r="I165" s="17">
        <f t="shared" si="102"/>
        <v>167497</v>
      </c>
      <c r="J165" s="17">
        <f t="shared" si="102"/>
        <v>197295</v>
      </c>
      <c r="K165" s="17">
        <f t="shared" si="102"/>
        <v>232789</v>
      </c>
      <c r="L165" s="17">
        <f t="shared" si="102"/>
        <v>275909</v>
      </c>
      <c r="M165" s="17">
        <f t="shared" ref="L165:P165" si="103">M157+M163</f>
        <v>319616</v>
      </c>
      <c r="N165" s="17">
        <f t="shared" si="103"/>
        <v>359268</v>
      </c>
      <c r="O165" s="17">
        <f t="shared" si="103"/>
        <v>365264</v>
      </c>
      <c r="P165" s="17">
        <f t="shared" si="103"/>
        <v>402392</v>
      </c>
      <c r="W165" s="17">
        <f t="shared" ref="W165:AR165" si="104">W157+W163</f>
        <v>0</v>
      </c>
      <c r="X165" s="17">
        <f t="shared" si="104"/>
        <v>0</v>
      </c>
      <c r="Y165" s="17">
        <f t="shared" si="104"/>
        <v>0</v>
      </c>
      <c r="Z165" s="17">
        <f t="shared" si="104"/>
        <v>275909</v>
      </c>
      <c r="AA165" s="17">
        <f t="shared" si="104"/>
        <v>273403</v>
      </c>
      <c r="AB165" s="17">
        <f t="shared" si="104"/>
        <v>278492</v>
      </c>
      <c r="AC165" s="17">
        <f t="shared" si="104"/>
        <v>299243</v>
      </c>
      <c r="AD165" s="17">
        <f t="shared" si="104"/>
        <v>319616</v>
      </c>
      <c r="AE165" s="17">
        <f t="shared" si="104"/>
        <v>327095</v>
      </c>
      <c r="AF165" s="17">
        <f t="shared" si="104"/>
        <v>335387</v>
      </c>
      <c r="AG165" s="17">
        <f t="shared" si="104"/>
        <v>347403</v>
      </c>
      <c r="AH165" s="17">
        <f t="shared" si="104"/>
        <v>359268</v>
      </c>
      <c r="AI165" s="17">
        <f t="shared" si="104"/>
        <v>357096</v>
      </c>
      <c r="AJ165" s="17">
        <f t="shared" si="104"/>
        <v>355185</v>
      </c>
      <c r="AK165" s="17">
        <f t="shared" si="104"/>
        <v>358255</v>
      </c>
      <c r="AL165" s="17">
        <f t="shared" si="104"/>
        <v>365264</v>
      </c>
      <c r="AM165" s="17">
        <f t="shared" si="104"/>
        <v>369491</v>
      </c>
      <c r="AN165" s="17">
        <f t="shared" si="104"/>
        <v>383044</v>
      </c>
      <c r="AO165" s="17">
        <f t="shared" si="104"/>
        <v>396711</v>
      </c>
      <c r="AP165" s="17">
        <f t="shared" si="104"/>
        <v>402392</v>
      </c>
      <c r="AQ165" s="17">
        <f t="shared" si="104"/>
        <v>407350</v>
      </c>
      <c r="AR165" s="17">
        <f t="shared" si="104"/>
        <v>414770</v>
      </c>
    </row>
    <row r="167" ht="15.75" spans="3:4">
      <c r="C167" s="23" t="s">
        <v>4</v>
      </c>
      <c r="D167" s="22"/>
    </row>
    <row r="168" s="7" customFormat="1" spans="3:45">
      <c r="C168" s="28" t="s">
        <v>162</v>
      </c>
      <c r="D168" s="29"/>
      <c r="E168" s="30"/>
      <c r="F168" s="30">
        <f t="shared" ref="F168:P168" si="105">F157/F138</f>
        <v>0.212865128020195</v>
      </c>
      <c r="G168" s="30">
        <f t="shared" si="105"/>
        <v>0.196049138071168</v>
      </c>
      <c r="H168" s="30">
        <f t="shared" si="105"/>
        <v>0.18398084917368</v>
      </c>
      <c r="I168" s="30">
        <f t="shared" si="105"/>
        <v>0.169919461244082</v>
      </c>
      <c r="J168" s="30">
        <f t="shared" si="105"/>
        <v>0.227035657264502</v>
      </c>
      <c r="K168" s="30">
        <f t="shared" si="105"/>
        <v>0.236966906079247</v>
      </c>
      <c r="L168" s="30">
        <f t="shared" si="105"/>
        <v>0.269896958779888</v>
      </c>
      <c r="M168" s="30">
        <f t="shared" si="105"/>
        <v>0.303714457348819</v>
      </c>
      <c r="N168" s="30">
        <f t="shared" si="105"/>
        <v>0.299589721322244</v>
      </c>
      <c r="O168" s="30">
        <f t="shared" si="105"/>
        <v>0.298742827105874</v>
      </c>
      <c r="P168" s="30">
        <f t="shared" si="105"/>
        <v>0.295763832282948</v>
      </c>
      <c r="Q168" s="30"/>
      <c r="R168" s="95">
        <f>AVERAGE(E168:Q168)</f>
        <v>0.244956812426604</v>
      </c>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row>
    <row r="169" s="7" customFormat="1" spans="3:45">
      <c r="C169" s="28" t="s">
        <v>163</v>
      </c>
      <c r="D169" s="29"/>
      <c r="E169" s="30"/>
      <c r="F169" s="30">
        <f t="shared" ref="F169:P169" si="106">F157/F163</f>
        <v>0.270430310735434</v>
      </c>
      <c r="G169" s="30">
        <f t="shared" si="106"/>
        <v>0.243857115347583</v>
      </c>
      <c r="H169" s="30">
        <f t="shared" si="106"/>
        <v>0.225461435540301</v>
      </c>
      <c r="I169" s="30">
        <f t="shared" si="106"/>
        <v>0.204702379239909</v>
      </c>
      <c r="J169" s="30">
        <f t="shared" si="106"/>
        <v>0.293720738088681</v>
      </c>
      <c r="K169" s="30">
        <f t="shared" si="106"/>
        <v>0.310564391273751</v>
      </c>
      <c r="L169" s="30">
        <f t="shared" si="106"/>
        <v>0.369669681595695</v>
      </c>
      <c r="M169" s="30">
        <f t="shared" si="106"/>
        <v>0.436192393414336</v>
      </c>
      <c r="N169" s="30">
        <f t="shared" si="106"/>
        <v>0.427734615613885</v>
      </c>
      <c r="O169" s="30">
        <f t="shared" si="106"/>
        <v>0.426010369167343</v>
      </c>
      <c r="P169" s="30">
        <f t="shared" si="106"/>
        <v>0.419978191750271</v>
      </c>
      <c r="Q169" s="30"/>
      <c r="R169" s="95">
        <f>AVERAGE(E169:Q169)</f>
        <v>0.329847420160654</v>
      </c>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row>
    <row r="170" s="7" customFormat="1" spans="3:45">
      <c r="C170" s="28" t="s">
        <v>164</v>
      </c>
      <c r="D170" s="29"/>
      <c r="E170" s="30"/>
      <c r="F170" s="30">
        <f>F157/F79</f>
        <v>0.425277832813992</v>
      </c>
      <c r="G170" s="30">
        <f t="shared" ref="G170:P170" si="107">G157/G79</f>
        <v>0.383736610051363</v>
      </c>
      <c r="H170" s="30">
        <f t="shared" si="107"/>
        <v>0.361786395337983</v>
      </c>
      <c r="I170" s="30">
        <f t="shared" si="107"/>
        <v>0.315280485643389</v>
      </c>
      <c r="J170" s="30">
        <f t="shared" si="107"/>
        <v>0.404068377610392</v>
      </c>
      <c r="K170" s="30">
        <f t="shared" si="107"/>
        <v>0.403189615477383</v>
      </c>
      <c r="L170" s="30">
        <f t="shared" si="107"/>
        <v>0.460078958586901</v>
      </c>
      <c r="M170" s="30">
        <f t="shared" si="107"/>
        <v>0.531822689245975</v>
      </c>
      <c r="N170" s="30">
        <f t="shared" si="107"/>
        <v>0.417769963165229</v>
      </c>
      <c r="O170" s="30">
        <f t="shared" si="107"/>
        <v>0.385806615848053</v>
      </c>
      <c r="P170" s="30">
        <f t="shared" si="107"/>
        <v>0.387167608996923</v>
      </c>
      <c r="Q170" s="30"/>
      <c r="R170" s="95">
        <f>AVERAGE(E170:Q170)</f>
        <v>0.406907741161598</v>
      </c>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row>
    <row r="172" customFormat="1" ht="15.75" spans="3:22">
      <c r="C172" s="23" t="s">
        <v>5</v>
      </c>
      <c r="D172" s="22"/>
      <c r="E172" s="11"/>
      <c r="F172" s="12"/>
      <c r="G172" s="12"/>
      <c r="H172" s="12"/>
      <c r="I172" s="12"/>
      <c r="J172" s="12"/>
      <c r="K172" s="12"/>
      <c r="L172" s="12"/>
      <c r="M172" s="12"/>
      <c r="N172" s="12"/>
      <c r="O172" s="12"/>
      <c r="P172" s="12"/>
      <c r="Q172" s="11"/>
      <c r="R172" s="12"/>
      <c r="S172" s="30"/>
      <c r="T172" s="30"/>
      <c r="U172" s="30"/>
      <c r="V172" s="12"/>
    </row>
    <row r="173" s="7" customFormat="1" spans="3:22">
      <c r="C173" s="28" t="s">
        <v>165</v>
      </c>
      <c r="D173" s="29"/>
      <c r="E173" s="30"/>
      <c r="F173" s="30">
        <f>F79/F124</f>
        <v>6.2507318171583</v>
      </c>
      <c r="G173" s="30">
        <f t="shared" ref="G173:P173" si="108">G79/G124</f>
        <v>7.03410423105617</v>
      </c>
      <c r="H173" s="30">
        <f t="shared" si="108"/>
        <v>6.48918310834199</v>
      </c>
      <c r="I173" s="30">
        <f t="shared" si="108"/>
        <v>6.38551319233218</v>
      </c>
      <c r="J173" s="30">
        <f t="shared" si="108"/>
        <v>6.04575698080279</v>
      </c>
      <c r="K173" s="30">
        <f t="shared" si="108"/>
        <v>6.56584125155965</v>
      </c>
      <c r="L173" s="30">
        <f t="shared" si="108"/>
        <v>6.39094211482271</v>
      </c>
      <c r="M173" s="30">
        <f t="shared" si="108"/>
        <v>5.90129324280634</v>
      </c>
      <c r="N173" s="30">
        <f t="shared" si="108"/>
        <v>6.55498168125382</v>
      </c>
      <c r="O173" s="30">
        <f t="shared" si="108"/>
        <v>7.025584976899</v>
      </c>
      <c r="P173" s="30">
        <f t="shared" si="108"/>
        <v>6.40884830289384</v>
      </c>
      <c r="Q173" s="30"/>
      <c r="R173" s="95">
        <f>AVERAGE(E173:Q173)</f>
        <v>6.45934371817516</v>
      </c>
      <c r="V173" s="30"/>
    </row>
    <row r="174" s="7" customFormat="1" spans="3:22">
      <c r="C174" s="28" t="s">
        <v>166</v>
      </c>
      <c r="D174" s="29"/>
      <c r="E174" s="30"/>
      <c r="F174" s="30">
        <f>F80/F141</f>
        <v>8.96575621687729</v>
      </c>
      <c r="G174" s="30">
        <f t="shared" ref="G174:P174" si="109">G80/G141</f>
        <v>14.9801749271137</v>
      </c>
      <c r="H174" s="30">
        <f t="shared" si="109"/>
        <v>14.5851890212325</v>
      </c>
      <c r="I174" s="30">
        <f t="shared" si="109"/>
        <v>17.2160705536502</v>
      </c>
      <c r="J174" s="30">
        <f t="shared" si="109"/>
        <v>14.5307618744023</v>
      </c>
      <c r="K174" s="30">
        <f t="shared" si="109"/>
        <v>13.6018730013705</v>
      </c>
      <c r="L174" s="30">
        <f t="shared" si="109"/>
        <v>12.928609962237</v>
      </c>
      <c r="M174" s="30">
        <f t="shared" si="109"/>
        <v>15.1604938271605</v>
      </c>
      <c r="N174" s="30">
        <f t="shared" si="109"/>
        <v>18.3765115123406</v>
      </c>
      <c r="O174" s="30">
        <f t="shared" si="109"/>
        <v>24.6105694227769</v>
      </c>
      <c r="P174" s="30">
        <f t="shared" si="109"/>
        <v>17.7942079273989</v>
      </c>
      <c r="Q174" s="30"/>
      <c r="R174" s="95">
        <f>AVERAGE(E174:Q174)</f>
        <v>15.7045652951419</v>
      </c>
      <c r="V174" s="30"/>
    </row>
    <row r="178" ht="15.75" spans="2:2">
      <c r="B178" s="16" t="s">
        <v>167</v>
      </c>
    </row>
    <row r="179" spans="2:2">
      <c r="B179" t="s">
        <v>168</v>
      </c>
    </row>
    <row r="180" spans="3:44">
      <c r="C180" t="s">
        <v>112</v>
      </c>
      <c r="F180" s="12">
        <v>12733</v>
      </c>
      <c r="G180" s="12">
        <v>14136</v>
      </c>
      <c r="H180" s="12">
        <v>16348</v>
      </c>
      <c r="I180" s="12">
        <v>19478</v>
      </c>
      <c r="J180" s="12">
        <v>12662</v>
      </c>
      <c r="K180" s="12">
        <v>30736</v>
      </c>
      <c r="L180" s="12">
        <v>34343</v>
      </c>
      <c r="M180" s="12">
        <v>40269</v>
      </c>
      <c r="N180" s="12">
        <v>76033</v>
      </c>
      <c r="O180" s="12">
        <v>59972</v>
      </c>
      <c r="P180" s="12">
        <v>73795</v>
      </c>
      <c r="W180" s="12">
        <v>6657</v>
      </c>
      <c r="X180" s="12">
        <v>9947</v>
      </c>
      <c r="Y180" s="12">
        <v>7068</v>
      </c>
      <c r="Z180" s="12">
        <v>10671</v>
      </c>
      <c r="AA180" s="12">
        <v>6836</v>
      </c>
      <c r="AB180" s="12">
        <v>6959</v>
      </c>
      <c r="AC180" s="12">
        <v>11247</v>
      </c>
      <c r="AD180" s="12">
        <v>15227</v>
      </c>
      <c r="AE180" s="12">
        <v>17930</v>
      </c>
      <c r="AF180" s="12">
        <v>18525</v>
      </c>
      <c r="AG180" s="12">
        <v>18936</v>
      </c>
      <c r="AH180" s="12">
        <v>20642</v>
      </c>
      <c r="AI180" s="12">
        <v>16436</v>
      </c>
      <c r="AJ180" s="12">
        <v>16002</v>
      </c>
      <c r="AK180" s="12">
        <v>13910</v>
      </c>
      <c r="AL180" s="12">
        <v>13624</v>
      </c>
      <c r="AM180" s="12">
        <v>15051</v>
      </c>
      <c r="AN180" s="12">
        <v>18368</v>
      </c>
      <c r="AO180" s="12">
        <v>19689</v>
      </c>
      <c r="AP180" s="12">
        <v>20687</v>
      </c>
      <c r="AQ180" s="12">
        <v>23662</v>
      </c>
      <c r="AR180" s="12">
        <v>23619</v>
      </c>
    </row>
    <row r="181" spans="3:44">
      <c r="C181" t="s">
        <v>169</v>
      </c>
      <c r="F181" s="12">
        <v>2781</v>
      </c>
      <c r="G181" s="12">
        <v>3523</v>
      </c>
      <c r="H181" s="12">
        <v>4132</v>
      </c>
      <c r="I181" s="12">
        <v>5267</v>
      </c>
      <c r="J181" s="12">
        <v>6103</v>
      </c>
      <c r="K181" s="12">
        <v>8164</v>
      </c>
      <c r="L181" s="12">
        <v>10856</v>
      </c>
      <c r="M181" s="12">
        <v>12905</v>
      </c>
      <c r="N181" s="12">
        <v>10273</v>
      </c>
      <c r="O181" s="12">
        <v>13475</v>
      </c>
      <c r="P181" s="12">
        <v>11946</v>
      </c>
      <c r="W181" s="12">
        <v>2416</v>
      </c>
      <c r="X181" s="12">
        <v>2626</v>
      </c>
      <c r="Y181" s="12">
        <v>2732</v>
      </c>
      <c r="Z181" s="12">
        <v>3082</v>
      </c>
      <c r="AA181" s="12">
        <v>2899</v>
      </c>
      <c r="AB181" s="12">
        <v>3178</v>
      </c>
      <c r="AC181" s="12">
        <v>3289</v>
      </c>
      <c r="AD181" s="12">
        <v>3539</v>
      </c>
      <c r="AE181" s="12">
        <v>2525</v>
      </c>
      <c r="AF181" s="12">
        <v>2730</v>
      </c>
      <c r="AG181" s="12">
        <v>3085</v>
      </c>
      <c r="AH181" s="12">
        <v>3215</v>
      </c>
      <c r="AI181" s="12">
        <v>3591</v>
      </c>
      <c r="AJ181" s="12">
        <v>3698</v>
      </c>
      <c r="AK181" s="12">
        <v>3933</v>
      </c>
      <c r="AL181" s="12">
        <v>3602</v>
      </c>
      <c r="AM181" s="12">
        <v>2635</v>
      </c>
      <c r="AN181" s="12">
        <v>2824</v>
      </c>
      <c r="AO181" s="12">
        <v>3671</v>
      </c>
      <c r="AP181" s="12">
        <v>3316</v>
      </c>
      <c r="AQ181" s="12">
        <v>3413</v>
      </c>
      <c r="AR181" s="12">
        <v>3708</v>
      </c>
    </row>
    <row r="182" spans="3:44">
      <c r="C182" t="s">
        <v>170</v>
      </c>
      <c r="F182" s="12">
        <v>1158</v>
      </c>
      <c r="G182" s="12">
        <v>1456</v>
      </c>
      <c r="H182" s="12">
        <v>931</v>
      </c>
      <c r="I182" s="12">
        <v>877</v>
      </c>
      <c r="J182" s="12">
        <v>812</v>
      </c>
      <c r="K182" s="12">
        <v>871</v>
      </c>
      <c r="L182" s="12">
        <v>925</v>
      </c>
      <c r="M182" s="12">
        <v>792</v>
      </c>
      <c r="N182" s="12">
        <v>0</v>
      </c>
      <c r="O182" s="12">
        <v>0</v>
      </c>
      <c r="P182" s="12">
        <v>0</v>
      </c>
      <c r="W182" s="12">
        <v>197</v>
      </c>
      <c r="X182" s="12">
        <v>209</v>
      </c>
      <c r="Y182" s="12">
        <v>188</v>
      </c>
      <c r="Z182" s="12">
        <v>331</v>
      </c>
      <c r="AA182" s="12">
        <v>209</v>
      </c>
      <c r="AB182" s="12">
        <v>208</v>
      </c>
      <c r="AC182" s="12">
        <v>189</v>
      </c>
      <c r="AD182" s="12">
        <v>186</v>
      </c>
      <c r="AE182" s="12">
        <v>228</v>
      </c>
      <c r="AF182" s="12">
        <v>215</v>
      </c>
      <c r="AG182" s="12">
        <v>219</v>
      </c>
      <c r="AH182" s="12">
        <v>224</v>
      </c>
      <c r="AI182" s="12">
        <v>191</v>
      </c>
      <c r="AJ182" s="12">
        <v>201</v>
      </c>
      <c r="AK182" s="12">
        <v>113</v>
      </c>
      <c r="AL182" s="12">
        <v>0</v>
      </c>
      <c r="AM182" s="12">
        <v>0</v>
      </c>
      <c r="AN182" s="12">
        <v>0</v>
      </c>
      <c r="AO182" s="12">
        <v>129</v>
      </c>
      <c r="AP182" s="12">
        <v>0</v>
      </c>
      <c r="AQ182" s="12">
        <v>0</v>
      </c>
      <c r="AR182" s="12">
        <v>0</v>
      </c>
    </row>
    <row r="183" spans="3:44">
      <c r="C183" t="s">
        <v>171</v>
      </c>
      <c r="F183" s="12">
        <v>3343</v>
      </c>
      <c r="G183" s="12">
        <v>4279</v>
      </c>
      <c r="H183" s="12">
        <v>5203</v>
      </c>
      <c r="I183" s="12">
        <v>6703</v>
      </c>
      <c r="J183" s="12">
        <v>7679</v>
      </c>
      <c r="K183" s="12">
        <v>9353</v>
      </c>
      <c r="L183" s="12">
        <v>10794</v>
      </c>
      <c r="M183" s="12">
        <v>12991</v>
      </c>
      <c r="N183" s="12">
        <v>15376</v>
      </c>
      <c r="O183" s="12">
        <v>19362</v>
      </c>
      <c r="P183" s="12">
        <v>22460</v>
      </c>
      <c r="W183" s="12">
        <v>2769</v>
      </c>
      <c r="X183" s="12">
        <v>2756</v>
      </c>
      <c r="Y183" s="12">
        <v>2624</v>
      </c>
      <c r="Z183" s="12">
        <v>2645</v>
      </c>
      <c r="AA183" s="12">
        <v>3191</v>
      </c>
      <c r="AB183" s="12">
        <v>3382</v>
      </c>
      <c r="AC183" s="12">
        <v>3195</v>
      </c>
      <c r="AD183" s="12">
        <v>3223</v>
      </c>
      <c r="AE183" s="12">
        <v>3745</v>
      </c>
      <c r="AF183" s="12">
        <v>3803</v>
      </c>
      <c r="AG183" s="12">
        <v>3874</v>
      </c>
      <c r="AH183" s="12">
        <v>3954</v>
      </c>
      <c r="AI183" s="12">
        <v>4504</v>
      </c>
      <c r="AJ183" s="12">
        <v>4782</v>
      </c>
      <c r="AK183" s="12">
        <v>4976</v>
      </c>
      <c r="AL183" s="12">
        <v>5100</v>
      </c>
      <c r="AM183" s="12">
        <v>5284</v>
      </c>
      <c r="AN183" s="12">
        <v>5774</v>
      </c>
      <c r="AO183" s="12">
        <v>5743</v>
      </c>
      <c r="AP183" s="12">
        <v>5659</v>
      </c>
      <c r="AQ183" s="12">
        <v>5264</v>
      </c>
      <c r="AR183" s="12">
        <v>5865</v>
      </c>
    </row>
    <row r="184" spans="3:44">
      <c r="C184" t="s">
        <v>134</v>
      </c>
      <c r="F184" s="12">
        <v>-437</v>
      </c>
      <c r="G184" s="12">
        <v>-104</v>
      </c>
      <c r="H184" s="12">
        <v>-179</v>
      </c>
      <c r="I184" s="12">
        <v>-38</v>
      </c>
      <c r="J184" s="12">
        <v>258</v>
      </c>
      <c r="K184" s="12">
        <v>778</v>
      </c>
      <c r="L184" s="12">
        <v>173</v>
      </c>
      <c r="M184" s="12">
        <v>1390</v>
      </c>
      <c r="N184" s="12">
        <v>1808</v>
      </c>
      <c r="O184" s="12">
        <v>-8081</v>
      </c>
      <c r="P184" s="12">
        <v>-7763</v>
      </c>
      <c r="W184" s="12">
        <v>-73</v>
      </c>
      <c r="X184" s="12">
        <v>693</v>
      </c>
      <c r="Y184" s="12">
        <v>-239</v>
      </c>
      <c r="Z184" s="12">
        <v>-208</v>
      </c>
      <c r="AA184" s="12">
        <v>175</v>
      </c>
      <c r="AB184" s="12">
        <v>-591</v>
      </c>
      <c r="AC184" s="12">
        <v>136</v>
      </c>
      <c r="AD184" s="12">
        <v>1670</v>
      </c>
      <c r="AE184" s="12">
        <v>1100</v>
      </c>
      <c r="AF184" s="12">
        <v>379</v>
      </c>
      <c r="AG184" s="12">
        <v>-1287</v>
      </c>
      <c r="AH184" s="12">
        <v>1616</v>
      </c>
      <c r="AI184" s="12">
        <v>-2090</v>
      </c>
      <c r="AJ184" s="12">
        <v>-2147</v>
      </c>
      <c r="AK184" s="12">
        <v>-1920</v>
      </c>
      <c r="AL184" s="12">
        <v>-1924</v>
      </c>
      <c r="AM184" s="12">
        <v>-1854</v>
      </c>
      <c r="AN184" s="12">
        <v>-2415</v>
      </c>
      <c r="AO184" s="12">
        <v>-1824</v>
      </c>
      <c r="AP184" s="12">
        <v>-1670</v>
      </c>
      <c r="AQ184" s="12">
        <v>419</v>
      </c>
      <c r="AR184" s="12">
        <v>-3157</v>
      </c>
    </row>
    <row r="185" spans="3:44">
      <c r="C185" t="s">
        <v>172</v>
      </c>
      <c r="F185" s="12">
        <v>-166</v>
      </c>
      <c r="G185" s="12">
        <v>-390</v>
      </c>
      <c r="H185" s="12">
        <v>334</v>
      </c>
      <c r="I185" s="12">
        <v>73</v>
      </c>
      <c r="J185" s="12">
        <v>37</v>
      </c>
      <c r="K185" s="12">
        <v>-6650</v>
      </c>
      <c r="L185" s="12">
        <v>-2798</v>
      </c>
      <c r="M185" s="12">
        <v>-6317</v>
      </c>
      <c r="N185" s="12">
        <v>-12270</v>
      </c>
      <c r="O185" s="12">
        <v>5519</v>
      </c>
      <c r="P185" s="12">
        <v>823</v>
      </c>
      <c r="W185" s="12">
        <v>-1081</v>
      </c>
      <c r="X185" s="12">
        <v>-2797</v>
      </c>
      <c r="Y185" s="12">
        <v>1479</v>
      </c>
      <c r="Z185" s="12">
        <v>-399</v>
      </c>
      <c r="AA185" s="12">
        <v>802</v>
      </c>
      <c r="AB185" s="12">
        <v>-1842</v>
      </c>
      <c r="AC185" s="12">
        <v>-2015</v>
      </c>
      <c r="AD185" s="12">
        <v>-3262</v>
      </c>
      <c r="AE185" s="12">
        <v>-4751</v>
      </c>
      <c r="AF185" s="12">
        <v>-2883</v>
      </c>
      <c r="AG185" s="12">
        <v>-2158</v>
      </c>
      <c r="AH185" s="12">
        <v>-2478</v>
      </c>
      <c r="AI185" s="12">
        <v>1437</v>
      </c>
      <c r="AJ185" s="12">
        <v>1041</v>
      </c>
      <c r="AK185" s="12">
        <v>1378</v>
      </c>
      <c r="AL185" s="12">
        <v>1663</v>
      </c>
      <c r="AM185" s="12">
        <v>-84</v>
      </c>
      <c r="AN185" s="12">
        <v>509</v>
      </c>
      <c r="AO185" s="12">
        <v>869</v>
      </c>
      <c r="AP185" s="12">
        <v>-471</v>
      </c>
      <c r="AQ185" s="12">
        <v>-1781</v>
      </c>
      <c r="AR185" s="12">
        <v>1024</v>
      </c>
    </row>
    <row r="186" spans="3:44">
      <c r="C186" t="s">
        <v>173</v>
      </c>
      <c r="F186" s="12">
        <f>-481-700+272</f>
        <v>-909</v>
      </c>
      <c r="G186" s="12">
        <f>-740+192</f>
        <v>-548</v>
      </c>
      <c r="H186" s="12">
        <v>212</v>
      </c>
      <c r="I186" s="12">
        <v>376</v>
      </c>
      <c r="J186" s="12">
        <v>294</v>
      </c>
      <c r="K186" s="12">
        <v>-189</v>
      </c>
      <c r="L186" s="12">
        <v>-592</v>
      </c>
      <c r="M186" s="12">
        <v>1267</v>
      </c>
      <c r="N186" s="12">
        <v>1955</v>
      </c>
      <c r="O186" s="12">
        <v>3483</v>
      </c>
      <c r="P186" s="12">
        <v>4330</v>
      </c>
      <c r="W186" s="12">
        <v>22</v>
      </c>
      <c r="X186" s="12">
        <v>-70</v>
      </c>
      <c r="Y186" s="12">
        <v>-71</v>
      </c>
      <c r="Z186" s="12">
        <v>-473</v>
      </c>
      <c r="AA186" s="12">
        <v>297</v>
      </c>
      <c r="AB186" s="12">
        <v>372</v>
      </c>
      <c r="AC186" s="12">
        <v>206</v>
      </c>
      <c r="AD186" s="12">
        <v>392</v>
      </c>
      <c r="AE186" s="12">
        <v>-255</v>
      </c>
      <c r="AF186" s="12">
        <v>-8</v>
      </c>
      <c r="AG186" s="12">
        <v>64</v>
      </c>
      <c r="AH186" s="12">
        <v>-14</v>
      </c>
      <c r="AI186" s="12">
        <v>140</v>
      </c>
      <c r="AJ186" s="12">
        <v>62</v>
      </c>
      <c r="AK186" s="12">
        <v>167</v>
      </c>
      <c r="AL186" s="12">
        <v>1260</v>
      </c>
      <c r="AM186" s="12">
        <v>1104</v>
      </c>
      <c r="AN186" s="12">
        <v>670</v>
      </c>
      <c r="AO186" s="12">
        <v>262</v>
      </c>
      <c r="AP186" s="12">
        <v>1665</v>
      </c>
      <c r="AQ186" s="12">
        <v>334</v>
      </c>
      <c r="AR186" s="12">
        <v>851</v>
      </c>
    </row>
    <row r="187" spans="3:44">
      <c r="C187" t="s">
        <v>174</v>
      </c>
      <c r="F187" s="12">
        <f>-1307+588-930+605+713+254+233</f>
        <v>156</v>
      </c>
      <c r="G187" s="12">
        <f>-1641+591+459+436+757+245-175</f>
        <v>672</v>
      </c>
      <c r="H187" s="12">
        <f>-2094-179-318+203+1597+339+43</f>
        <v>-409</v>
      </c>
      <c r="I187" s="12">
        <f>-2578+3125+312+110+1515+593+223</f>
        <v>3300</v>
      </c>
      <c r="J187" s="12">
        <f>-3768+8211-2164+731+4891+955+390</f>
        <v>9246</v>
      </c>
      <c r="K187" s="12">
        <f>-2169-2251-1207+1067+8614+483+371</f>
        <v>4908</v>
      </c>
      <c r="L187" s="12">
        <f>-4340-3128-621+428+7170+1273+37</f>
        <v>819</v>
      </c>
      <c r="M187" s="12">
        <f>-6524+1209-1330+694+5504+1639+635</f>
        <v>1827</v>
      </c>
      <c r="N187" s="12">
        <f>-9095-625-1846+283+7304+1682+774</f>
        <v>-1523</v>
      </c>
      <c r="O187" s="12">
        <f>-2317+584-5046+707+3915-445+367</f>
        <v>-2235</v>
      </c>
      <c r="P187" s="12">
        <f>-7833+523-2143+664+3937+482+525</f>
        <v>-3845</v>
      </c>
      <c r="W187" s="12">
        <f>1172+1068-265-425-229-147-81</f>
        <v>1093</v>
      </c>
      <c r="X187" s="12">
        <f>-1146-1043+89-18+1303+87-9</f>
        <v>-737</v>
      </c>
      <c r="Y187" s="12">
        <f>-1+185-611+57+1853+261-59</f>
        <v>1685</v>
      </c>
      <c r="Z187" s="12">
        <f>-4365-3338+166+814+4243+1072+186</f>
        <v>-1222</v>
      </c>
      <c r="AA187" s="12">
        <f>2602-245-115-835-3531-871+37</f>
        <v>-2958</v>
      </c>
      <c r="AB187" s="12">
        <f>-80+783-244+146+1432+179+111</f>
        <v>2327</v>
      </c>
      <c r="AC187" s="12">
        <f>-3601-69-233+420+2990+969+280</f>
        <v>756</v>
      </c>
      <c r="AD187" s="12">
        <f>-5445+740-738+963+4613+1362+207</f>
        <v>1702</v>
      </c>
      <c r="AE187" s="12">
        <f>2794+785+7-982-3530-444+137</f>
        <v>-1233</v>
      </c>
      <c r="AF187" s="12">
        <f>-3661-1082-199-130+3731+473-3</f>
        <v>-871</v>
      </c>
      <c r="AG187" s="12">
        <f>-2409+3041-1255+238+2562+357+272</f>
        <v>2806</v>
      </c>
      <c r="AH187" s="12">
        <f>-5819-3369-399+1157+4541+1296+368</f>
        <v>-2225</v>
      </c>
      <c r="AI187" s="12">
        <f>4364+3820-776-2373-3216-828-94</f>
        <v>897</v>
      </c>
      <c r="AJ187" s="12">
        <f>-1969-4073-845+1201+1497-114+86</f>
        <v>-4217</v>
      </c>
      <c r="AK187" s="12">
        <f>-97-609-2647+1907+2210-80+112</f>
        <v>796</v>
      </c>
      <c r="AL187" s="12">
        <f>-4615+1446-778-28+3424+577+263</f>
        <v>289</v>
      </c>
      <c r="AM187" s="12">
        <f>4454+4069-746-1105-4496-602-201</f>
        <v>1373</v>
      </c>
      <c r="AN187" s="12">
        <f>-2948+4451-513+1119+459+184+184</f>
        <v>2936</v>
      </c>
      <c r="AO187" s="12">
        <f>-2821+1872-1624+223+3657+103+707</f>
        <v>2117</v>
      </c>
      <c r="AP187" s="12">
        <f>-6518-9869+740+427+4317+797-165</f>
        <v>-10271</v>
      </c>
      <c r="AQ187" s="12">
        <f>3167+3011-1000-2124-5054-322-141</f>
        <v>-2463</v>
      </c>
      <c r="AR187" s="12">
        <f>-3057-3900-532+1561-122+419+361</f>
        <v>-5270</v>
      </c>
    </row>
    <row r="188" spans="2:44">
      <c r="B188" t="s">
        <v>175</v>
      </c>
      <c r="F188" s="17">
        <f t="shared" ref="F188:P188" si="110">SUM(F180:F187)</f>
        <v>18659</v>
      </c>
      <c r="G188" s="17">
        <f t="shared" si="110"/>
        <v>23024</v>
      </c>
      <c r="H188" s="17">
        <f t="shared" si="110"/>
        <v>26572</v>
      </c>
      <c r="I188" s="17">
        <f t="shared" si="110"/>
        <v>36036</v>
      </c>
      <c r="J188" s="17">
        <f t="shared" si="110"/>
        <v>37091</v>
      </c>
      <c r="K188" s="17">
        <f t="shared" si="110"/>
        <v>47971</v>
      </c>
      <c r="L188" s="17">
        <f t="shared" si="110"/>
        <v>54520</v>
      </c>
      <c r="M188" s="17">
        <f t="shared" si="110"/>
        <v>65124</v>
      </c>
      <c r="N188" s="17">
        <f t="shared" si="110"/>
        <v>91652</v>
      </c>
      <c r="O188" s="17">
        <f t="shared" si="110"/>
        <v>91495</v>
      </c>
      <c r="P188" s="17">
        <f t="shared" si="110"/>
        <v>101746</v>
      </c>
      <c r="W188" s="17">
        <f t="shared" ref="W188:AR188" si="111">SUM(W180:W187)</f>
        <v>12000</v>
      </c>
      <c r="X188" s="17">
        <f t="shared" si="111"/>
        <v>12627</v>
      </c>
      <c r="Y188" s="17">
        <f t="shared" si="111"/>
        <v>15466</v>
      </c>
      <c r="Z188" s="17">
        <f t="shared" si="111"/>
        <v>14427</v>
      </c>
      <c r="AA188" s="17">
        <f t="shared" si="111"/>
        <v>11451</v>
      </c>
      <c r="AB188" s="17">
        <f t="shared" si="111"/>
        <v>13993</v>
      </c>
      <c r="AC188" s="17">
        <f t="shared" si="111"/>
        <v>17003</v>
      </c>
      <c r="AD188" s="17">
        <f t="shared" si="111"/>
        <v>22677</v>
      </c>
      <c r="AE188" s="17">
        <f t="shared" si="111"/>
        <v>19289</v>
      </c>
      <c r="AF188" s="17">
        <f t="shared" si="111"/>
        <v>21890</v>
      </c>
      <c r="AG188" s="17">
        <f t="shared" si="111"/>
        <v>25539</v>
      </c>
      <c r="AH188" s="17">
        <f t="shared" si="111"/>
        <v>24934</v>
      </c>
      <c r="AI188" s="17">
        <f t="shared" si="111"/>
        <v>25106</v>
      </c>
      <c r="AJ188" s="17">
        <f t="shared" si="111"/>
        <v>19422</v>
      </c>
      <c r="AK188" s="17">
        <f t="shared" si="111"/>
        <v>23353</v>
      </c>
      <c r="AL188" s="17">
        <f t="shared" si="111"/>
        <v>23614</v>
      </c>
      <c r="AM188" s="17">
        <f t="shared" si="111"/>
        <v>23509</v>
      </c>
      <c r="AN188" s="17">
        <f t="shared" si="111"/>
        <v>28666</v>
      </c>
      <c r="AO188" s="17">
        <f t="shared" si="111"/>
        <v>30656</v>
      </c>
      <c r="AP188" s="17">
        <f t="shared" si="111"/>
        <v>18915</v>
      </c>
      <c r="AQ188" s="17">
        <f t="shared" si="111"/>
        <v>28848</v>
      </c>
      <c r="AR188" s="17">
        <f t="shared" si="111"/>
        <v>26640</v>
      </c>
    </row>
    <row r="190" spans="2:2">
      <c r="B190" t="s">
        <v>176</v>
      </c>
    </row>
    <row r="191" spans="3:44">
      <c r="C191" t="s">
        <v>177</v>
      </c>
      <c r="F191" s="12">
        <v>-7358</v>
      </c>
      <c r="G191" s="12">
        <f>-11014+55</f>
        <v>-10959</v>
      </c>
      <c r="H191" s="12">
        <f>-9950+35</f>
        <v>-9915</v>
      </c>
      <c r="I191" s="12">
        <f>-10212+240</f>
        <v>-9972</v>
      </c>
      <c r="J191" s="12">
        <v>-13184</v>
      </c>
      <c r="K191" s="12">
        <v>-25139</v>
      </c>
      <c r="L191" s="12">
        <v>-23548</v>
      </c>
      <c r="M191" s="12">
        <v>-22281</v>
      </c>
      <c r="N191" s="12">
        <v>-24640</v>
      </c>
      <c r="O191" s="12">
        <v>-31485</v>
      </c>
      <c r="P191" s="12">
        <v>-32251</v>
      </c>
      <c r="W191" s="12">
        <v>-4638</v>
      </c>
      <c r="X191" s="12">
        <v>-6126</v>
      </c>
      <c r="Y191" s="12">
        <v>-6732</v>
      </c>
      <c r="Z191" s="12">
        <v>-6052</v>
      </c>
      <c r="AA191" s="12">
        <v>-6005</v>
      </c>
      <c r="AB191" s="12">
        <v>-5391</v>
      </c>
      <c r="AC191" s="12">
        <v>-5406</v>
      </c>
      <c r="AD191" s="12">
        <v>-5479</v>
      </c>
      <c r="AE191" s="12">
        <v>-5942</v>
      </c>
      <c r="AF191" s="12">
        <v>-5496</v>
      </c>
      <c r="AG191" s="12">
        <v>-6819</v>
      </c>
      <c r="AH191" s="12">
        <v>-6383</v>
      </c>
      <c r="AI191" s="12">
        <v>-9786</v>
      </c>
      <c r="AJ191" s="12">
        <v>-6828</v>
      </c>
      <c r="AK191" s="12">
        <v>-7276</v>
      </c>
      <c r="AL191" s="12">
        <v>-7595</v>
      </c>
      <c r="AM191" s="12">
        <v>-6289</v>
      </c>
      <c r="AN191" s="12">
        <v>-6888</v>
      </c>
      <c r="AO191" s="12">
        <v>-8055</v>
      </c>
      <c r="AP191" s="12">
        <v>-11019</v>
      </c>
      <c r="AQ191" s="12">
        <v>-12012</v>
      </c>
      <c r="AR191" s="12">
        <v>-13186</v>
      </c>
    </row>
    <row r="192" spans="3:44">
      <c r="C192" t="s">
        <v>178</v>
      </c>
      <c r="F192" s="12">
        <v>-45444</v>
      </c>
      <c r="G192" s="12">
        <v>-56310</v>
      </c>
      <c r="H192" s="12">
        <v>-74368</v>
      </c>
      <c r="I192" s="12">
        <v>-84509</v>
      </c>
      <c r="J192" s="12">
        <v>-92195</v>
      </c>
      <c r="K192" s="12">
        <v>-50158</v>
      </c>
      <c r="L192" s="12">
        <v>-100315</v>
      </c>
      <c r="M192" s="12">
        <v>-136576</v>
      </c>
      <c r="N192" s="12">
        <v>-135196</v>
      </c>
      <c r="O192" s="12">
        <v>-78874</v>
      </c>
      <c r="P192" s="12">
        <v>-77858</v>
      </c>
      <c r="W192" s="12">
        <v>-20883</v>
      </c>
      <c r="X192" s="12">
        <v>-23841</v>
      </c>
      <c r="Y192" s="12">
        <v>-36244</v>
      </c>
      <c r="Z192" s="12">
        <v>-19347</v>
      </c>
      <c r="AA192" s="12">
        <v>-37563</v>
      </c>
      <c r="AB192" s="12">
        <v>-26548</v>
      </c>
      <c r="AC192" s="12">
        <v>-40821</v>
      </c>
      <c r="AD192" s="12">
        <v>-31644</v>
      </c>
      <c r="AE192" s="12">
        <v>-36426</v>
      </c>
      <c r="AF192" s="12">
        <v>-24183</v>
      </c>
      <c r="AG192" s="12">
        <v>-34497</v>
      </c>
      <c r="AH192" s="12">
        <v>-40090</v>
      </c>
      <c r="AI192" s="12">
        <v>-28462</v>
      </c>
      <c r="AJ192" s="12">
        <v>-21737</v>
      </c>
      <c r="AK192" s="12">
        <v>-17054</v>
      </c>
      <c r="AL192" s="12">
        <v>-11621</v>
      </c>
      <c r="AM192" s="12">
        <v>-14227</v>
      </c>
      <c r="AN192" s="12">
        <v>-21362</v>
      </c>
      <c r="AO192" s="12">
        <v>-13833</v>
      </c>
      <c r="AP192" s="12">
        <v>-28436</v>
      </c>
      <c r="AQ192" s="12">
        <v>-20684</v>
      </c>
      <c r="AR192" s="12">
        <v>-22327</v>
      </c>
    </row>
    <row r="193" spans="3:44">
      <c r="C193" t="s">
        <v>179</v>
      </c>
      <c r="F193" s="12">
        <v>38314</v>
      </c>
      <c r="G193" s="12">
        <v>51315</v>
      </c>
      <c r="H193" s="12">
        <v>62905</v>
      </c>
      <c r="I193" s="12">
        <v>66895</v>
      </c>
      <c r="J193" s="12">
        <v>73959</v>
      </c>
      <c r="K193" s="12">
        <v>48507</v>
      </c>
      <c r="L193" s="12">
        <v>97825</v>
      </c>
      <c r="M193" s="12">
        <v>132906</v>
      </c>
      <c r="N193" s="12">
        <v>128294</v>
      </c>
      <c r="O193" s="12">
        <v>97822</v>
      </c>
      <c r="P193" s="12">
        <v>86672</v>
      </c>
      <c r="W193" s="12">
        <v>21006</v>
      </c>
      <c r="X193" s="12">
        <v>19686</v>
      </c>
      <c r="Y193" s="12">
        <v>34091</v>
      </c>
      <c r="Z193" s="12">
        <v>23042</v>
      </c>
      <c r="AA193" s="12">
        <v>41811</v>
      </c>
      <c r="AB193" s="12">
        <v>24063</v>
      </c>
      <c r="AC193" s="12">
        <v>31877</v>
      </c>
      <c r="AD193" s="12">
        <v>35155</v>
      </c>
      <c r="AE193" s="12">
        <v>39248</v>
      </c>
      <c r="AF193" s="12">
        <v>21419</v>
      </c>
      <c r="AG193" s="12">
        <v>31459</v>
      </c>
      <c r="AH193" s="12">
        <v>36168</v>
      </c>
      <c r="AI193" s="12">
        <v>29779</v>
      </c>
      <c r="AJ193" s="12">
        <v>25595</v>
      </c>
      <c r="AK193" s="12">
        <v>28713</v>
      </c>
      <c r="AL193" s="12">
        <v>13735</v>
      </c>
      <c r="AM193" s="12">
        <v>18327</v>
      </c>
      <c r="AN193" s="12">
        <v>18722</v>
      </c>
      <c r="AO193" s="12">
        <v>15593</v>
      </c>
      <c r="AP193" s="12">
        <v>34030</v>
      </c>
      <c r="AQ193" s="12">
        <v>24985</v>
      </c>
      <c r="AR193" s="12">
        <v>33592</v>
      </c>
    </row>
    <row r="194" spans="3:44">
      <c r="C194" t="s">
        <v>180</v>
      </c>
      <c r="F194" s="12">
        <v>-569</v>
      </c>
      <c r="G194" s="12">
        <v>-1440</v>
      </c>
      <c r="H194" s="12">
        <v>-2326</v>
      </c>
      <c r="I194" s="12">
        <v>-1109</v>
      </c>
      <c r="J194" s="12">
        <v>-1745</v>
      </c>
      <c r="K194" s="12">
        <v>-2073</v>
      </c>
      <c r="L194" s="12">
        <v>-1932</v>
      </c>
      <c r="M194" s="12">
        <v>-7175</v>
      </c>
      <c r="N194" s="12">
        <v>-2838</v>
      </c>
      <c r="O194" s="12">
        <v>-2531</v>
      </c>
      <c r="P194" s="12">
        <v>-3027</v>
      </c>
      <c r="W194" s="12">
        <v>-907</v>
      </c>
      <c r="X194" s="12">
        <v>-188</v>
      </c>
      <c r="Y194" s="12">
        <v>-404</v>
      </c>
      <c r="Z194" s="12">
        <v>-433</v>
      </c>
      <c r="AA194" s="12">
        <v>-572</v>
      </c>
      <c r="AB194" s="12">
        <v>-739</v>
      </c>
      <c r="AC194" s="12">
        <v>-553</v>
      </c>
      <c r="AD194" s="12">
        <v>-5311</v>
      </c>
      <c r="AE194" s="12">
        <v>-646</v>
      </c>
      <c r="AF194" s="12">
        <v>-766</v>
      </c>
      <c r="AG194" s="12">
        <v>-656</v>
      </c>
      <c r="AH194" s="12">
        <v>-770</v>
      </c>
      <c r="AI194" s="12">
        <v>-776</v>
      </c>
      <c r="AJ194" s="12">
        <v>-488</v>
      </c>
      <c r="AK194" s="12">
        <v>-364</v>
      </c>
      <c r="AL194" s="12">
        <v>-903</v>
      </c>
      <c r="AM194" s="12">
        <v>-626</v>
      </c>
      <c r="AN194" s="12">
        <v>-887</v>
      </c>
      <c r="AO194" s="12">
        <v>-663</v>
      </c>
      <c r="AP194" s="12">
        <v>-851</v>
      </c>
      <c r="AQ194" s="12">
        <v>-1206</v>
      </c>
      <c r="AR194" s="12">
        <v>-993</v>
      </c>
    </row>
    <row r="195" spans="3:44">
      <c r="C195" t="s">
        <v>181</v>
      </c>
      <c r="F195" s="12">
        <v>0</v>
      </c>
      <c r="G195" s="12">
        <v>213</v>
      </c>
      <c r="H195" s="12">
        <v>154</v>
      </c>
      <c r="I195" s="12">
        <v>494</v>
      </c>
      <c r="J195" s="12">
        <v>533</v>
      </c>
      <c r="K195" s="12">
        <v>1752</v>
      </c>
      <c r="L195" s="12">
        <v>405</v>
      </c>
      <c r="M195" s="12">
        <v>1023</v>
      </c>
      <c r="N195" s="12">
        <v>934</v>
      </c>
      <c r="O195" s="12">
        <v>150</v>
      </c>
      <c r="P195" s="12">
        <v>947</v>
      </c>
      <c r="W195" s="12">
        <v>99</v>
      </c>
      <c r="X195" s="12">
        <v>107</v>
      </c>
      <c r="Y195" s="12">
        <v>91</v>
      </c>
      <c r="Z195" s="12">
        <v>108</v>
      </c>
      <c r="AA195" s="12">
        <v>260</v>
      </c>
      <c r="AB195" s="12">
        <v>213</v>
      </c>
      <c r="AC195" s="12">
        <v>125</v>
      </c>
      <c r="AD195" s="12">
        <v>425</v>
      </c>
      <c r="AE195" s="12">
        <v>19</v>
      </c>
      <c r="AF195" s="12">
        <v>237</v>
      </c>
      <c r="AG195" s="12">
        <v>334</v>
      </c>
      <c r="AH195" s="12">
        <v>344</v>
      </c>
      <c r="AI195" s="12">
        <v>12</v>
      </c>
      <c r="AJ195" s="12">
        <v>113</v>
      </c>
      <c r="AK195" s="12">
        <v>6</v>
      </c>
      <c r="AL195" s="12">
        <v>19</v>
      </c>
      <c r="AM195" s="12">
        <v>36</v>
      </c>
      <c r="AN195" s="12">
        <v>145</v>
      </c>
      <c r="AO195" s="12">
        <v>562</v>
      </c>
      <c r="AP195" s="12">
        <v>204</v>
      </c>
      <c r="AQ195" s="12">
        <v>313</v>
      </c>
      <c r="AR195" s="12">
        <v>292</v>
      </c>
    </row>
    <row r="196" spans="3:44">
      <c r="C196" t="s">
        <v>182</v>
      </c>
      <c r="F196" s="12">
        <v>-1448</v>
      </c>
      <c r="G196" s="12">
        <f>-4888</f>
        <v>-4888</v>
      </c>
      <c r="H196" s="12">
        <v>-236</v>
      </c>
      <c r="I196" s="12">
        <v>-986</v>
      </c>
      <c r="J196" s="12">
        <v>-287</v>
      </c>
      <c r="K196" s="12">
        <v>-1491</v>
      </c>
      <c r="L196" s="12">
        <v>-2515</v>
      </c>
      <c r="M196" s="12">
        <v>-738</v>
      </c>
      <c r="N196" s="12">
        <v>-2618</v>
      </c>
      <c r="O196" s="12">
        <v>-6969</v>
      </c>
      <c r="P196" s="12">
        <v>-495</v>
      </c>
      <c r="W196" s="12">
        <v>-99</v>
      </c>
      <c r="X196" s="12">
        <v>-148</v>
      </c>
      <c r="Y196" s="12">
        <v>-126</v>
      </c>
      <c r="Z196" s="12">
        <v>-2142</v>
      </c>
      <c r="AA196" s="12">
        <v>-190</v>
      </c>
      <c r="AB196" s="12">
        <v>-165</v>
      </c>
      <c r="AC196" s="12">
        <v>-13</v>
      </c>
      <c r="AD196" s="12">
        <v>-370</v>
      </c>
      <c r="AE196" s="12">
        <v>-1666</v>
      </c>
      <c r="AF196" s="12">
        <v>-308</v>
      </c>
      <c r="AG196" s="12">
        <v>-259</v>
      </c>
      <c r="AH196" s="12">
        <v>-385</v>
      </c>
      <c r="AI196" s="12">
        <v>-173</v>
      </c>
      <c r="AJ196" s="12">
        <v>-1063</v>
      </c>
      <c r="AK196" s="12">
        <v>-5649</v>
      </c>
      <c r="AL196" s="12">
        <v>-84</v>
      </c>
      <c r="AM196" s="12">
        <v>-42</v>
      </c>
      <c r="AN196" s="12">
        <v>-298</v>
      </c>
      <c r="AO196" s="12">
        <v>-126</v>
      </c>
      <c r="AP196" s="12">
        <v>-29</v>
      </c>
      <c r="AQ196" s="12">
        <v>-61</v>
      </c>
      <c r="AR196" s="12">
        <v>-26</v>
      </c>
    </row>
    <row r="197" spans="3:44">
      <c r="C197" t="s">
        <v>183</v>
      </c>
      <c r="F197" s="12">
        <f>-299+600+2525</f>
        <v>2826</v>
      </c>
      <c r="G197" s="12">
        <f>1403-775+386</f>
        <v>1014</v>
      </c>
      <c r="H197" s="12">
        <f>-350+425</f>
        <v>75</v>
      </c>
      <c r="I197" s="12">
        <f>-2428+450</f>
        <v>-1978</v>
      </c>
      <c r="J197" s="12">
        <f>1419+99</f>
        <v>1518</v>
      </c>
      <c r="K197" s="12">
        <v>98</v>
      </c>
      <c r="L197" s="12">
        <v>589</v>
      </c>
      <c r="M197" s="12">
        <v>68</v>
      </c>
      <c r="N197" s="12">
        <v>541</v>
      </c>
      <c r="O197" s="12">
        <v>1589</v>
      </c>
      <c r="P197" s="12">
        <v>-1051</v>
      </c>
      <c r="W197" s="12">
        <v>34</v>
      </c>
      <c r="X197" s="12">
        <v>55</v>
      </c>
      <c r="Y197" s="12">
        <v>379</v>
      </c>
      <c r="Z197" s="12">
        <v>121</v>
      </c>
      <c r="AA197" s="12">
        <v>412</v>
      </c>
      <c r="AB197" s="12">
        <v>119</v>
      </c>
      <c r="AC197" s="12">
        <v>-406</v>
      </c>
      <c r="AD197" s="12">
        <v>-57</v>
      </c>
      <c r="AE197" s="12">
        <v>30</v>
      </c>
      <c r="AF197" s="12">
        <v>23</v>
      </c>
      <c r="AG197" s="12">
        <v>388</v>
      </c>
      <c r="AH197" s="12">
        <v>100</v>
      </c>
      <c r="AI197" s="12">
        <v>355</v>
      </c>
      <c r="AJ197" s="12">
        <v>221</v>
      </c>
      <c r="AK197" s="12">
        <v>791</v>
      </c>
      <c r="AL197" s="12">
        <v>222</v>
      </c>
      <c r="AM197" s="12">
        <v>-125</v>
      </c>
      <c r="AN197" s="12">
        <v>-232</v>
      </c>
      <c r="AO197" s="12">
        <v>-628</v>
      </c>
      <c r="AP197" s="12">
        <v>-66</v>
      </c>
      <c r="AQ197" s="12">
        <v>101</v>
      </c>
      <c r="AR197" s="12">
        <v>-133</v>
      </c>
    </row>
    <row r="198" spans="2:44">
      <c r="B198" t="s">
        <v>184</v>
      </c>
      <c r="F198" s="17">
        <f t="shared" ref="F198:P198" si="112">SUM(F191:F197)</f>
        <v>-13679</v>
      </c>
      <c r="G198" s="17">
        <f t="shared" si="112"/>
        <v>-21055</v>
      </c>
      <c r="H198" s="17">
        <f t="shared" si="112"/>
        <v>-23711</v>
      </c>
      <c r="I198" s="17">
        <f t="shared" si="112"/>
        <v>-31165</v>
      </c>
      <c r="J198" s="17">
        <f t="shared" si="112"/>
        <v>-31401</v>
      </c>
      <c r="K198" s="17">
        <f t="shared" si="112"/>
        <v>-28504</v>
      </c>
      <c r="L198" s="17">
        <f t="shared" si="112"/>
        <v>-29491</v>
      </c>
      <c r="M198" s="17">
        <f t="shared" si="112"/>
        <v>-32773</v>
      </c>
      <c r="N198" s="17">
        <f t="shared" si="112"/>
        <v>-35523</v>
      </c>
      <c r="O198" s="17">
        <f t="shared" si="112"/>
        <v>-20298</v>
      </c>
      <c r="P198" s="17">
        <f t="shared" si="112"/>
        <v>-27063</v>
      </c>
      <c r="W198" s="17">
        <f t="shared" ref="W198:AR198" si="113">SUM(W191:W197)</f>
        <v>-5388</v>
      </c>
      <c r="X198" s="17">
        <f t="shared" si="113"/>
        <v>-10455</v>
      </c>
      <c r="Y198" s="17">
        <f t="shared" si="113"/>
        <v>-8945</v>
      </c>
      <c r="Z198" s="17">
        <f t="shared" si="113"/>
        <v>-4703</v>
      </c>
      <c r="AA198" s="17">
        <f t="shared" si="113"/>
        <v>-1847</v>
      </c>
      <c r="AB198" s="17">
        <f t="shared" si="113"/>
        <v>-8448</v>
      </c>
      <c r="AC198" s="17">
        <f t="shared" si="113"/>
        <v>-15197</v>
      </c>
      <c r="AD198" s="17">
        <f t="shared" si="113"/>
        <v>-7281</v>
      </c>
      <c r="AE198" s="17">
        <f t="shared" si="113"/>
        <v>-5383</v>
      </c>
      <c r="AF198" s="17">
        <f t="shared" si="113"/>
        <v>-9074</v>
      </c>
      <c r="AG198" s="17">
        <f t="shared" si="113"/>
        <v>-10050</v>
      </c>
      <c r="AH198" s="17">
        <f t="shared" si="113"/>
        <v>-11016</v>
      </c>
      <c r="AI198" s="17">
        <f t="shared" si="113"/>
        <v>-9051</v>
      </c>
      <c r="AJ198" s="17">
        <f t="shared" si="113"/>
        <v>-4187</v>
      </c>
      <c r="AK198" s="17">
        <f t="shared" si="113"/>
        <v>-833</v>
      </c>
      <c r="AL198" s="17">
        <f t="shared" si="113"/>
        <v>-6227</v>
      </c>
      <c r="AM198" s="17">
        <f t="shared" si="113"/>
        <v>-2946</v>
      </c>
      <c r="AN198" s="17">
        <f t="shared" si="113"/>
        <v>-10800</v>
      </c>
      <c r="AO198" s="17">
        <f t="shared" si="113"/>
        <v>-7150</v>
      </c>
      <c r="AP198" s="17">
        <f t="shared" si="113"/>
        <v>-6167</v>
      </c>
      <c r="AQ198" s="17">
        <f t="shared" si="113"/>
        <v>-8564</v>
      </c>
      <c r="AR198" s="17">
        <f t="shared" si="113"/>
        <v>-2781</v>
      </c>
    </row>
    <row r="200" spans="2:2">
      <c r="B200" t="s">
        <v>185</v>
      </c>
    </row>
    <row r="201" spans="3:44">
      <c r="C201" t="s">
        <v>186</v>
      </c>
      <c r="F201" s="12">
        <f>-781+481</f>
        <v>-300</v>
      </c>
      <c r="G201" s="12">
        <v>-2069</v>
      </c>
      <c r="H201" s="12">
        <v>-2375</v>
      </c>
      <c r="I201" s="12">
        <v>-3304</v>
      </c>
      <c r="J201" s="12">
        <v>-4166</v>
      </c>
      <c r="K201" s="12">
        <v>-4993</v>
      </c>
      <c r="L201" s="12">
        <v>-4765</v>
      </c>
      <c r="M201" s="12">
        <v>-5720</v>
      </c>
      <c r="N201" s="12">
        <v>-10162</v>
      </c>
      <c r="O201" s="12">
        <v>-9300</v>
      </c>
      <c r="P201" s="12">
        <v>-9837</v>
      </c>
      <c r="W201" s="12">
        <v>-1175</v>
      </c>
      <c r="X201" s="12">
        <v>-1260</v>
      </c>
      <c r="Y201" s="12">
        <v>-1131</v>
      </c>
      <c r="Z201" s="12">
        <v>-1199</v>
      </c>
      <c r="AA201" s="12">
        <v>-1241</v>
      </c>
      <c r="AB201" s="12">
        <v>-1475</v>
      </c>
      <c r="AC201" s="12">
        <v>-1357</v>
      </c>
      <c r="AD201" s="12">
        <v>-1647</v>
      </c>
      <c r="AE201" s="12">
        <v>-2184</v>
      </c>
      <c r="AF201" s="12">
        <v>-2453</v>
      </c>
      <c r="AG201" s="12">
        <v>-2602</v>
      </c>
      <c r="AH201" s="12">
        <v>-2923</v>
      </c>
      <c r="AI201" s="12">
        <v>-2916</v>
      </c>
      <c r="AJ201" s="12">
        <v>-2264</v>
      </c>
      <c r="AK201" s="12">
        <v>-2041</v>
      </c>
      <c r="AL201" s="12">
        <v>-2079</v>
      </c>
      <c r="AM201" s="12">
        <v>-1989</v>
      </c>
      <c r="AN201" s="12">
        <v>-2736</v>
      </c>
      <c r="AO201" s="12">
        <v>-2432</v>
      </c>
      <c r="AP201" s="12">
        <v>-2680</v>
      </c>
      <c r="AQ201" s="12">
        <v>-2929</v>
      </c>
      <c r="AR201" s="12">
        <v>-3209</v>
      </c>
    </row>
    <row r="202" spans="3:44">
      <c r="C202" t="s">
        <v>187</v>
      </c>
      <c r="F202" s="12">
        <v>0</v>
      </c>
      <c r="G202" s="12">
        <v>0</v>
      </c>
      <c r="H202" s="12">
        <f>-47-1780</f>
        <v>-1827</v>
      </c>
      <c r="I202" s="12">
        <v>-3693</v>
      </c>
      <c r="J202" s="12">
        <v>-4846</v>
      </c>
      <c r="K202" s="12">
        <v>-9075</v>
      </c>
      <c r="L202" s="12">
        <v>-18396</v>
      </c>
      <c r="M202" s="12">
        <v>-31149</v>
      </c>
      <c r="N202" s="12">
        <v>-50274</v>
      </c>
      <c r="O202" s="12">
        <v>-59296</v>
      </c>
      <c r="P202" s="12">
        <v>-61504</v>
      </c>
      <c r="W202" s="12">
        <v>-3025</v>
      </c>
      <c r="X202" s="12">
        <v>-3577</v>
      </c>
      <c r="Y202" s="12">
        <v>-5696</v>
      </c>
      <c r="Z202" s="12">
        <v>-6098</v>
      </c>
      <c r="AA202" s="12">
        <v>-8496</v>
      </c>
      <c r="AB202" s="12">
        <v>-6852</v>
      </c>
      <c r="AC202" s="12">
        <v>-7897</v>
      </c>
      <c r="AD202" s="12">
        <v>-7904</v>
      </c>
      <c r="AE202" s="12">
        <v>-11395</v>
      </c>
      <c r="AF202" s="12">
        <v>-12796</v>
      </c>
      <c r="AG202" s="12">
        <v>-12610</v>
      </c>
      <c r="AH202" s="12">
        <v>-13473</v>
      </c>
      <c r="AI202" s="12">
        <v>-13300</v>
      </c>
      <c r="AJ202" s="12">
        <v>-15197</v>
      </c>
      <c r="AK202" s="12">
        <v>-15392</v>
      </c>
      <c r="AL202" s="12">
        <v>-15407</v>
      </c>
      <c r="AM202" s="12">
        <v>-14557</v>
      </c>
      <c r="AN202" s="12">
        <v>-14969</v>
      </c>
      <c r="AO202" s="12">
        <v>-15787</v>
      </c>
      <c r="AP202" s="12">
        <v>-16191</v>
      </c>
      <c r="AQ202" s="12">
        <v>-15696</v>
      </c>
      <c r="AR202" s="12">
        <v>-15684</v>
      </c>
    </row>
    <row r="203" spans="3:44">
      <c r="C203" t="s">
        <v>188</v>
      </c>
      <c r="F203" s="12">
        <v>0</v>
      </c>
      <c r="G203" s="12">
        <v>0</v>
      </c>
      <c r="H203" s="12">
        <v>0</v>
      </c>
      <c r="I203" s="12">
        <v>0</v>
      </c>
      <c r="J203" s="12">
        <v>0</v>
      </c>
      <c r="K203" s="12">
        <v>0</v>
      </c>
      <c r="L203" s="12">
        <v>0</v>
      </c>
      <c r="M203" s="12">
        <v>0</v>
      </c>
      <c r="N203" s="12">
        <v>0</v>
      </c>
      <c r="O203" s="12">
        <v>0</v>
      </c>
      <c r="P203" s="12">
        <v>0</v>
      </c>
      <c r="W203" s="12">
        <v>0</v>
      </c>
      <c r="X203" s="12">
        <v>0</v>
      </c>
      <c r="Y203" s="12">
        <v>0</v>
      </c>
      <c r="Z203" s="12">
        <v>0</v>
      </c>
      <c r="AA203" s="12">
        <v>0</v>
      </c>
      <c r="AB203" s="12">
        <v>0</v>
      </c>
      <c r="AC203" s="12">
        <v>0</v>
      </c>
      <c r="AD203" s="12">
        <v>0</v>
      </c>
      <c r="AE203" s="12">
        <v>0</v>
      </c>
      <c r="AF203" s="12">
        <v>0</v>
      </c>
      <c r="AG203" s="12">
        <v>0</v>
      </c>
      <c r="AH203" s="12">
        <v>0</v>
      </c>
      <c r="AI203" s="12">
        <v>0</v>
      </c>
      <c r="AJ203" s="12">
        <v>0</v>
      </c>
      <c r="AK203" s="12">
        <v>0</v>
      </c>
      <c r="AL203" s="12">
        <v>0</v>
      </c>
      <c r="AM203" s="12">
        <v>0</v>
      </c>
      <c r="AN203" s="12">
        <v>0</v>
      </c>
      <c r="AO203" s="12">
        <v>0</v>
      </c>
      <c r="AP203" s="12">
        <v>0</v>
      </c>
      <c r="AQ203" s="12">
        <v>0</v>
      </c>
      <c r="AR203" s="12">
        <v>-2466</v>
      </c>
    </row>
    <row r="204" spans="3:44">
      <c r="C204" t="s">
        <v>189</v>
      </c>
      <c r="F204" s="12">
        <v>10768</v>
      </c>
      <c r="G204" s="12">
        <v>11625</v>
      </c>
      <c r="H204" s="12">
        <v>13705</v>
      </c>
      <c r="I204" s="12">
        <v>8729</v>
      </c>
      <c r="J204" s="12">
        <v>4291</v>
      </c>
      <c r="K204" s="12">
        <v>6766</v>
      </c>
      <c r="L204" s="12">
        <v>317</v>
      </c>
      <c r="M204" s="12">
        <v>11761</v>
      </c>
      <c r="N204" s="12">
        <v>20199</v>
      </c>
      <c r="O204" s="12">
        <v>52872</v>
      </c>
      <c r="P204" s="12">
        <v>10790</v>
      </c>
      <c r="W204" s="12">
        <v>315</v>
      </c>
      <c r="X204" s="12">
        <v>2</v>
      </c>
      <c r="Y204" s="12">
        <v>0</v>
      </c>
      <c r="Z204" s="12">
        <v>0</v>
      </c>
      <c r="AA204" s="12">
        <v>1898</v>
      </c>
      <c r="AB204" s="12">
        <v>0</v>
      </c>
      <c r="AC204" s="12">
        <v>9863</v>
      </c>
      <c r="AD204" s="12">
        <v>0</v>
      </c>
      <c r="AE204" s="12">
        <v>900</v>
      </c>
      <c r="AF204" s="12">
        <v>6699</v>
      </c>
      <c r="AG204" s="12">
        <v>6350</v>
      </c>
      <c r="AH204" s="12">
        <v>6250</v>
      </c>
      <c r="AI204" s="12">
        <v>16422</v>
      </c>
      <c r="AJ204" s="12">
        <v>12806</v>
      </c>
      <c r="AK204" s="12">
        <v>15094</v>
      </c>
      <c r="AL204" s="12">
        <v>8550</v>
      </c>
      <c r="AM204" s="12">
        <v>6927</v>
      </c>
      <c r="AN204" s="12">
        <v>1123</v>
      </c>
      <c r="AO204" s="12">
        <v>1248</v>
      </c>
      <c r="AP204" s="12">
        <v>1492</v>
      </c>
      <c r="AQ204" s="12">
        <v>1982</v>
      </c>
      <c r="AR204" s="12">
        <v>2893</v>
      </c>
    </row>
    <row r="205" spans="3:44">
      <c r="C205" t="s">
        <v>190</v>
      </c>
      <c r="F205" s="12">
        <v>-11325</v>
      </c>
      <c r="G205" s="12">
        <v>-11643</v>
      </c>
      <c r="H205" s="12">
        <v>-13728</v>
      </c>
      <c r="I205" s="12">
        <v>-10064</v>
      </c>
      <c r="J205" s="12">
        <v>-4377</v>
      </c>
      <c r="K205" s="12">
        <v>-6827</v>
      </c>
      <c r="L205" s="12">
        <v>-585</v>
      </c>
      <c r="M205" s="12">
        <v>-2100</v>
      </c>
      <c r="N205" s="12">
        <v>-21435</v>
      </c>
      <c r="O205" s="12">
        <v>-54068</v>
      </c>
      <c r="P205" s="12">
        <v>-11550</v>
      </c>
      <c r="W205" s="12">
        <v>-345</v>
      </c>
      <c r="X205" s="12">
        <v>-48</v>
      </c>
      <c r="Y205" s="12">
        <v>-145</v>
      </c>
      <c r="Z205" s="12">
        <v>-47</v>
      </c>
      <c r="AA205" s="12">
        <v>-1947</v>
      </c>
      <c r="AB205" s="12">
        <v>-35</v>
      </c>
      <c r="AC205" s="12">
        <v>-61</v>
      </c>
      <c r="AD205" s="12">
        <v>-57</v>
      </c>
      <c r="AE205" s="12">
        <v>-937</v>
      </c>
      <c r="AF205" s="12">
        <v>-7741</v>
      </c>
      <c r="AG205" s="12">
        <v>-6392</v>
      </c>
      <c r="AH205" s="12">
        <v>-6365</v>
      </c>
      <c r="AI205" s="12">
        <v>-16420</v>
      </c>
      <c r="AJ205" s="12">
        <v>-13162</v>
      </c>
      <c r="AK205" s="12">
        <v>-15768</v>
      </c>
      <c r="AL205" s="12">
        <v>-8718</v>
      </c>
      <c r="AM205" s="12">
        <v>-6952</v>
      </c>
      <c r="AN205" s="12">
        <v>-1255</v>
      </c>
      <c r="AO205" s="12">
        <v>-1414</v>
      </c>
      <c r="AP205" s="12">
        <v>-1929</v>
      </c>
      <c r="AQ205" s="12">
        <v>-3079</v>
      </c>
      <c r="AR205" s="12">
        <v>-2423</v>
      </c>
    </row>
    <row r="206" spans="3:44">
      <c r="C206" t="s">
        <v>191</v>
      </c>
      <c r="F206" s="12">
        <v>0</v>
      </c>
      <c r="G206" s="12">
        <v>0</v>
      </c>
      <c r="H206" s="12">
        <v>0</v>
      </c>
      <c r="I206" s="12">
        <v>0</v>
      </c>
      <c r="J206" s="12">
        <v>800</v>
      </c>
      <c r="K206" s="12">
        <v>950</v>
      </c>
      <c r="L206" s="12">
        <v>220</v>
      </c>
      <c r="M206" s="12">
        <v>2800</v>
      </c>
      <c r="N206" s="12">
        <v>310</v>
      </c>
      <c r="O206" s="12">
        <v>35</v>
      </c>
      <c r="P206" s="12">
        <v>8</v>
      </c>
      <c r="W206" s="12">
        <v>47</v>
      </c>
      <c r="X206" s="12">
        <v>137</v>
      </c>
      <c r="Y206" s="12">
        <v>18</v>
      </c>
      <c r="Z206" s="12">
        <v>18</v>
      </c>
      <c r="AA206" s="12">
        <v>1600</v>
      </c>
      <c r="AB206" s="12">
        <v>864</v>
      </c>
      <c r="AC206" s="12">
        <v>-2</v>
      </c>
      <c r="AD206" s="12">
        <v>338</v>
      </c>
      <c r="AE206" s="12">
        <v>10</v>
      </c>
      <c r="AF206" s="12">
        <v>300</v>
      </c>
      <c r="AG206" s="12">
        <v>0</v>
      </c>
      <c r="AH206" s="12">
        <v>0</v>
      </c>
      <c r="AI206" s="12">
        <v>0</v>
      </c>
      <c r="AJ206" s="12">
        <v>0</v>
      </c>
      <c r="AK206" s="12">
        <v>10</v>
      </c>
      <c r="AL206" s="12">
        <v>25</v>
      </c>
      <c r="AM206" s="12">
        <v>3</v>
      </c>
      <c r="AN206" s="12">
        <v>2</v>
      </c>
      <c r="AO206" s="12">
        <v>3</v>
      </c>
      <c r="AP206" s="12">
        <v>0</v>
      </c>
      <c r="AQ206" s="12">
        <v>8</v>
      </c>
      <c r="AR206" s="12">
        <v>0</v>
      </c>
    </row>
    <row r="207" spans="2:44">
      <c r="B207" t="s">
        <v>192</v>
      </c>
      <c r="F207" s="17">
        <f t="shared" ref="F207:P207" si="114">SUM(F201:F206)</f>
        <v>-857</v>
      </c>
      <c r="G207" s="17">
        <f t="shared" si="114"/>
        <v>-2087</v>
      </c>
      <c r="H207" s="17">
        <f t="shared" si="114"/>
        <v>-4225</v>
      </c>
      <c r="I207" s="17">
        <f t="shared" si="114"/>
        <v>-8332</v>
      </c>
      <c r="J207" s="17">
        <f t="shared" si="114"/>
        <v>-8298</v>
      </c>
      <c r="K207" s="17">
        <f t="shared" si="114"/>
        <v>-13179</v>
      </c>
      <c r="L207" s="17">
        <f t="shared" si="114"/>
        <v>-23209</v>
      </c>
      <c r="M207" s="17">
        <f t="shared" si="114"/>
        <v>-24408</v>
      </c>
      <c r="N207" s="17">
        <f t="shared" si="114"/>
        <v>-61362</v>
      </c>
      <c r="O207" s="17">
        <f t="shared" si="114"/>
        <v>-69757</v>
      </c>
      <c r="P207" s="17">
        <f t="shared" si="114"/>
        <v>-72093</v>
      </c>
      <c r="W207" s="17">
        <f t="shared" ref="W207:AR207" si="115">SUM(W201:W206)</f>
        <v>-4183</v>
      </c>
      <c r="X207" s="17">
        <f t="shared" si="115"/>
        <v>-4746</v>
      </c>
      <c r="Y207" s="17">
        <f t="shared" si="115"/>
        <v>-6954</v>
      </c>
      <c r="Z207" s="17">
        <f t="shared" si="115"/>
        <v>-7326</v>
      </c>
      <c r="AA207" s="17">
        <f t="shared" si="115"/>
        <v>-8186</v>
      </c>
      <c r="AB207" s="17">
        <f t="shared" si="115"/>
        <v>-7498</v>
      </c>
      <c r="AC207" s="17">
        <f t="shared" si="115"/>
        <v>546</v>
      </c>
      <c r="AD207" s="17">
        <f t="shared" si="115"/>
        <v>-9270</v>
      </c>
      <c r="AE207" s="17">
        <f t="shared" si="115"/>
        <v>-13606</v>
      </c>
      <c r="AF207" s="17">
        <f t="shared" si="115"/>
        <v>-15991</v>
      </c>
      <c r="AG207" s="17">
        <f t="shared" si="115"/>
        <v>-15254</v>
      </c>
      <c r="AH207" s="17">
        <f t="shared" si="115"/>
        <v>-16511</v>
      </c>
      <c r="AI207" s="17">
        <f t="shared" si="115"/>
        <v>-16214</v>
      </c>
      <c r="AJ207" s="17">
        <f t="shared" si="115"/>
        <v>-17817</v>
      </c>
      <c r="AK207" s="17">
        <f t="shared" si="115"/>
        <v>-18097</v>
      </c>
      <c r="AL207" s="17">
        <f t="shared" si="115"/>
        <v>-17629</v>
      </c>
      <c r="AM207" s="17">
        <f t="shared" si="115"/>
        <v>-16568</v>
      </c>
      <c r="AN207" s="17">
        <f t="shared" si="115"/>
        <v>-17835</v>
      </c>
      <c r="AO207" s="17">
        <f t="shared" si="115"/>
        <v>-18382</v>
      </c>
      <c r="AP207" s="17">
        <f t="shared" si="115"/>
        <v>-19308</v>
      </c>
      <c r="AQ207" s="17">
        <f t="shared" si="115"/>
        <v>-19714</v>
      </c>
      <c r="AR207" s="17">
        <f t="shared" si="115"/>
        <v>-20889</v>
      </c>
    </row>
    <row r="209" spans="2:44">
      <c r="B209" t="s">
        <v>193</v>
      </c>
      <c r="F209" s="12">
        <v>-3</v>
      </c>
      <c r="G209" s="12">
        <v>-433</v>
      </c>
      <c r="H209" s="12">
        <v>-434</v>
      </c>
      <c r="I209" s="12">
        <v>-170</v>
      </c>
      <c r="J209" s="12">
        <v>405</v>
      </c>
      <c r="K209" s="12">
        <v>-302</v>
      </c>
      <c r="L209" s="12">
        <v>-23</v>
      </c>
      <c r="M209" s="12">
        <v>24</v>
      </c>
      <c r="N209" s="12">
        <v>-287</v>
      </c>
      <c r="O209" s="12">
        <v>-506</v>
      </c>
      <c r="P209" s="12">
        <v>-421</v>
      </c>
      <c r="W209" s="12">
        <v>18</v>
      </c>
      <c r="X209" s="12">
        <v>13</v>
      </c>
      <c r="Y209" s="12">
        <v>-122</v>
      </c>
      <c r="Z209" s="12">
        <v>68</v>
      </c>
      <c r="AA209" s="12">
        <v>-272</v>
      </c>
      <c r="AB209" s="12">
        <v>51</v>
      </c>
      <c r="AC209" s="12">
        <v>35</v>
      </c>
      <c r="AD209" s="12">
        <v>210</v>
      </c>
      <c r="AE209" s="12">
        <v>-143</v>
      </c>
      <c r="AF209" s="12">
        <v>183</v>
      </c>
      <c r="AG209" s="12">
        <v>-146</v>
      </c>
      <c r="AH209" s="12">
        <v>-181</v>
      </c>
      <c r="AI209" s="12">
        <v>100</v>
      </c>
      <c r="AJ209" s="12">
        <v>-368</v>
      </c>
      <c r="AK209" s="12">
        <v>-375</v>
      </c>
      <c r="AL209" s="12">
        <v>137</v>
      </c>
      <c r="AM209" s="12">
        <v>50</v>
      </c>
      <c r="AN209" s="12">
        <v>-26</v>
      </c>
      <c r="AO209" s="12">
        <v>-351</v>
      </c>
      <c r="AP209" s="12">
        <v>-94</v>
      </c>
      <c r="AQ209" s="12">
        <v>-125</v>
      </c>
      <c r="AR209" s="12">
        <v>-238</v>
      </c>
    </row>
    <row r="211" spans="2:44">
      <c r="B211" t="s">
        <v>194</v>
      </c>
      <c r="F211" s="17">
        <f t="shared" ref="F211:P211" si="116">F188+F198+F207+F209</f>
        <v>4120</v>
      </c>
      <c r="G211" s="17">
        <f t="shared" si="116"/>
        <v>-551</v>
      </c>
      <c r="H211" s="17">
        <f t="shared" si="116"/>
        <v>-1798</v>
      </c>
      <c r="I211" s="17">
        <f t="shared" si="116"/>
        <v>-3631</v>
      </c>
      <c r="J211" s="17">
        <f t="shared" si="116"/>
        <v>-2203</v>
      </c>
      <c r="K211" s="17">
        <f t="shared" si="116"/>
        <v>5986</v>
      </c>
      <c r="L211" s="17">
        <f t="shared" si="116"/>
        <v>1797</v>
      </c>
      <c r="M211" s="17">
        <f t="shared" si="116"/>
        <v>7967</v>
      </c>
      <c r="N211" s="17">
        <f t="shared" si="116"/>
        <v>-5520</v>
      </c>
      <c r="O211" s="17">
        <f t="shared" si="116"/>
        <v>934</v>
      </c>
      <c r="P211" s="17">
        <f t="shared" si="116"/>
        <v>2169</v>
      </c>
      <c r="W211" s="17">
        <f t="shared" ref="W211:AR211" si="117">W188+W198+W207+W209</f>
        <v>2447</v>
      </c>
      <c r="X211" s="17">
        <f t="shared" si="117"/>
        <v>-2561</v>
      </c>
      <c r="Y211" s="17">
        <f t="shared" si="117"/>
        <v>-555</v>
      </c>
      <c r="Z211" s="17">
        <f t="shared" si="117"/>
        <v>2466</v>
      </c>
      <c r="AA211" s="17">
        <f t="shared" si="117"/>
        <v>1146</v>
      </c>
      <c r="AB211" s="17">
        <f t="shared" si="117"/>
        <v>-1902</v>
      </c>
      <c r="AC211" s="17">
        <f t="shared" si="117"/>
        <v>2387</v>
      </c>
      <c r="AD211" s="17">
        <f t="shared" si="117"/>
        <v>6336</v>
      </c>
      <c r="AE211" s="17">
        <f t="shared" si="117"/>
        <v>157</v>
      </c>
      <c r="AF211" s="17">
        <f t="shared" si="117"/>
        <v>-2992</v>
      </c>
      <c r="AG211" s="17">
        <f t="shared" si="117"/>
        <v>89</v>
      </c>
      <c r="AH211" s="17">
        <f t="shared" si="117"/>
        <v>-2774</v>
      </c>
      <c r="AI211" s="17">
        <f t="shared" si="117"/>
        <v>-59</v>
      </c>
      <c r="AJ211" s="17">
        <f t="shared" si="117"/>
        <v>-2950</v>
      </c>
      <c r="AK211" s="17">
        <f t="shared" si="117"/>
        <v>4048</v>
      </c>
      <c r="AL211" s="17">
        <f t="shared" si="117"/>
        <v>-105</v>
      </c>
      <c r="AM211" s="17">
        <f t="shared" si="117"/>
        <v>4045</v>
      </c>
      <c r="AN211" s="17">
        <f t="shared" si="117"/>
        <v>5</v>
      </c>
      <c r="AO211" s="17">
        <f t="shared" si="117"/>
        <v>4773</v>
      </c>
      <c r="AP211" s="17">
        <f t="shared" si="117"/>
        <v>-6654</v>
      </c>
      <c r="AQ211" s="17">
        <f t="shared" si="117"/>
        <v>445</v>
      </c>
      <c r="AR211" s="17">
        <f t="shared" si="117"/>
        <v>2732</v>
      </c>
    </row>
    <row r="212" spans="2:44">
      <c r="B212" t="s">
        <v>195</v>
      </c>
      <c r="F212" s="12">
        <v>14778</v>
      </c>
      <c r="G212" s="12">
        <v>18898</v>
      </c>
      <c r="H212" s="12">
        <v>18347</v>
      </c>
      <c r="I212" s="12">
        <v>16549</v>
      </c>
      <c r="J212" s="12">
        <v>12918</v>
      </c>
      <c r="K212" s="12">
        <v>10715</v>
      </c>
      <c r="L212" s="12">
        <v>16701</v>
      </c>
      <c r="M212" s="12">
        <v>18498</v>
      </c>
      <c r="N212" s="12">
        <v>26465</v>
      </c>
      <c r="O212" s="12">
        <v>20945</v>
      </c>
      <c r="P212" s="12">
        <v>21879</v>
      </c>
      <c r="W212" s="12">
        <v>16701</v>
      </c>
      <c r="X212" s="12">
        <v>19148</v>
      </c>
      <c r="Y212" s="12">
        <v>16587</v>
      </c>
      <c r="Z212" s="12">
        <v>16032</v>
      </c>
      <c r="AA212" s="12">
        <v>18498</v>
      </c>
      <c r="AB212" s="12">
        <v>19644</v>
      </c>
      <c r="AC212" s="12">
        <v>17742</v>
      </c>
      <c r="AD212" s="12">
        <v>20129</v>
      </c>
      <c r="AE212" s="12">
        <v>26465</v>
      </c>
      <c r="AF212" s="12">
        <v>26622</v>
      </c>
      <c r="AG212" s="12">
        <v>23630</v>
      </c>
      <c r="AH212" s="12">
        <v>23719</v>
      </c>
      <c r="AI212" s="12">
        <v>20945</v>
      </c>
      <c r="AJ212" s="12">
        <v>20886</v>
      </c>
      <c r="AK212" s="12">
        <v>17936</v>
      </c>
      <c r="AL212" s="12">
        <v>21984</v>
      </c>
      <c r="AM212" s="12">
        <v>21879</v>
      </c>
      <c r="AN212" s="12">
        <v>25924</v>
      </c>
      <c r="AO212" s="12">
        <v>25929</v>
      </c>
      <c r="AP212" s="12">
        <v>30702</v>
      </c>
      <c r="AQ212" s="12">
        <v>24048</v>
      </c>
      <c r="AR212" s="12">
        <v>24493</v>
      </c>
    </row>
    <row r="213" spans="2:44">
      <c r="B213" t="s">
        <v>196</v>
      </c>
      <c r="F213" s="17">
        <f t="shared" ref="F213:P213" si="118">SUM(F211:F212)</f>
        <v>18898</v>
      </c>
      <c r="G213" s="17">
        <f t="shared" si="118"/>
        <v>18347</v>
      </c>
      <c r="H213" s="17">
        <f t="shared" si="118"/>
        <v>16549</v>
      </c>
      <c r="I213" s="17">
        <f t="shared" si="118"/>
        <v>12918</v>
      </c>
      <c r="J213" s="17">
        <f t="shared" si="118"/>
        <v>10715</v>
      </c>
      <c r="K213" s="17">
        <f t="shared" si="118"/>
        <v>16701</v>
      </c>
      <c r="L213" s="17">
        <f t="shared" si="118"/>
        <v>18498</v>
      </c>
      <c r="M213" s="17">
        <f t="shared" si="118"/>
        <v>26465</v>
      </c>
      <c r="N213" s="17">
        <f t="shared" si="118"/>
        <v>20945</v>
      </c>
      <c r="O213" s="17">
        <f t="shared" si="118"/>
        <v>21879</v>
      </c>
      <c r="P213" s="17">
        <f t="shared" si="118"/>
        <v>24048</v>
      </c>
      <c r="W213" s="17">
        <f t="shared" ref="W213:AR213" si="119">SUM(W211:W212)</f>
        <v>19148</v>
      </c>
      <c r="X213" s="17">
        <f t="shared" si="119"/>
        <v>16587</v>
      </c>
      <c r="Y213" s="17">
        <f t="shared" si="119"/>
        <v>16032</v>
      </c>
      <c r="Z213" s="17">
        <f t="shared" si="119"/>
        <v>18498</v>
      </c>
      <c r="AA213" s="17">
        <f t="shared" si="119"/>
        <v>19644</v>
      </c>
      <c r="AB213" s="17">
        <f t="shared" si="119"/>
        <v>17742</v>
      </c>
      <c r="AC213" s="17">
        <f t="shared" si="119"/>
        <v>20129</v>
      </c>
      <c r="AD213" s="17">
        <f t="shared" si="119"/>
        <v>26465</v>
      </c>
      <c r="AE213" s="17">
        <f t="shared" si="119"/>
        <v>26622</v>
      </c>
      <c r="AF213" s="17">
        <f t="shared" si="119"/>
        <v>23630</v>
      </c>
      <c r="AG213" s="17">
        <f t="shared" si="119"/>
        <v>23719</v>
      </c>
      <c r="AH213" s="17">
        <f t="shared" si="119"/>
        <v>20945</v>
      </c>
      <c r="AI213" s="17">
        <f t="shared" si="119"/>
        <v>20886</v>
      </c>
      <c r="AJ213" s="17">
        <f t="shared" si="119"/>
        <v>17936</v>
      </c>
      <c r="AK213" s="17">
        <f t="shared" si="119"/>
        <v>21984</v>
      </c>
      <c r="AL213" s="17">
        <f t="shared" si="119"/>
        <v>21879</v>
      </c>
      <c r="AM213" s="17">
        <f t="shared" si="119"/>
        <v>25924</v>
      </c>
      <c r="AN213" s="17">
        <f t="shared" si="119"/>
        <v>25929</v>
      </c>
      <c r="AO213" s="17">
        <f t="shared" si="119"/>
        <v>30702</v>
      </c>
      <c r="AP213" s="17">
        <f t="shared" si="119"/>
        <v>24048</v>
      </c>
      <c r="AQ213" s="17">
        <f t="shared" si="119"/>
        <v>24493</v>
      </c>
      <c r="AR213" s="17">
        <f t="shared" si="119"/>
        <v>27225</v>
      </c>
    </row>
    <row r="215" ht="15.75" spans="3:4">
      <c r="C215" s="23" t="s">
        <v>167</v>
      </c>
      <c r="D215" s="22"/>
    </row>
    <row r="216" s="24" customFormat="1" spans="3:45">
      <c r="C216" s="25" t="s">
        <v>197</v>
      </c>
      <c r="D216" s="25"/>
      <c r="E216" s="26"/>
      <c r="F216" s="27">
        <f t="shared" ref="F216:P216" si="120">F188+F191</f>
        <v>11301</v>
      </c>
      <c r="G216" s="27">
        <f t="shared" si="120"/>
        <v>12065</v>
      </c>
      <c r="H216" s="27">
        <f t="shared" si="120"/>
        <v>16657</v>
      </c>
      <c r="I216" s="27">
        <f t="shared" si="120"/>
        <v>26064</v>
      </c>
      <c r="J216" s="27">
        <f t="shared" si="120"/>
        <v>23907</v>
      </c>
      <c r="K216" s="27">
        <f t="shared" si="120"/>
        <v>22832</v>
      </c>
      <c r="L216" s="27">
        <f t="shared" si="120"/>
        <v>30972</v>
      </c>
      <c r="M216" s="27">
        <f t="shared" si="120"/>
        <v>42843</v>
      </c>
      <c r="N216" s="27">
        <f t="shared" si="120"/>
        <v>67012</v>
      </c>
      <c r="O216" s="27">
        <f t="shared" si="120"/>
        <v>60010</v>
      </c>
      <c r="P216" s="27">
        <f t="shared" si="120"/>
        <v>69495</v>
      </c>
      <c r="Q216" s="26"/>
      <c r="R216" s="96">
        <f>AVERAGE(E216:Q216)</f>
        <v>34832.5454545455</v>
      </c>
      <c r="S216" s="31"/>
      <c r="T216" s="31"/>
      <c r="U216" s="31"/>
      <c r="V216" s="27"/>
      <c r="W216" s="27">
        <f t="shared" ref="W216:AR216" si="121">W188+W191</f>
        <v>7362</v>
      </c>
      <c r="X216" s="27">
        <f t="shared" si="121"/>
        <v>6501</v>
      </c>
      <c r="Y216" s="27">
        <f t="shared" si="121"/>
        <v>8734</v>
      </c>
      <c r="Z216" s="27">
        <f t="shared" si="121"/>
        <v>8375</v>
      </c>
      <c r="AA216" s="27">
        <f t="shared" si="121"/>
        <v>5446</v>
      </c>
      <c r="AB216" s="27">
        <f t="shared" si="121"/>
        <v>8602</v>
      </c>
      <c r="AC216" s="27">
        <f t="shared" si="121"/>
        <v>11597</v>
      </c>
      <c r="AD216" s="27">
        <f t="shared" si="121"/>
        <v>17198</v>
      </c>
      <c r="AE216" s="27">
        <f t="shared" si="121"/>
        <v>13347</v>
      </c>
      <c r="AF216" s="27">
        <f t="shared" si="121"/>
        <v>16394</v>
      </c>
      <c r="AG216" s="27">
        <f t="shared" si="121"/>
        <v>18720</v>
      </c>
      <c r="AH216" s="27">
        <f t="shared" si="121"/>
        <v>18551</v>
      </c>
      <c r="AI216" s="27">
        <f t="shared" si="121"/>
        <v>15320</v>
      </c>
      <c r="AJ216" s="27">
        <f t="shared" si="121"/>
        <v>12594</v>
      </c>
      <c r="AK216" s="27">
        <f t="shared" si="121"/>
        <v>16077</v>
      </c>
      <c r="AL216" s="27">
        <f t="shared" si="121"/>
        <v>16019</v>
      </c>
      <c r="AM216" s="27">
        <f t="shared" si="121"/>
        <v>17220</v>
      </c>
      <c r="AN216" s="27">
        <f t="shared" si="121"/>
        <v>21778</v>
      </c>
      <c r="AO216" s="27">
        <f t="shared" si="121"/>
        <v>22601</v>
      </c>
      <c r="AP216" s="27">
        <f t="shared" si="121"/>
        <v>7896</v>
      </c>
      <c r="AQ216" s="27">
        <f t="shared" si="121"/>
        <v>16836</v>
      </c>
      <c r="AR216" s="27">
        <f t="shared" si="121"/>
        <v>13454</v>
      </c>
      <c r="AS216" s="26"/>
    </row>
    <row r="217" spans="3:44">
      <c r="C217" s="25" t="s">
        <v>198</v>
      </c>
      <c r="D217" s="22"/>
      <c r="F217" s="30">
        <f t="shared" ref="F217:M217" si="122">IFERROR(F216/(F106*20),0)</f>
        <v>0.0420634424355035</v>
      </c>
      <c r="G217" s="30">
        <f t="shared" si="122"/>
        <v>0.0443454008691919</v>
      </c>
      <c r="H217" s="30">
        <f t="shared" si="122"/>
        <v>0.0605843037296973</v>
      </c>
      <c r="I217" s="30">
        <f t="shared" si="122"/>
        <v>0.0942581510300263</v>
      </c>
      <c r="J217" s="30">
        <f t="shared" si="122"/>
        <v>0.0860232619393393</v>
      </c>
      <c r="K217" s="30">
        <f t="shared" si="122"/>
        <v>0.0820638453266164</v>
      </c>
      <c r="L217" s="30">
        <f t="shared" si="122"/>
        <v>0.11248883174617</v>
      </c>
      <c r="M217" s="30">
        <f t="shared" si="122"/>
        <v>0.158625607577952</v>
      </c>
      <c r="N217" s="30">
        <f>IFERROR(N216/N106,0)</f>
        <v>5.01849771586909</v>
      </c>
      <c r="O217" s="30">
        <f>IFERROR(O216/O106,0)</f>
        <v>4.59389114292276</v>
      </c>
      <c r="P217" s="30">
        <f>IFERROR(P216/P106,0)</f>
        <v>5.50237529691211</v>
      </c>
      <c r="R217" s="95">
        <f>AVERAGE(E217:Q217)</f>
        <v>1.43592881821441</v>
      </c>
      <c r="V217" s="30"/>
      <c r="W217" s="30">
        <f t="shared" ref="W217:AR217" si="123">IFERROR(W216/W106,0)</f>
        <v>10.5948027613838</v>
      </c>
      <c r="X217" s="30">
        <f t="shared" si="123"/>
        <v>9.3678536072937</v>
      </c>
      <c r="Y217" s="30">
        <f t="shared" si="123"/>
        <v>12.6078866416164</v>
      </c>
      <c r="Z217" s="30">
        <f t="shared" si="123"/>
        <v>12.1587210332082</v>
      </c>
      <c r="AA217" s="30">
        <f t="shared" si="123"/>
        <v>7.93339791540719</v>
      </c>
      <c r="AB217" s="30">
        <f t="shared" si="123"/>
        <v>12.6171952922402</v>
      </c>
      <c r="AC217" s="30">
        <f t="shared" si="123"/>
        <v>17.0682420608464</v>
      </c>
      <c r="AD217" s="30">
        <f t="shared" si="123"/>
        <v>25.4565692987676</v>
      </c>
      <c r="AE217" s="30">
        <f t="shared" si="123"/>
        <v>19.8256142122932</v>
      </c>
      <c r="AF217" s="30">
        <f t="shared" si="123"/>
        <v>24.506770230717</v>
      </c>
      <c r="AG217" s="30">
        <f t="shared" si="123"/>
        <v>28.118325277353</v>
      </c>
      <c r="AH217" s="30">
        <f t="shared" si="123"/>
        <v>1.39975854523504</v>
      </c>
      <c r="AI217" s="30">
        <f t="shared" si="123"/>
        <v>1.16034234643642</v>
      </c>
      <c r="AJ217" s="30">
        <f t="shared" si="123"/>
        <v>0.95895834919668</v>
      </c>
      <c r="AK217" s="30">
        <f t="shared" si="123"/>
        <v>1.23498233215548</v>
      </c>
      <c r="AL217" s="30">
        <f t="shared" si="123"/>
        <v>1.24207179964333</v>
      </c>
      <c r="AM217" s="30">
        <f t="shared" si="123"/>
        <v>1.34731241686879</v>
      </c>
      <c r="AN217" s="30">
        <f t="shared" si="123"/>
        <v>1.71913482791285</v>
      </c>
      <c r="AO217" s="30">
        <f t="shared" si="123"/>
        <v>1.79643907479533</v>
      </c>
      <c r="AP217" s="30">
        <f t="shared" si="123"/>
        <v>0.632286995515695</v>
      </c>
      <c r="AQ217" s="30">
        <f t="shared" si="123"/>
        <v>1.3561014901329</v>
      </c>
      <c r="AR217" s="30">
        <f t="shared" si="123"/>
        <v>1.09001053228551</v>
      </c>
    </row>
  </sheetData>
  <mergeCells count="15">
    <mergeCell ref="F7:F9"/>
    <mergeCell ref="F16:F17"/>
    <mergeCell ref="F30:F31"/>
    <mergeCell ref="G7:G9"/>
    <mergeCell ref="G16:G17"/>
    <mergeCell ref="G30:G31"/>
    <mergeCell ref="H16:H17"/>
    <mergeCell ref="H30:H31"/>
    <mergeCell ref="I16:I17"/>
    <mergeCell ref="I30:I31"/>
    <mergeCell ref="J30:J31"/>
    <mergeCell ref="K30:K31"/>
    <mergeCell ref="W30:W31"/>
    <mergeCell ref="X30:X31"/>
    <mergeCell ref="Y30:Y31"/>
  </mergeCell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Z142"/>
  <sheetViews>
    <sheetView workbookViewId="0">
      <selection activeCell="L8" sqref="L8"/>
    </sheetView>
    <sheetView topLeftCell="A7" workbookViewId="1">
      <selection activeCell="R33" sqref="R33"/>
    </sheetView>
  </sheetViews>
  <sheetFormatPr defaultColWidth="9.14285714285714" defaultRowHeight="15"/>
  <cols>
    <col min="1" max="1" width="7.14285714285714" customWidth="1"/>
    <col min="2" max="2" width="9.71428571428571"/>
    <col min="7" max="7" width="9.57142857142857"/>
    <col min="8" max="8" width="10.5714285714286"/>
    <col min="9" max="9" width="4.28571428571429" customWidth="1"/>
    <col min="10" max="10" width="10.5714285714286" customWidth="1"/>
    <col min="12" max="13" width="12.8571428571429"/>
    <col min="14" max="14" width="18.8571428571429" customWidth="1"/>
    <col min="15" max="15" width="10.5714285714286"/>
    <col min="18" max="18" width="12.8571428571429"/>
    <col min="19" max="19" width="9.71428571428571" customWidth="1"/>
    <col min="20" max="20" width="6.85714285714286" customWidth="1"/>
    <col min="21" max="22" width="10.7142857142857" customWidth="1"/>
    <col min="24" max="24" width="9.85714285714286" customWidth="1"/>
    <col min="25" max="25" width="10.7142857142857" customWidth="1"/>
    <col min="26" max="26" width="10.2857142857143" customWidth="1"/>
  </cols>
  <sheetData>
    <row r="3" spans="2:12">
      <c r="B3" t="s">
        <v>199</v>
      </c>
      <c r="G3" s="49"/>
      <c r="L3" t="s">
        <v>200</v>
      </c>
    </row>
    <row r="4" spans="2:12">
      <c r="B4" s="107" t="s">
        <v>201</v>
      </c>
      <c r="L4" s="107" t="s">
        <v>202</v>
      </c>
    </row>
    <row r="5" spans="2:19">
      <c r="B5" t="s">
        <v>203</v>
      </c>
      <c r="L5" t="s">
        <v>204</v>
      </c>
      <c r="O5" s="57">
        <f>[1]Sheet1!$E$6</f>
        <v>0.0246945</v>
      </c>
      <c r="S5" t="s">
        <v>205</v>
      </c>
    </row>
    <row r="6" spans="2:15">
      <c r="B6" s="50"/>
      <c r="O6" s="56"/>
    </row>
    <row r="7" spans="6:24">
      <c r="F7" s="51" t="s">
        <v>206</v>
      </c>
      <c r="G7" s="51" t="s">
        <v>207</v>
      </c>
      <c r="H7" s="51" t="s">
        <v>208</v>
      </c>
      <c r="J7" s="51" t="s">
        <v>208</v>
      </c>
      <c r="S7" s="59" t="s">
        <v>209</v>
      </c>
      <c r="X7" s="59" t="s">
        <v>210</v>
      </c>
    </row>
    <row r="8" ht="75" spans="2:26">
      <c r="B8" t="s">
        <v>211</v>
      </c>
      <c r="C8" t="s">
        <v>212</v>
      </c>
      <c r="D8" t="s">
        <v>213</v>
      </c>
      <c r="F8" t="s">
        <v>214</v>
      </c>
      <c r="G8" s="52" t="s">
        <v>215</v>
      </c>
      <c r="H8" s="52" t="s">
        <v>216</v>
      </c>
      <c r="J8" s="52" t="s">
        <v>217</v>
      </c>
      <c r="M8" s="58"/>
      <c r="R8" s="52"/>
      <c r="S8" s="52" t="s">
        <v>218</v>
      </c>
      <c r="U8" s="52" t="s">
        <v>219</v>
      </c>
      <c r="V8" s="58" t="s">
        <v>220</v>
      </c>
      <c r="X8" s="52" t="s">
        <v>221</v>
      </c>
      <c r="Y8" s="52" t="s">
        <v>219</v>
      </c>
      <c r="Z8" s="58" t="s">
        <v>220</v>
      </c>
    </row>
    <row r="9" spans="1:26">
      <c r="A9">
        <v>1</v>
      </c>
      <c r="B9" s="53">
        <v>45261</v>
      </c>
      <c r="C9" s="54">
        <v>140.93</v>
      </c>
      <c r="D9" s="55">
        <v>0.0523</v>
      </c>
      <c r="F9" s="56">
        <f t="shared" ref="F9:F68" si="0">D9</f>
        <v>0.0523</v>
      </c>
      <c r="G9" s="56">
        <f>O$5/12</f>
        <v>0.002057875</v>
      </c>
      <c r="H9" s="56">
        <f t="shared" ref="H9:H68" si="1">F9-G9</f>
        <v>0.050242125</v>
      </c>
      <c r="J9" s="56" t="str">
        <f t="shared" ref="J9:J68" si="2">IF(H9&lt;0,H9,"")</f>
        <v/>
      </c>
      <c r="L9" s="59" t="s">
        <v>20</v>
      </c>
      <c r="O9" s="4" t="s">
        <v>222</v>
      </c>
      <c r="P9" s="4" t="s">
        <v>223</v>
      </c>
      <c r="Q9" s="4" t="s">
        <v>224</v>
      </c>
      <c r="R9" s="56"/>
      <c r="S9" s="56">
        <f>AVERAGE(H9:H68)</f>
        <v>0.0177637916666667</v>
      </c>
      <c r="T9">
        <v>1</v>
      </c>
      <c r="U9" s="56">
        <f t="shared" ref="U9:U68" si="3">(H9-S$9)^2</f>
        <v>0.00105484213611111</v>
      </c>
      <c r="V9" s="56">
        <f>(U70/T68)^(1/2)</f>
        <v>0.077317380736086</v>
      </c>
      <c r="X9" s="56">
        <f>AVERAGE(J9:J68)</f>
        <v>-0.0593620416666667</v>
      </c>
      <c r="Y9" s="56" t="str">
        <f t="shared" ref="Y9:Y68" si="4">IF(J9="","",(J9-X$9)^2)</f>
        <v/>
      </c>
      <c r="Z9" s="56">
        <f>(Y70/(COUNT(Y9:Y69)-1))^(1/2)</f>
        <v>0.0478270478246691</v>
      </c>
    </row>
    <row r="10" spans="1:25">
      <c r="A10">
        <v>2</v>
      </c>
      <c r="B10" s="53">
        <v>45231</v>
      </c>
      <c r="C10" s="54">
        <v>133.92</v>
      </c>
      <c r="D10" s="55">
        <v>0.0688</v>
      </c>
      <c r="F10" s="56">
        <f t="shared" si="0"/>
        <v>0.0688</v>
      </c>
      <c r="G10" s="56">
        <f>O$5/12</f>
        <v>0.002057875</v>
      </c>
      <c r="H10" s="56">
        <f t="shared" si="1"/>
        <v>0.066742125</v>
      </c>
      <c r="J10" s="56" t="str">
        <f t="shared" si="2"/>
        <v/>
      </c>
      <c r="T10">
        <v>2</v>
      </c>
      <c r="U10" s="56">
        <f t="shared" si="3"/>
        <v>0.00239887713611111</v>
      </c>
      <c r="Y10" s="56" t="str">
        <f t="shared" si="4"/>
        <v/>
      </c>
    </row>
    <row r="11" spans="1:25">
      <c r="A11">
        <v>3</v>
      </c>
      <c r="B11" s="53">
        <v>45200</v>
      </c>
      <c r="C11" s="54">
        <v>125.3</v>
      </c>
      <c r="D11" s="55">
        <v>-0.0497</v>
      </c>
      <c r="F11" s="56">
        <f t="shared" si="0"/>
        <v>-0.0497</v>
      </c>
      <c r="G11" s="56">
        <f>O$5/12</f>
        <v>0.002057875</v>
      </c>
      <c r="H11" s="56">
        <f t="shared" si="1"/>
        <v>-0.051757875</v>
      </c>
      <c r="J11" s="56">
        <f t="shared" si="2"/>
        <v>-0.051757875</v>
      </c>
      <c r="L11" s="60" t="s">
        <v>220</v>
      </c>
      <c r="O11" s="57">
        <f>STDEV.P(H9:H20)</f>
        <v>0.0768400810486009</v>
      </c>
      <c r="P11" s="57">
        <f>STDEV.P(H9:H44)</f>
        <v>0.0818104701409994</v>
      </c>
      <c r="Q11" s="57">
        <f>STDEV.P(H9:H68)</f>
        <v>0.077317380736086</v>
      </c>
      <c r="T11">
        <v>3</v>
      </c>
      <c r="U11" s="56">
        <f t="shared" si="3"/>
        <v>0.00483326213611111</v>
      </c>
      <c r="Y11" s="56">
        <f t="shared" si="4"/>
        <v>5.78233506944444e-5</v>
      </c>
    </row>
    <row r="12" spans="1:25">
      <c r="A12">
        <v>4</v>
      </c>
      <c r="B12" s="53">
        <v>45170</v>
      </c>
      <c r="C12" s="54">
        <v>131.85</v>
      </c>
      <c r="D12" s="55">
        <v>-0.04</v>
      </c>
      <c r="F12" s="56">
        <f t="shared" si="0"/>
        <v>-0.04</v>
      </c>
      <c r="G12" s="56">
        <f>O$5/12</f>
        <v>0.002057875</v>
      </c>
      <c r="H12" s="56">
        <f t="shared" si="1"/>
        <v>-0.042057875</v>
      </c>
      <c r="J12" s="56">
        <f t="shared" si="2"/>
        <v>-0.042057875</v>
      </c>
      <c r="L12" s="3" t="s">
        <v>225</v>
      </c>
      <c r="O12" s="56">
        <f t="shared" ref="O12:Q12" si="5">(1+O19)^(1/12)-1</f>
        <v>0.0291152965385482</v>
      </c>
      <c r="P12" s="56">
        <f t="shared" si="5"/>
        <v>0.0119812051649872</v>
      </c>
      <c r="Q12" s="56">
        <f t="shared" si="5"/>
        <v>0.0155552609988698</v>
      </c>
      <c r="T12">
        <v>4</v>
      </c>
      <c r="U12" s="56">
        <f t="shared" si="3"/>
        <v>0.00357863180277778</v>
      </c>
      <c r="Y12" s="56">
        <f t="shared" si="4"/>
        <v>0.000299434184027778</v>
      </c>
    </row>
    <row r="13" spans="1:25">
      <c r="A13">
        <v>5</v>
      </c>
      <c r="B13" s="53">
        <v>45139</v>
      </c>
      <c r="C13" s="54">
        <v>137.35</v>
      </c>
      <c r="D13" s="55">
        <v>0.0319</v>
      </c>
      <c r="F13" s="56">
        <f t="shared" si="0"/>
        <v>0.0319</v>
      </c>
      <c r="G13" s="56">
        <f>O$5/12</f>
        <v>0.002057875</v>
      </c>
      <c r="H13" s="56">
        <f t="shared" si="1"/>
        <v>0.029842125</v>
      </c>
      <c r="J13" s="56" t="str">
        <f t="shared" si="2"/>
        <v/>
      </c>
      <c r="L13" s="3" t="s">
        <v>226</v>
      </c>
      <c r="O13" s="61">
        <f t="shared" ref="O13:Q13" si="6">O20/12</f>
        <v>0.002057875</v>
      </c>
      <c r="P13" s="61">
        <f t="shared" si="6"/>
        <v>0.002057875</v>
      </c>
      <c r="Q13" s="61">
        <f t="shared" si="6"/>
        <v>0.002057875</v>
      </c>
      <c r="T13">
        <v>5</v>
      </c>
      <c r="U13" s="56">
        <f t="shared" si="3"/>
        <v>0.000145886136111111</v>
      </c>
      <c r="Y13" s="56" t="str">
        <f t="shared" si="4"/>
        <v/>
      </c>
    </row>
    <row r="14" spans="1:25">
      <c r="A14">
        <v>6</v>
      </c>
      <c r="B14" s="53">
        <v>45108</v>
      </c>
      <c r="C14" s="54">
        <v>133.11</v>
      </c>
      <c r="D14" s="55">
        <v>0.1004</v>
      </c>
      <c r="F14" s="56">
        <f t="shared" si="0"/>
        <v>0.1004</v>
      </c>
      <c r="G14" s="56">
        <f>O$5/12</f>
        <v>0.002057875</v>
      </c>
      <c r="H14" s="56">
        <f t="shared" si="1"/>
        <v>0.098342125</v>
      </c>
      <c r="J14" s="56" t="str">
        <f t="shared" si="2"/>
        <v/>
      </c>
      <c r="L14" s="60" t="s">
        <v>227</v>
      </c>
      <c r="O14" s="56">
        <f t="shared" ref="O14:Q14" si="7">O12-O13</f>
        <v>0.0270574215385482</v>
      </c>
      <c r="P14" s="56">
        <f t="shared" si="7"/>
        <v>0.0099233301649872</v>
      </c>
      <c r="Q14" s="56">
        <f t="shared" si="7"/>
        <v>0.0134973859988698</v>
      </c>
      <c r="T14">
        <v>6</v>
      </c>
      <c r="U14" s="56">
        <f t="shared" si="3"/>
        <v>0.00649286780277778</v>
      </c>
      <c r="Y14" s="56" t="str">
        <f t="shared" si="4"/>
        <v/>
      </c>
    </row>
    <row r="15" spans="1:25">
      <c r="A15">
        <v>7</v>
      </c>
      <c r="B15" s="53">
        <v>45078</v>
      </c>
      <c r="C15" s="54">
        <v>120.97</v>
      </c>
      <c r="D15" s="55">
        <v>-0.0195</v>
      </c>
      <c r="F15" s="56">
        <f t="shared" si="0"/>
        <v>-0.0195</v>
      </c>
      <c r="G15" s="56">
        <f>O$5/12</f>
        <v>0.002057875</v>
      </c>
      <c r="H15" s="56">
        <f t="shared" si="1"/>
        <v>-0.021557875</v>
      </c>
      <c r="J15" s="56">
        <f t="shared" si="2"/>
        <v>-0.021557875</v>
      </c>
      <c r="T15">
        <v>7</v>
      </c>
      <c r="U15" s="56">
        <f t="shared" si="3"/>
        <v>0.00154619346944444</v>
      </c>
      <c r="Y15" s="56">
        <f t="shared" si="4"/>
        <v>0.00142915501736111</v>
      </c>
    </row>
    <row r="16" spans="1:25">
      <c r="A16">
        <v>8</v>
      </c>
      <c r="B16" s="53">
        <v>45047</v>
      </c>
      <c r="C16" s="54">
        <v>123.37</v>
      </c>
      <c r="D16" s="55">
        <v>0.14</v>
      </c>
      <c r="F16" s="56">
        <f t="shared" si="0"/>
        <v>0.14</v>
      </c>
      <c r="G16" s="56">
        <f>O$5/12</f>
        <v>0.002057875</v>
      </c>
      <c r="H16" s="56">
        <f t="shared" si="1"/>
        <v>0.137942125</v>
      </c>
      <c r="J16" s="56" t="str">
        <f t="shared" si="2"/>
        <v/>
      </c>
      <c r="L16" s="60" t="s">
        <v>228</v>
      </c>
      <c r="O16" s="62">
        <f t="shared" ref="O16:Q16" si="8">O14/O11</f>
        <v>0.352126405507492</v>
      </c>
      <c r="P16" s="62">
        <f t="shared" si="8"/>
        <v>0.121296579128374</v>
      </c>
      <c r="Q16" s="62">
        <f t="shared" si="8"/>
        <v>0.174571174946311</v>
      </c>
      <c r="T16">
        <v>8</v>
      </c>
      <c r="U16" s="56">
        <f t="shared" si="3"/>
        <v>0.0144428318027778</v>
      </c>
      <c r="Y16" s="56" t="str">
        <f t="shared" si="4"/>
        <v/>
      </c>
    </row>
    <row r="17" spans="1:25">
      <c r="A17">
        <v>9</v>
      </c>
      <c r="B17" s="53">
        <v>45017</v>
      </c>
      <c r="C17" s="54">
        <v>108.22</v>
      </c>
      <c r="D17" s="55">
        <v>0.0406</v>
      </c>
      <c r="F17" s="56">
        <f t="shared" si="0"/>
        <v>0.0406</v>
      </c>
      <c r="G17" s="56">
        <f>O$5/12</f>
        <v>0.002057875</v>
      </c>
      <c r="H17" s="56">
        <f t="shared" si="1"/>
        <v>0.038542125</v>
      </c>
      <c r="J17" s="56" t="str">
        <f t="shared" si="2"/>
        <v/>
      </c>
      <c r="T17">
        <v>9</v>
      </c>
      <c r="U17" s="56">
        <f t="shared" si="3"/>
        <v>0.000431739136111111</v>
      </c>
      <c r="Y17" s="56" t="str">
        <f t="shared" si="4"/>
        <v/>
      </c>
    </row>
    <row r="18" spans="1:25">
      <c r="A18">
        <v>10</v>
      </c>
      <c r="B18" s="53">
        <v>44986</v>
      </c>
      <c r="C18" s="54">
        <v>104</v>
      </c>
      <c r="D18" s="55">
        <v>0.1517</v>
      </c>
      <c r="F18" s="56">
        <f t="shared" si="0"/>
        <v>0.1517</v>
      </c>
      <c r="G18" s="56">
        <f>O$5/12</f>
        <v>0.002057875</v>
      </c>
      <c r="H18" s="56">
        <f t="shared" si="1"/>
        <v>0.149642125</v>
      </c>
      <c r="J18" s="56" t="str">
        <f t="shared" si="2"/>
        <v/>
      </c>
      <c r="L18" s="60" t="s">
        <v>229</v>
      </c>
      <c r="O18" s="56">
        <f t="shared" ref="O18:Q18" si="9">O11*12^(1/2)</f>
        <v>0.266181848867774</v>
      </c>
      <c r="P18" s="56">
        <f t="shared" si="9"/>
        <v>0.283399781750615</v>
      </c>
      <c r="Q18" s="56">
        <f t="shared" si="9"/>
        <v>0.267835263486096</v>
      </c>
      <c r="T18">
        <v>10</v>
      </c>
      <c r="U18" s="56">
        <f t="shared" si="3"/>
        <v>0.0173918948027778</v>
      </c>
      <c r="Y18" s="56" t="str">
        <f t="shared" si="4"/>
        <v/>
      </c>
    </row>
    <row r="19" spans="1:25">
      <c r="A19">
        <v>11</v>
      </c>
      <c r="B19" s="53">
        <v>44958</v>
      </c>
      <c r="C19" s="54">
        <v>90.3</v>
      </c>
      <c r="D19" s="55">
        <v>-0.0958</v>
      </c>
      <c r="F19" s="56">
        <f t="shared" si="0"/>
        <v>-0.0958</v>
      </c>
      <c r="G19" s="56">
        <f>O$5/12</f>
        <v>0.002057875</v>
      </c>
      <c r="H19" s="56">
        <f t="shared" si="1"/>
        <v>-0.097857875</v>
      </c>
      <c r="J19" s="56">
        <f t="shared" si="2"/>
        <v>-0.097857875</v>
      </c>
      <c r="L19" s="3" t="s">
        <v>230</v>
      </c>
      <c r="O19" s="56">
        <f>($C$9/$C$20)^(1/($A$20/12))-1</f>
        <v>0.411134474817263</v>
      </c>
      <c r="P19" s="56">
        <f>($C$9/$C$44)^(1/($A$44/12))-1</f>
        <v>0.153637489274</v>
      </c>
      <c r="Q19" s="56">
        <f>($C$9/$C$68)^(1/($A$68/12))-1</f>
        <v>0.203490659405641</v>
      </c>
      <c r="T19">
        <v>11</v>
      </c>
      <c r="U19" s="56">
        <f t="shared" si="3"/>
        <v>0.0133683698027778</v>
      </c>
      <c r="Y19" s="56">
        <f t="shared" si="4"/>
        <v>0.00148192918402778</v>
      </c>
    </row>
    <row r="20" spans="1:25">
      <c r="A20">
        <v>12</v>
      </c>
      <c r="B20" s="53">
        <v>44927</v>
      </c>
      <c r="C20" s="54">
        <v>99.87</v>
      </c>
      <c r="D20" s="55">
        <v>0.1255</v>
      </c>
      <c r="F20" s="56">
        <f t="shared" si="0"/>
        <v>0.1255</v>
      </c>
      <c r="G20" s="56">
        <f>O$5/12</f>
        <v>0.002057875</v>
      </c>
      <c r="H20" s="56">
        <f t="shared" si="1"/>
        <v>0.123442125</v>
      </c>
      <c r="J20" s="56" t="str">
        <f t="shared" si="2"/>
        <v/>
      </c>
      <c r="L20" s="3" t="s">
        <v>231</v>
      </c>
      <c r="O20" s="61">
        <f t="shared" ref="O20:Q20" si="10">$O$5</f>
        <v>0.0246945</v>
      </c>
      <c r="P20" s="61">
        <f t="shared" si="10"/>
        <v>0.0246945</v>
      </c>
      <c r="Q20" s="61">
        <f t="shared" si="10"/>
        <v>0.0246945</v>
      </c>
      <c r="T20">
        <v>12</v>
      </c>
      <c r="U20" s="56">
        <f t="shared" si="3"/>
        <v>0.0111679101361111</v>
      </c>
      <c r="Y20" s="56" t="str">
        <f t="shared" si="4"/>
        <v/>
      </c>
    </row>
    <row r="21" spans="1:25">
      <c r="A21">
        <v>13</v>
      </c>
      <c r="B21" s="53">
        <v>44896</v>
      </c>
      <c r="C21" s="54">
        <v>88.73</v>
      </c>
      <c r="D21" s="55">
        <v>-0.1254</v>
      </c>
      <c r="F21" s="56">
        <f t="shared" si="0"/>
        <v>-0.1254</v>
      </c>
      <c r="G21" s="56">
        <f>O$5/12</f>
        <v>0.002057875</v>
      </c>
      <c r="H21" s="56">
        <f t="shared" si="1"/>
        <v>-0.127457875</v>
      </c>
      <c r="J21" s="56">
        <f t="shared" si="2"/>
        <v>-0.127457875</v>
      </c>
      <c r="L21" s="60" t="s">
        <v>227</v>
      </c>
      <c r="O21" s="56">
        <f t="shared" ref="O21:Q21" si="11">O19-O20</f>
        <v>0.386439974817263</v>
      </c>
      <c r="P21" s="56">
        <f t="shared" si="11"/>
        <v>0.128942989274</v>
      </c>
      <c r="Q21" s="56">
        <f t="shared" si="11"/>
        <v>0.178796159405641</v>
      </c>
      <c r="T21">
        <v>13</v>
      </c>
      <c r="U21" s="56">
        <f t="shared" si="3"/>
        <v>0.0210893324694444</v>
      </c>
      <c r="Y21" s="56">
        <f t="shared" si="4"/>
        <v>0.00463704251736111</v>
      </c>
    </row>
    <row r="22" spans="1:25">
      <c r="A22">
        <v>14</v>
      </c>
      <c r="B22" s="53">
        <v>44866</v>
      </c>
      <c r="C22" s="54">
        <v>101.45</v>
      </c>
      <c r="D22" s="55">
        <v>0.0717</v>
      </c>
      <c r="F22" s="56">
        <f t="shared" si="0"/>
        <v>0.0717</v>
      </c>
      <c r="G22" s="56">
        <f>O$5/12</f>
        <v>0.002057875</v>
      </c>
      <c r="H22" s="56">
        <f t="shared" si="1"/>
        <v>0.069642125</v>
      </c>
      <c r="J22" s="56" t="str">
        <f t="shared" si="2"/>
        <v/>
      </c>
      <c r="T22">
        <v>14</v>
      </c>
      <c r="U22" s="56">
        <f t="shared" si="3"/>
        <v>0.00269136146944444</v>
      </c>
      <c r="Y22" s="56" t="str">
        <f t="shared" si="4"/>
        <v/>
      </c>
    </row>
    <row r="23" spans="1:25">
      <c r="A23">
        <v>15</v>
      </c>
      <c r="B23" s="53">
        <v>44835</v>
      </c>
      <c r="C23" s="54">
        <v>94.66</v>
      </c>
      <c r="D23" s="55">
        <v>-0.0155</v>
      </c>
      <c r="F23" s="56">
        <f t="shared" si="0"/>
        <v>-0.0155</v>
      </c>
      <c r="G23" s="56">
        <f>O$5/12</f>
        <v>0.002057875</v>
      </c>
      <c r="H23" s="56">
        <f t="shared" si="1"/>
        <v>-0.017557875</v>
      </c>
      <c r="J23" s="56">
        <f t="shared" si="2"/>
        <v>-0.017557875</v>
      </c>
      <c r="L23" s="60" t="s">
        <v>232</v>
      </c>
      <c r="O23" s="62">
        <f t="shared" ref="O23:Q23" si="12">O21/O18</f>
        <v>1.45178935551397</v>
      </c>
      <c r="P23" s="62">
        <f t="shared" si="12"/>
        <v>0.454986198216153</v>
      </c>
      <c r="Q23" s="62">
        <f t="shared" si="12"/>
        <v>0.667560190090214</v>
      </c>
      <c r="T23">
        <v>15</v>
      </c>
      <c r="U23" s="56">
        <f t="shared" si="3"/>
        <v>0.00124762013611111</v>
      </c>
      <c r="Y23" s="56">
        <f t="shared" si="4"/>
        <v>0.00174758835069444</v>
      </c>
    </row>
    <row r="24" ht="15.75" spans="1:25">
      <c r="A24">
        <v>16</v>
      </c>
      <c r="B24" s="53">
        <v>44805</v>
      </c>
      <c r="C24" s="54">
        <v>96.15</v>
      </c>
      <c r="D24" s="55">
        <v>-0.1191</v>
      </c>
      <c r="F24" s="56">
        <f t="shared" si="0"/>
        <v>-0.1191</v>
      </c>
      <c r="G24" s="56">
        <f>O$5/12</f>
        <v>0.002057875</v>
      </c>
      <c r="H24" s="56">
        <f t="shared" si="1"/>
        <v>-0.121157875</v>
      </c>
      <c r="J24" s="56">
        <f t="shared" si="2"/>
        <v>-0.121157875</v>
      </c>
      <c r="T24">
        <v>16</v>
      </c>
      <c r="U24" s="56">
        <f t="shared" si="3"/>
        <v>0.0192992294694444</v>
      </c>
      <c r="Y24" s="56">
        <f t="shared" si="4"/>
        <v>0.00381872501736111</v>
      </c>
    </row>
    <row r="25" ht="15.75" spans="1:25">
      <c r="A25">
        <v>17</v>
      </c>
      <c r="B25" s="53">
        <v>44774</v>
      </c>
      <c r="C25" s="54">
        <v>109.15</v>
      </c>
      <c r="D25" s="55">
        <v>-0.0642</v>
      </c>
      <c r="F25" s="56">
        <f t="shared" si="0"/>
        <v>-0.0642</v>
      </c>
      <c r="G25" s="56">
        <f>O$5/12</f>
        <v>0.002057875</v>
      </c>
      <c r="H25" s="56">
        <f t="shared" si="1"/>
        <v>-0.066257875</v>
      </c>
      <c r="J25" s="56">
        <f t="shared" si="2"/>
        <v>-0.066257875</v>
      </c>
      <c r="L25" s="63"/>
      <c r="M25" s="63"/>
      <c r="N25" s="63"/>
      <c r="O25" s="63"/>
      <c r="P25" s="63"/>
      <c r="Q25" s="63"/>
      <c r="T25">
        <v>17</v>
      </c>
      <c r="U25" s="56">
        <f t="shared" si="3"/>
        <v>0.00705964046944444</v>
      </c>
      <c r="Y25" s="56">
        <f t="shared" si="4"/>
        <v>4.75525173611111e-5</v>
      </c>
    </row>
    <row r="26" spans="1:25">
      <c r="A26">
        <v>18</v>
      </c>
      <c r="B26" s="53">
        <v>44743</v>
      </c>
      <c r="C26" s="54">
        <v>116.64</v>
      </c>
      <c r="D26" s="55">
        <v>0.0664</v>
      </c>
      <c r="F26" s="56">
        <f t="shared" si="0"/>
        <v>0.0664</v>
      </c>
      <c r="G26" s="56">
        <f>O$5/12</f>
        <v>0.002057875</v>
      </c>
      <c r="H26" s="56">
        <f t="shared" si="1"/>
        <v>0.064342125</v>
      </c>
      <c r="J26" s="56" t="str">
        <f t="shared" si="2"/>
        <v/>
      </c>
      <c r="L26" s="59" t="s">
        <v>21</v>
      </c>
      <c r="O26" s="4" t="s">
        <v>222</v>
      </c>
      <c r="P26" s="4" t="s">
        <v>223</v>
      </c>
      <c r="Q26" s="4" t="s">
        <v>224</v>
      </c>
      <c r="T26">
        <v>18</v>
      </c>
      <c r="U26" s="56">
        <f t="shared" si="3"/>
        <v>0.00216954113611111</v>
      </c>
      <c r="Y26" s="56" t="str">
        <f t="shared" si="4"/>
        <v/>
      </c>
    </row>
    <row r="27" spans="1:25">
      <c r="A27">
        <v>19</v>
      </c>
      <c r="B27" s="53">
        <v>44713</v>
      </c>
      <c r="C27" s="54">
        <v>109.37</v>
      </c>
      <c r="D27" s="55">
        <v>-0.0409</v>
      </c>
      <c r="F27" s="56">
        <f t="shared" si="0"/>
        <v>-0.0409</v>
      </c>
      <c r="G27" s="56">
        <f>O$5/12</f>
        <v>0.002057875</v>
      </c>
      <c r="H27" s="56">
        <f t="shared" si="1"/>
        <v>-0.042957875</v>
      </c>
      <c r="J27" s="56">
        <f t="shared" si="2"/>
        <v>-0.042957875</v>
      </c>
      <c r="T27">
        <v>19</v>
      </c>
      <c r="U27" s="56">
        <f t="shared" si="3"/>
        <v>0.00368712080277778</v>
      </c>
      <c r="Y27" s="56">
        <f t="shared" si="4"/>
        <v>0.000269096684027778</v>
      </c>
    </row>
    <row r="28" ht="18.75" spans="1:25">
      <c r="A28">
        <v>20</v>
      </c>
      <c r="B28" s="53">
        <v>44682</v>
      </c>
      <c r="C28" s="54">
        <v>114.04</v>
      </c>
      <c r="D28" s="55">
        <v>-0.0081</v>
      </c>
      <c r="F28" s="56">
        <f t="shared" si="0"/>
        <v>-0.0081</v>
      </c>
      <c r="G28" s="56">
        <f>O$5/12</f>
        <v>0.002057875</v>
      </c>
      <c r="H28" s="56">
        <f t="shared" si="1"/>
        <v>-0.010157875</v>
      </c>
      <c r="J28" s="56">
        <f t="shared" si="2"/>
        <v>-0.010157875</v>
      </c>
      <c r="L28" s="60" t="s">
        <v>233</v>
      </c>
      <c r="O28" s="57">
        <f>_xlfn.STDEV.S(J9:J20)</f>
        <v>0.0322579705912611</v>
      </c>
      <c r="P28" s="57">
        <f>_xlfn.STDEV.S(J9:J44)</f>
        <v>0.0499677746152458</v>
      </c>
      <c r="Q28" s="57">
        <f>_xlfn.STDEV.S(J9:J68)</f>
        <v>0.0478270478246691</v>
      </c>
      <c r="T28">
        <v>20</v>
      </c>
      <c r="U28" s="56">
        <f t="shared" si="3"/>
        <v>0.000779619469444445</v>
      </c>
      <c r="Y28" s="56">
        <f t="shared" si="4"/>
        <v>0.00242105001736111</v>
      </c>
    </row>
    <row r="29" spans="1:25">
      <c r="A29">
        <v>21</v>
      </c>
      <c r="B29" s="53">
        <v>44652</v>
      </c>
      <c r="C29" s="54">
        <v>114.97</v>
      </c>
      <c r="D29" s="55">
        <v>-0.1767</v>
      </c>
      <c r="F29" s="56">
        <f t="shared" si="0"/>
        <v>-0.1767</v>
      </c>
      <c r="G29" s="56">
        <f>O$5/12</f>
        <v>0.002057875</v>
      </c>
      <c r="H29" s="56">
        <f t="shared" si="1"/>
        <v>-0.178757875</v>
      </c>
      <c r="J29" s="56">
        <f t="shared" si="2"/>
        <v>-0.178757875</v>
      </c>
      <c r="L29" s="3" t="s">
        <v>225</v>
      </c>
      <c r="O29" s="56">
        <f t="shared" ref="O29:Q29" si="13">(1+O36)^(1/12)-1</f>
        <v>0.0291152965385482</v>
      </c>
      <c r="P29" s="56">
        <f t="shared" si="13"/>
        <v>0.0119812051649872</v>
      </c>
      <c r="Q29" s="56">
        <f t="shared" si="13"/>
        <v>0.0155552609988698</v>
      </c>
      <c r="T29">
        <v>21</v>
      </c>
      <c r="U29" s="56">
        <f t="shared" si="3"/>
        <v>0.0386207654694444</v>
      </c>
      <c r="Y29" s="56">
        <f t="shared" si="4"/>
        <v>0.0142553650173611</v>
      </c>
    </row>
    <row r="30" spans="1:25">
      <c r="A30">
        <v>22</v>
      </c>
      <c r="B30" s="53">
        <v>44621</v>
      </c>
      <c r="C30" s="54">
        <v>139.65</v>
      </c>
      <c r="D30" s="55">
        <v>0.0353</v>
      </c>
      <c r="F30" s="56">
        <f t="shared" si="0"/>
        <v>0.0353</v>
      </c>
      <c r="G30" s="56">
        <f>O$5/12</f>
        <v>0.002057875</v>
      </c>
      <c r="H30" s="56">
        <f t="shared" si="1"/>
        <v>0.033242125</v>
      </c>
      <c r="J30" s="56" t="str">
        <f t="shared" si="2"/>
        <v/>
      </c>
      <c r="L30" s="3" t="s">
        <v>226</v>
      </c>
      <c r="O30" s="61">
        <f t="shared" ref="O30:Q30" si="14">O37/12</f>
        <v>0.002057875</v>
      </c>
      <c r="P30" s="61">
        <f t="shared" si="14"/>
        <v>0.002057875</v>
      </c>
      <c r="Q30" s="61">
        <f t="shared" si="14"/>
        <v>0.002057875</v>
      </c>
      <c r="T30">
        <v>22</v>
      </c>
      <c r="U30" s="56">
        <f t="shared" si="3"/>
        <v>0.000239578802777778</v>
      </c>
      <c r="Y30" s="56" t="str">
        <f t="shared" si="4"/>
        <v/>
      </c>
    </row>
    <row r="31" spans="1:25">
      <c r="A31">
        <v>23</v>
      </c>
      <c r="B31" s="53">
        <v>44593</v>
      </c>
      <c r="C31" s="54">
        <v>134.89</v>
      </c>
      <c r="D31" s="55">
        <v>-0.006</v>
      </c>
      <c r="F31" s="56">
        <f t="shared" si="0"/>
        <v>-0.006</v>
      </c>
      <c r="G31" s="56">
        <f>O$5/12</f>
        <v>0.002057875</v>
      </c>
      <c r="H31" s="56">
        <f t="shared" si="1"/>
        <v>-0.008057875</v>
      </c>
      <c r="J31" s="56">
        <f t="shared" si="2"/>
        <v>-0.008057875</v>
      </c>
      <c r="L31" s="60" t="s">
        <v>227</v>
      </c>
      <c r="O31" s="56">
        <f t="shared" ref="O31:Q31" si="15">O29-O30</f>
        <v>0.0270574215385482</v>
      </c>
      <c r="P31" s="56">
        <f t="shared" si="15"/>
        <v>0.0099233301649872</v>
      </c>
      <c r="Q31" s="56">
        <f t="shared" si="15"/>
        <v>0.0134973859988698</v>
      </c>
      <c r="T31">
        <v>23</v>
      </c>
      <c r="U31" s="56">
        <f t="shared" si="3"/>
        <v>0.000666758469444445</v>
      </c>
      <c r="Y31" s="56">
        <f t="shared" si="4"/>
        <v>0.00263211751736111</v>
      </c>
    </row>
    <row r="32" spans="1:25">
      <c r="A32">
        <v>24</v>
      </c>
      <c r="B32" s="53">
        <v>44562</v>
      </c>
      <c r="C32" s="54">
        <v>135.7</v>
      </c>
      <c r="D32" s="55">
        <v>-0.0621</v>
      </c>
      <c r="F32" s="56">
        <f t="shared" si="0"/>
        <v>-0.0621</v>
      </c>
      <c r="G32" s="56">
        <f>O$5/12</f>
        <v>0.002057875</v>
      </c>
      <c r="H32" s="56">
        <f t="shared" si="1"/>
        <v>-0.064157875</v>
      </c>
      <c r="J32" s="56">
        <f t="shared" si="2"/>
        <v>-0.064157875</v>
      </c>
      <c r="T32">
        <v>24</v>
      </c>
      <c r="U32" s="56">
        <f t="shared" si="3"/>
        <v>0.00671115946944444</v>
      </c>
      <c r="Y32" s="56">
        <f t="shared" si="4"/>
        <v>2.30000173611112e-5</v>
      </c>
    </row>
    <row r="33" spans="1:25">
      <c r="A33">
        <v>25</v>
      </c>
      <c r="B33" s="53">
        <v>44531</v>
      </c>
      <c r="C33" s="54">
        <v>144.68</v>
      </c>
      <c r="D33" s="55">
        <v>0.0156</v>
      </c>
      <c r="F33" s="56">
        <f t="shared" si="0"/>
        <v>0.0156</v>
      </c>
      <c r="G33" s="56">
        <f>O$5/12</f>
        <v>0.002057875</v>
      </c>
      <c r="H33" s="56">
        <f t="shared" si="1"/>
        <v>0.013542125</v>
      </c>
      <c r="J33" s="56" t="str">
        <f t="shared" si="2"/>
        <v/>
      </c>
      <c r="L33" s="60" t="s">
        <v>234</v>
      </c>
      <c r="O33" s="62">
        <f t="shared" ref="O33:Q33" si="16">O31/O28</f>
        <v>0.838782509953625</v>
      </c>
      <c r="P33" s="62">
        <f t="shared" si="16"/>
        <v>0.198594599047032</v>
      </c>
      <c r="Q33" s="62">
        <f t="shared" si="16"/>
        <v>0.282212400990133</v>
      </c>
      <c r="T33">
        <v>25</v>
      </c>
      <c r="U33" s="56">
        <f t="shared" si="3"/>
        <v>1.78224694444445e-5</v>
      </c>
      <c r="Y33" s="56" t="str">
        <f t="shared" si="4"/>
        <v/>
      </c>
    </row>
    <row r="34" spans="1:25">
      <c r="A34">
        <v>26</v>
      </c>
      <c r="B34" s="53">
        <v>44501</v>
      </c>
      <c r="C34" s="54">
        <v>142.45</v>
      </c>
      <c r="D34" s="55">
        <v>-0.0392</v>
      </c>
      <c r="F34" s="56">
        <f t="shared" si="0"/>
        <v>-0.0392</v>
      </c>
      <c r="G34" s="56">
        <f>O$5/12</f>
        <v>0.002057875</v>
      </c>
      <c r="H34" s="56">
        <f t="shared" si="1"/>
        <v>-0.041257875</v>
      </c>
      <c r="J34" s="56">
        <f t="shared" si="2"/>
        <v>-0.041257875</v>
      </c>
      <c r="T34">
        <v>26</v>
      </c>
      <c r="U34" s="56">
        <f t="shared" si="3"/>
        <v>0.00348355713611111</v>
      </c>
      <c r="Y34" s="56">
        <f t="shared" si="4"/>
        <v>0.000327760850694444</v>
      </c>
    </row>
    <row r="35" spans="1:25">
      <c r="A35">
        <v>27</v>
      </c>
      <c r="B35" s="53">
        <v>44470</v>
      </c>
      <c r="C35" s="54">
        <v>148.27</v>
      </c>
      <c r="D35" s="55">
        <v>0.1126</v>
      </c>
      <c r="F35" s="56">
        <f t="shared" si="0"/>
        <v>0.1126</v>
      </c>
      <c r="G35" s="56">
        <f>O$5/12</f>
        <v>0.002057875</v>
      </c>
      <c r="H35" s="56">
        <f t="shared" si="1"/>
        <v>0.110542125</v>
      </c>
      <c r="J35" s="56" t="str">
        <f t="shared" si="2"/>
        <v/>
      </c>
      <c r="L35" s="60" t="s">
        <v>235</v>
      </c>
      <c r="O35" s="56">
        <f t="shared" ref="O35:Q35" si="17">O28*12^(1/2)</f>
        <v>0.111744888026254</v>
      </c>
      <c r="P35" s="56">
        <f t="shared" si="17"/>
        <v>0.173093448749512</v>
      </c>
      <c r="Q35" s="56">
        <f t="shared" si="17"/>
        <v>0.165677753616707</v>
      </c>
      <c r="T35">
        <v>27</v>
      </c>
      <c r="U35" s="56">
        <f t="shared" si="3"/>
        <v>0.00860781913611111</v>
      </c>
      <c r="Y35" s="56" t="str">
        <f t="shared" si="4"/>
        <v/>
      </c>
    </row>
    <row r="36" spans="1:25">
      <c r="A36">
        <v>28</v>
      </c>
      <c r="B36" s="53">
        <v>44440</v>
      </c>
      <c r="C36" s="54">
        <v>133.27</v>
      </c>
      <c r="D36" s="55">
        <v>-0.0838</v>
      </c>
      <c r="F36" s="56">
        <f t="shared" si="0"/>
        <v>-0.0838</v>
      </c>
      <c r="G36" s="56">
        <f>O$5/12</f>
        <v>0.002057875</v>
      </c>
      <c r="H36" s="56">
        <f t="shared" si="1"/>
        <v>-0.085857875</v>
      </c>
      <c r="J36" s="56">
        <f t="shared" si="2"/>
        <v>-0.085857875</v>
      </c>
      <c r="L36" s="3" t="s">
        <v>230</v>
      </c>
      <c r="O36" s="56">
        <f>($C$9/$C$20)^(1/($A$20/12))-1</f>
        <v>0.411134474817263</v>
      </c>
      <c r="P36" s="56">
        <f>($C$9/$C$44)^(1/($A$44/12))-1</f>
        <v>0.153637489274</v>
      </c>
      <c r="Q36" s="56">
        <f>($C$9/$C$68)^(1/($A$68/12))-1</f>
        <v>0.203490659405641</v>
      </c>
      <c r="T36">
        <v>28</v>
      </c>
      <c r="U36" s="56">
        <f t="shared" si="3"/>
        <v>0.0107374498027778</v>
      </c>
      <c r="Y36" s="56">
        <f t="shared" si="4"/>
        <v>0.000702029184027778</v>
      </c>
    </row>
    <row r="37" spans="1:25">
      <c r="A37">
        <v>29</v>
      </c>
      <c r="B37" s="53">
        <v>44409</v>
      </c>
      <c r="C37" s="54">
        <v>145.46</v>
      </c>
      <c r="D37" s="55">
        <v>0.0757</v>
      </c>
      <c r="F37" s="56">
        <f t="shared" si="0"/>
        <v>0.0757</v>
      </c>
      <c r="G37" s="56">
        <f>O$5/12</f>
        <v>0.002057875</v>
      </c>
      <c r="H37" s="56">
        <f t="shared" si="1"/>
        <v>0.073642125</v>
      </c>
      <c r="J37" s="56" t="str">
        <f t="shared" si="2"/>
        <v/>
      </c>
      <c r="L37" s="3" t="s">
        <v>231</v>
      </c>
      <c r="O37" s="61">
        <f t="shared" ref="O37:Q37" si="18">$O$5</f>
        <v>0.0246945</v>
      </c>
      <c r="P37" s="61">
        <f t="shared" si="18"/>
        <v>0.0246945</v>
      </c>
      <c r="Q37" s="61">
        <f t="shared" si="18"/>
        <v>0.0246945</v>
      </c>
      <c r="T37">
        <v>29</v>
      </c>
      <c r="U37" s="56">
        <f t="shared" si="3"/>
        <v>0.00312238813611111</v>
      </c>
      <c r="Y37" s="56" t="str">
        <f t="shared" si="4"/>
        <v/>
      </c>
    </row>
    <row r="38" spans="1:25">
      <c r="A38">
        <v>30</v>
      </c>
      <c r="B38" s="53">
        <v>44378</v>
      </c>
      <c r="C38" s="54">
        <v>135.22</v>
      </c>
      <c r="D38" s="55">
        <v>0.079</v>
      </c>
      <c r="F38" s="56">
        <f t="shared" si="0"/>
        <v>0.079</v>
      </c>
      <c r="G38" s="56">
        <f>O$5/12</f>
        <v>0.002057875</v>
      </c>
      <c r="H38" s="56">
        <f t="shared" si="1"/>
        <v>0.076942125</v>
      </c>
      <c r="J38" s="56" t="str">
        <f t="shared" si="2"/>
        <v/>
      </c>
      <c r="L38" s="60" t="s">
        <v>227</v>
      </c>
      <c r="O38" s="56">
        <f t="shared" ref="O38:Q38" si="19">O36-O37</f>
        <v>0.386439974817263</v>
      </c>
      <c r="P38" s="56">
        <f t="shared" si="19"/>
        <v>0.128942989274</v>
      </c>
      <c r="Q38" s="56">
        <f t="shared" si="19"/>
        <v>0.178796159405641</v>
      </c>
      <c r="T38">
        <v>30</v>
      </c>
      <c r="U38" s="56">
        <f t="shared" si="3"/>
        <v>0.00350207513611111</v>
      </c>
      <c r="Y38" s="56" t="str">
        <f t="shared" si="4"/>
        <v/>
      </c>
    </row>
    <row r="39" spans="1:25">
      <c r="A39">
        <v>31</v>
      </c>
      <c r="B39" s="53">
        <v>44348</v>
      </c>
      <c r="C39" s="54">
        <v>125.32</v>
      </c>
      <c r="D39" s="55">
        <v>0.0393</v>
      </c>
      <c r="F39" s="56">
        <f t="shared" si="0"/>
        <v>0.0393</v>
      </c>
      <c r="G39" s="56">
        <f>O$5/12</f>
        <v>0.002057875</v>
      </c>
      <c r="H39" s="56">
        <f t="shared" si="1"/>
        <v>0.037242125</v>
      </c>
      <c r="J39" s="56" t="str">
        <f t="shared" si="2"/>
        <v/>
      </c>
      <c r="T39">
        <v>31</v>
      </c>
      <c r="U39" s="56">
        <f t="shared" si="3"/>
        <v>0.000379405469444444</v>
      </c>
      <c r="Y39" s="56" t="str">
        <f t="shared" si="4"/>
        <v/>
      </c>
    </row>
    <row r="40" ht="18.75" spans="1:25">
      <c r="A40">
        <v>32</v>
      </c>
      <c r="B40" s="53">
        <v>44317</v>
      </c>
      <c r="C40" s="54">
        <v>120.58</v>
      </c>
      <c r="D40" s="55">
        <v>0.0006</v>
      </c>
      <c r="F40" s="56">
        <f t="shared" si="0"/>
        <v>0.0006</v>
      </c>
      <c r="G40" s="56">
        <f>O$5/12</f>
        <v>0.002057875</v>
      </c>
      <c r="H40" s="56">
        <f t="shared" si="1"/>
        <v>-0.001457875</v>
      </c>
      <c r="J40" s="56">
        <f t="shared" si="2"/>
        <v>-0.001457875</v>
      </c>
      <c r="L40" s="60" t="s">
        <v>236</v>
      </c>
      <c r="O40" s="62">
        <f t="shared" ref="O40:Q40" si="20">O38/O35</f>
        <v>3.45823403327829</v>
      </c>
      <c r="P40" s="62">
        <f t="shared" si="20"/>
        <v>0.744932810603344</v>
      </c>
      <c r="Q40" s="62">
        <f t="shared" si="20"/>
        <v>1.07918024902295</v>
      </c>
      <c r="T40">
        <v>32</v>
      </c>
      <c r="U40" s="56">
        <f t="shared" si="3"/>
        <v>0.000369472469444445</v>
      </c>
      <c r="Y40" s="56">
        <f t="shared" si="4"/>
        <v>0.00335289251736111</v>
      </c>
    </row>
    <row r="41" spans="1:25">
      <c r="A41">
        <v>33</v>
      </c>
      <c r="B41" s="53">
        <v>44287</v>
      </c>
      <c r="C41" s="54">
        <v>120.51</v>
      </c>
      <c r="D41" s="55">
        <v>0.1651</v>
      </c>
      <c r="E41" s="52"/>
      <c r="F41" s="56">
        <f t="shared" si="0"/>
        <v>0.1651</v>
      </c>
      <c r="G41" s="56">
        <f>O$5/12</f>
        <v>0.002057875</v>
      </c>
      <c r="H41" s="56">
        <f t="shared" si="1"/>
        <v>0.163042125</v>
      </c>
      <c r="J41" s="56" t="str">
        <f t="shared" si="2"/>
        <v/>
      </c>
      <c r="T41">
        <v>33</v>
      </c>
      <c r="U41" s="56">
        <f t="shared" si="3"/>
        <v>0.0211057941361111</v>
      </c>
      <c r="Y41" s="56" t="str">
        <f t="shared" si="4"/>
        <v/>
      </c>
    </row>
    <row r="42" spans="1:25">
      <c r="A42">
        <v>34</v>
      </c>
      <c r="B42" s="53">
        <v>44256</v>
      </c>
      <c r="C42" s="54">
        <v>103.43</v>
      </c>
      <c r="D42" s="55">
        <v>0.0156</v>
      </c>
      <c r="E42" s="52"/>
      <c r="F42" s="56">
        <f t="shared" si="0"/>
        <v>0.0156</v>
      </c>
      <c r="G42" s="56">
        <f>O$5/12</f>
        <v>0.002057875</v>
      </c>
      <c r="H42" s="56">
        <f t="shared" si="1"/>
        <v>0.013542125</v>
      </c>
      <c r="J42" s="56" t="str">
        <f t="shared" si="2"/>
        <v/>
      </c>
      <c r="T42">
        <v>34</v>
      </c>
      <c r="U42" s="56">
        <f t="shared" si="3"/>
        <v>1.78224694444445e-5</v>
      </c>
      <c r="Y42" s="56" t="str">
        <f t="shared" si="4"/>
        <v/>
      </c>
    </row>
    <row r="43" spans="1:25">
      <c r="A43">
        <v>35</v>
      </c>
      <c r="B43" s="53">
        <v>44228</v>
      </c>
      <c r="C43" s="54">
        <v>101.84</v>
      </c>
      <c r="D43" s="55">
        <v>0.1096</v>
      </c>
      <c r="E43" s="52"/>
      <c r="F43" s="56">
        <f t="shared" si="0"/>
        <v>0.1096</v>
      </c>
      <c r="G43" s="56">
        <f>O$5/12</f>
        <v>0.002057875</v>
      </c>
      <c r="H43" s="56">
        <f t="shared" si="1"/>
        <v>0.107542125</v>
      </c>
      <c r="J43" s="56" t="str">
        <f t="shared" si="2"/>
        <v/>
      </c>
      <c r="T43">
        <v>35</v>
      </c>
      <c r="U43" s="56">
        <f t="shared" si="3"/>
        <v>0.00806014913611111</v>
      </c>
      <c r="Y43" s="56" t="str">
        <f t="shared" si="4"/>
        <v/>
      </c>
    </row>
    <row r="44" spans="1:25">
      <c r="A44">
        <v>36</v>
      </c>
      <c r="B44" s="53">
        <v>44197</v>
      </c>
      <c r="C44" s="54">
        <v>91.79</v>
      </c>
      <c r="D44" s="55">
        <v>0.0479</v>
      </c>
      <c r="E44" s="52"/>
      <c r="F44" s="56">
        <f t="shared" si="0"/>
        <v>0.0479</v>
      </c>
      <c r="G44" s="56">
        <f>O$5/12</f>
        <v>0.002057875</v>
      </c>
      <c r="H44" s="56">
        <f t="shared" si="1"/>
        <v>0.045842125</v>
      </c>
      <c r="J44" s="56" t="str">
        <f t="shared" si="2"/>
        <v/>
      </c>
      <c r="T44">
        <v>36</v>
      </c>
      <c r="U44" s="56">
        <f t="shared" si="3"/>
        <v>0.000788392802777777</v>
      </c>
      <c r="Y44" s="56" t="str">
        <f t="shared" si="4"/>
        <v/>
      </c>
    </row>
    <row r="45" spans="1:25">
      <c r="A45">
        <v>37</v>
      </c>
      <c r="B45" s="53">
        <v>44166</v>
      </c>
      <c r="C45" s="54">
        <v>87.59</v>
      </c>
      <c r="D45" s="55">
        <v>-0.005</v>
      </c>
      <c r="E45" s="52"/>
      <c r="F45" s="56">
        <f t="shared" si="0"/>
        <v>-0.005</v>
      </c>
      <c r="G45" s="56">
        <f>O$5/12</f>
        <v>0.002057875</v>
      </c>
      <c r="H45" s="56">
        <f t="shared" si="1"/>
        <v>-0.007057875</v>
      </c>
      <c r="J45" s="56">
        <f t="shared" si="2"/>
        <v>-0.007057875</v>
      </c>
      <c r="T45">
        <v>37</v>
      </c>
      <c r="U45" s="56">
        <f t="shared" si="3"/>
        <v>0.000616115136111111</v>
      </c>
      <c r="Y45" s="56">
        <f t="shared" si="4"/>
        <v>0.00273572585069444</v>
      </c>
    </row>
    <row r="46" spans="1:25">
      <c r="A46">
        <v>38</v>
      </c>
      <c r="B46" s="53">
        <v>44136</v>
      </c>
      <c r="C46" s="54">
        <v>88.04</v>
      </c>
      <c r="D46" s="55">
        <v>0.0862</v>
      </c>
      <c r="E46" s="52"/>
      <c r="F46" s="56">
        <f t="shared" si="0"/>
        <v>0.0862</v>
      </c>
      <c r="G46" s="56">
        <f>O$5/12</f>
        <v>0.002057875</v>
      </c>
      <c r="H46" s="56">
        <f t="shared" si="1"/>
        <v>0.084142125</v>
      </c>
      <c r="J46" s="56" t="str">
        <f t="shared" si="2"/>
        <v/>
      </c>
      <c r="T46">
        <v>38</v>
      </c>
      <c r="U46" s="56">
        <f t="shared" si="3"/>
        <v>0.00440608313611111</v>
      </c>
      <c r="Y46" s="56" t="str">
        <f t="shared" si="4"/>
        <v/>
      </c>
    </row>
    <row r="47" spans="1:25">
      <c r="A47">
        <v>39</v>
      </c>
      <c r="B47" s="53">
        <v>44105</v>
      </c>
      <c r="C47" s="54">
        <v>81.05</v>
      </c>
      <c r="D47" s="55">
        <v>0.103</v>
      </c>
      <c r="E47" s="52"/>
      <c r="F47" s="56">
        <f t="shared" si="0"/>
        <v>0.103</v>
      </c>
      <c r="G47" s="56">
        <f>O$5/12</f>
        <v>0.002057875</v>
      </c>
      <c r="H47" s="56">
        <f t="shared" si="1"/>
        <v>0.100942125</v>
      </c>
      <c r="J47" s="56" t="str">
        <f t="shared" si="2"/>
        <v/>
      </c>
      <c r="T47">
        <v>39</v>
      </c>
      <c r="U47" s="56">
        <f t="shared" si="3"/>
        <v>0.00691863513611111</v>
      </c>
      <c r="Y47" s="56" t="str">
        <f t="shared" si="4"/>
        <v/>
      </c>
    </row>
    <row r="48" spans="1:25">
      <c r="A48">
        <v>40</v>
      </c>
      <c r="B48" s="53">
        <v>44075</v>
      </c>
      <c r="C48" s="54">
        <v>73.48</v>
      </c>
      <c r="D48" s="55">
        <v>-0.1007</v>
      </c>
      <c r="E48" s="52"/>
      <c r="F48" s="56">
        <f t="shared" si="0"/>
        <v>-0.1007</v>
      </c>
      <c r="G48" s="56">
        <f>O$5/12</f>
        <v>0.002057875</v>
      </c>
      <c r="H48" s="56">
        <f t="shared" si="1"/>
        <v>-0.102757875</v>
      </c>
      <c r="J48" s="56">
        <f t="shared" si="2"/>
        <v>-0.102757875</v>
      </c>
      <c r="T48">
        <v>40</v>
      </c>
      <c r="U48" s="56">
        <f t="shared" si="3"/>
        <v>0.0145254721361111</v>
      </c>
      <c r="Y48" s="56">
        <f t="shared" si="4"/>
        <v>0.00188319835069444</v>
      </c>
    </row>
    <row r="49" spans="1:25">
      <c r="A49">
        <v>41</v>
      </c>
      <c r="B49" s="53">
        <v>44044</v>
      </c>
      <c r="C49" s="54">
        <v>81.71</v>
      </c>
      <c r="D49" s="55">
        <v>0.102</v>
      </c>
      <c r="E49" s="52"/>
      <c r="F49" s="56">
        <f t="shared" si="0"/>
        <v>0.102</v>
      </c>
      <c r="G49" s="56">
        <f>O$5/12</f>
        <v>0.002057875</v>
      </c>
      <c r="H49" s="56">
        <f t="shared" si="1"/>
        <v>0.099942125</v>
      </c>
      <c r="J49" s="56" t="str">
        <f t="shared" si="2"/>
        <v/>
      </c>
      <c r="T49">
        <v>41</v>
      </c>
      <c r="U49" s="56">
        <f t="shared" si="3"/>
        <v>0.00675327846944444</v>
      </c>
      <c r="Y49" s="56" t="str">
        <f t="shared" si="4"/>
        <v/>
      </c>
    </row>
    <row r="50" spans="1:25">
      <c r="A50">
        <v>42</v>
      </c>
      <c r="B50" s="53">
        <v>44013</v>
      </c>
      <c r="C50" s="54">
        <v>74.15</v>
      </c>
      <c r="D50" s="55">
        <v>0.0491</v>
      </c>
      <c r="E50" s="52"/>
      <c r="F50" s="56">
        <f t="shared" si="0"/>
        <v>0.0491</v>
      </c>
      <c r="G50" s="56">
        <f>O$5/12</f>
        <v>0.002057875</v>
      </c>
      <c r="H50" s="56">
        <f t="shared" si="1"/>
        <v>0.047042125</v>
      </c>
      <c r="J50" s="56" t="str">
        <f t="shared" si="2"/>
        <v/>
      </c>
      <c r="T50">
        <v>42</v>
      </c>
      <c r="U50" s="56">
        <f t="shared" si="3"/>
        <v>0.000857220802777777</v>
      </c>
      <c r="Y50" s="56" t="str">
        <f t="shared" si="4"/>
        <v/>
      </c>
    </row>
    <row r="51" spans="1:25">
      <c r="A51">
        <v>43</v>
      </c>
      <c r="B51" s="53">
        <v>43983</v>
      </c>
      <c r="C51" s="54">
        <v>70.68</v>
      </c>
      <c r="D51" s="55">
        <v>-0.0107</v>
      </c>
      <c r="E51" s="52"/>
      <c r="F51" s="56">
        <f t="shared" si="0"/>
        <v>-0.0107</v>
      </c>
      <c r="G51" s="56">
        <f>O$5/12</f>
        <v>0.002057875</v>
      </c>
      <c r="H51" s="56">
        <f t="shared" si="1"/>
        <v>-0.012757875</v>
      </c>
      <c r="J51" s="56">
        <f t="shared" si="2"/>
        <v>-0.012757875</v>
      </c>
      <c r="T51">
        <v>43</v>
      </c>
      <c r="U51" s="56">
        <f t="shared" si="3"/>
        <v>0.000931572136111111</v>
      </c>
      <c r="Y51" s="56">
        <f t="shared" si="4"/>
        <v>0.00217194835069444</v>
      </c>
    </row>
    <row r="52" spans="1:25">
      <c r="A52">
        <v>44</v>
      </c>
      <c r="B52" s="53">
        <v>43952</v>
      </c>
      <c r="C52" s="54">
        <v>71.45</v>
      </c>
      <c r="D52" s="55">
        <v>0.0595</v>
      </c>
      <c r="E52" s="52"/>
      <c r="F52" s="56">
        <f t="shared" si="0"/>
        <v>0.0595</v>
      </c>
      <c r="G52" s="56">
        <f>O$5/12</f>
        <v>0.002057875</v>
      </c>
      <c r="H52" s="56">
        <f t="shared" si="1"/>
        <v>0.057442125</v>
      </c>
      <c r="J52" s="56" t="str">
        <f t="shared" si="2"/>
        <v/>
      </c>
      <c r="T52">
        <v>44</v>
      </c>
      <c r="U52" s="56">
        <f t="shared" si="3"/>
        <v>0.00157437013611111</v>
      </c>
      <c r="Y52" s="56" t="str">
        <f t="shared" si="4"/>
        <v/>
      </c>
    </row>
    <row r="53" spans="1:25">
      <c r="A53">
        <v>45</v>
      </c>
      <c r="B53" s="53">
        <v>43922</v>
      </c>
      <c r="C53" s="54">
        <v>67.43</v>
      </c>
      <c r="D53" s="55">
        <v>0.1598</v>
      </c>
      <c r="E53" s="52"/>
      <c r="F53" s="56">
        <f t="shared" si="0"/>
        <v>0.1598</v>
      </c>
      <c r="G53" s="56">
        <f>O$5/12</f>
        <v>0.002057875</v>
      </c>
      <c r="H53" s="56">
        <f t="shared" si="1"/>
        <v>0.157742125</v>
      </c>
      <c r="J53" s="56" t="str">
        <f t="shared" si="2"/>
        <v/>
      </c>
      <c r="T53">
        <v>45</v>
      </c>
      <c r="U53" s="56">
        <f t="shared" si="3"/>
        <v>0.0195939338027778</v>
      </c>
      <c r="Y53" s="56" t="str">
        <f t="shared" si="4"/>
        <v/>
      </c>
    </row>
    <row r="54" spans="1:25">
      <c r="A54">
        <v>46</v>
      </c>
      <c r="B54" s="53">
        <v>43891</v>
      </c>
      <c r="C54" s="54">
        <v>58.14</v>
      </c>
      <c r="D54" s="55">
        <v>-0.1318</v>
      </c>
      <c r="E54" s="52"/>
      <c r="F54" s="56">
        <f t="shared" si="0"/>
        <v>-0.1318</v>
      </c>
      <c r="G54" s="56">
        <f>O$5/12</f>
        <v>0.002057875</v>
      </c>
      <c r="H54" s="56">
        <f t="shared" si="1"/>
        <v>-0.133857875</v>
      </c>
      <c r="J54" s="56">
        <f t="shared" si="2"/>
        <v>-0.133857875</v>
      </c>
      <c r="T54">
        <v>46</v>
      </c>
      <c r="U54" s="56">
        <f t="shared" si="3"/>
        <v>0.0229891298027778</v>
      </c>
      <c r="Y54" s="56">
        <f t="shared" si="4"/>
        <v>0.00554962918402778</v>
      </c>
    </row>
    <row r="55" spans="1:25">
      <c r="A55">
        <v>47</v>
      </c>
      <c r="B55" s="53">
        <v>43862</v>
      </c>
      <c r="C55" s="54">
        <v>66.97</v>
      </c>
      <c r="D55" s="55">
        <v>-0.0662</v>
      </c>
      <c r="E55" s="52"/>
      <c r="F55" s="56">
        <f t="shared" si="0"/>
        <v>-0.0662</v>
      </c>
      <c r="G55" s="56">
        <f>O$5/12</f>
        <v>0.002057875</v>
      </c>
      <c r="H55" s="56">
        <f t="shared" si="1"/>
        <v>-0.068257875</v>
      </c>
      <c r="J55" s="56">
        <f t="shared" si="2"/>
        <v>-0.068257875</v>
      </c>
      <c r="T55">
        <v>47</v>
      </c>
      <c r="U55" s="56">
        <f t="shared" si="3"/>
        <v>0.00739972713611111</v>
      </c>
      <c r="Y55" s="56">
        <f t="shared" si="4"/>
        <v>7.91358506944444e-5</v>
      </c>
    </row>
    <row r="56" spans="1:25">
      <c r="A56">
        <v>48</v>
      </c>
      <c r="B56" s="53">
        <v>43831</v>
      </c>
      <c r="C56" s="54">
        <v>71.71</v>
      </c>
      <c r="D56" s="55">
        <v>0.0727</v>
      </c>
      <c r="E56" s="52"/>
      <c r="F56" s="56">
        <f t="shared" si="0"/>
        <v>0.0727</v>
      </c>
      <c r="G56" s="56">
        <f>O$5/12</f>
        <v>0.002057875</v>
      </c>
      <c r="H56" s="56">
        <f t="shared" si="1"/>
        <v>0.070642125</v>
      </c>
      <c r="J56" s="56" t="str">
        <f t="shared" si="2"/>
        <v/>
      </c>
      <c r="T56">
        <v>48</v>
      </c>
      <c r="U56" s="56">
        <f t="shared" si="3"/>
        <v>0.00279611813611111</v>
      </c>
      <c r="Y56" s="56" t="str">
        <f t="shared" si="4"/>
        <v/>
      </c>
    </row>
    <row r="57" spans="1:25">
      <c r="A57">
        <v>49</v>
      </c>
      <c r="B57" s="53">
        <v>43800</v>
      </c>
      <c r="C57" s="54">
        <v>66.85</v>
      </c>
      <c r="D57" s="55">
        <v>0.0246</v>
      </c>
      <c r="E57" s="52"/>
      <c r="F57" s="56">
        <f t="shared" si="0"/>
        <v>0.0246</v>
      </c>
      <c r="G57" s="56">
        <f>O$5/12</f>
        <v>0.002057875</v>
      </c>
      <c r="H57" s="56">
        <f t="shared" si="1"/>
        <v>0.022542125</v>
      </c>
      <c r="J57" s="56" t="str">
        <f t="shared" si="2"/>
        <v/>
      </c>
      <c r="T57">
        <v>49</v>
      </c>
      <c r="U57" s="56">
        <f t="shared" si="3"/>
        <v>2.28324694444444e-5</v>
      </c>
      <c r="Y57" s="56" t="str">
        <f t="shared" si="4"/>
        <v/>
      </c>
    </row>
    <row r="58" spans="1:25">
      <c r="A58">
        <v>50</v>
      </c>
      <c r="B58" s="53">
        <v>43770</v>
      </c>
      <c r="C58" s="54">
        <v>65.25</v>
      </c>
      <c r="D58" s="55">
        <v>0.0356</v>
      </c>
      <c r="E58" s="52"/>
      <c r="F58" s="56">
        <f t="shared" si="0"/>
        <v>0.0356</v>
      </c>
      <c r="G58" s="56">
        <f>O$5/12</f>
        <v>0.002057875</v>
      </c>
      <c r="H58" s="56">
        <f t="shared" si="1"/>
        <v>0.033542125</v>
      </c>
      <c r="J58" s="56" t="str">
        <f t="shared" si="2"/>
        <v/>
      </c>
      <c r="T58">
        <v>50</v>
      </c>
      <c r="U58" s="56">
        <f t="shared" si="3"/>
        <v>0.000248955802777778</v>
      </c>
      <c r="Y58" s="56" t="str">
        <f t="shared" si="4"/>
        <v/>
      </c>
    </row>
    <row r="59" spans="1:25">
      <c r="A59">
        <v>51</v>
      </c>
      <c r="B59" s="53">
        <v>43739</v>
      </c>
      <c r="C59" s="54">
        <v>63.01</v>
      </c>
      <c r="D59" s="55">
        <v>0.0337</v>
      </c>
      <c r="E59" s="52"/>
      <c r="F59" s="56">
        <f t="shared" si="0"/>
        <v>0.0337</v>
      </c>
      <c r="G59" s="56">
        <f>O$5/12</f>
        <v>0.002057875</v>
      </c>
      <c r="H59" s="56">
        <f t="shared" si="1"/>
        <v>0.031642125</v>
      </c>
      <c r="J59" s="56" t="str">
        <f t="shared" si="2"/>
        <v/>
      </c>
      <c r="T59">
        <v>51</v>
      </c>
      <c r="U59" s="56">
        <f t="shared" si="3"/>
        <v>0.000192608136111111</v>
      </c>
      <c r="Y59" s="56" t="str">
        <f t="shared" si="4"/>
        <v/>
      </c>
    </row>
    <row r="60" spans="1:25">
      <c r="A60">
        <v>52</v>
      </c>
      <c r="B60" s="53">
        <v>43709</v>
      </c>
      <c r="C60" s="54">
        <v>60.95</v>
      </c>
      <c r="D60" s="55">
        <v>0.026</v>
      </c>
      <c r="E60" s="52"/>
      <c r="F60" s="56">
        <f t="shared" si="0"/>
        <v>0.026</v>
      </c>
      <c r="G60" s="56">
        <f>O$5/12</f>
        <v>0.002057875</v>
      </c>
      <c r="H60" s="56">
        <f t="shared" si="1"/>
        <v>0.023942125</v>
      </c>
      <c r="J60" s="56" t="str">
        <f t="shared" si="2"/>
        <v/>
      </c>
      <c r="T60">
        <v>52</v>
      </c>
      <c r="U60" s="56">
        <f t="shared" si="3"/>
        <v>3.81718027777777e-5</v>
      </c>
      <c r="Y60" s="56" t="str">
        <f t="shared" si="4"/>
        <v/>
      </c>
    </row>
    <row r="61" spans="1:25">
      <c r="A61">
        <v>53</v>
      </c>
      <c r="B61" s="53">
        <v>43678</v>
      </c>
      <c r="C61" s="54">
        <v>59.4</v>
      </c>
      <c r="D61" s="55">
        <v>-0.0235</v>
      </c>
      <c r="E61" s="52"/>
      <c r="F61" s="56">
        <f t="shared" si="0"/>
        <v>-0.0235</v>
      </c>
      <c r="G61" s="56">
        <f>O$5/12</f>
        <v>0.002057875</v>
      </c>
      <c r="H61" s="56">
        <f t="shared" si="1"/>
        <v>-0.025557875</v>
      </c>
      <c r="J61" s="56">
        <f t="shared" si="2"/>
        <v>-0.025557875</v>
      </c>
      <c r="T61">
        <v>53</v>
      </c>
      <c r="U61" s="56">
        <f t="shared" si="3"/>
        <v>0.00187676680277778</v>
      </c>
      <c r="Y61" s="56">
        <f t="shared" si="4"/>
        <v>0.00114272168402778</v>
      </c>
    </row>
    <row r="62" spans="1:25">
      <c r="A62">
        <v>54</v>
      </c>
      <c r="B62" s="53">
        <v>43647</v>
      </c>
      <c r="C62" s="54">
        <v>60.83</v>
      </c>
      <c r="D62" s="55">
        <v>0.1256</v>
      </c>
      <c r="E62" s="52"/>
      <c r="F62" s="56">
        <f t="shared" si="0"/>
        <v>0.1256</v>
      </c>
      <c r="G62" s="56">
        <f>O$5/12</f>
        <v>0.002057875</v>
      </c>
      <c r="H62" s="56">
        <f t="shared" si="1"/>
        <v>0.123542125</v>
      </c>
      <c r="J62" s="56" t="str">
        <f t="shared" si="2"/>
        <v/>
      </c>
      <c r="T62">
        <v>54</v>
      </c>
      <c r="U62" s="56">
        <f t="shared" si="3"/>
        <v>0.0111890558027778</v>
      </c>
      <c r="Y62" s="56" t="str">
        <f t="shared" si="4"/>
        <v/>
      </c>
    </row>
    <row r="63" spans="1:25">
      <c r="A63">
        <v>55</v>
      </c>
      <c r="B63" s="53">
        <v>43617</v>
      </c>
      <c r="C63" s="54">
        <v>54.05</v>
      </c>
      <c r="D63" s="55">
        <v>-0.0206</v>
      </c>
      <c r="E63" s="52"/>
      <c r="F63" s="56">
        <f t="shared" si="0"/>
        <v>-0.0206</v>
      </c>
      <c r="G63" s="56">
        <f>O$5/12</f>
        <v>0.002057875</v>
      </c>
      <c r="H63" s="56">
        <f t="shared" si="1"/>
        <v>-0.022657875</v>
      </c>
      <c r="J63" s="56">
        <f t="shared" si="2"/>
        <v>-0.022657875</v>
      </c>
      <c r="T63">
        <v>55</v>
      </c>
      <c r="U63" s="56">
        <f t="shared" si="3"/>
        <v>0.00163391113611111</v>
      </c>
      <c r="Y63" s="56">
        <f t="shared" si="4"/>
        <v>0.00134719585069444</v>
      </c>
    </row>
    <row r="64" spans="1:25">
      <c r="A64">
        <v>56</v>
      </c>
      <c r="B64" s="53">
        <v>43586</v>
      </c>
      <c r="C64" s="54">
        <v>55.18</v>
      </c>
      <c r="D64" s="55">
        <v>-0.0714</v>
      </c>
      <c r="E64" s="52"/>
      <c r="F64" s="56">
        <f t="shared" si="0"/>
        <v>-0.0714</v>
      </c>
      <c r="G64" s="56">
        <f>O$5/12</f>
        <v>0.002057875</v>
      </c>
      <c r="H64" s="56">
        <f t="shared" si="1"/>
        <v>-0.073457875</v>
      </c>
      <c r="J64" s="56">
        <f t="shared" si="2"/>
        <v>-0.073457875</v>
      </c>
      <c r="T64">
        <v>56</v>
      </c>
      <c r="U64" s="56">
        <f t="shared" si="3"/>
        <v>0.00832139246944445</v>
      </c>
      <c r="Y64" s="56">
        <f t="shared" si="4"/>
        <v>0.000198692517361111</v>
      </c>
    </row>
    <row r="65" spans="1:25">
      <c r="A65">
        <v>57</v>
      </c>
      <c r="B65" s="53">
        <v>43556</v>
      </c>
      <c r="C65" s="54">
        <v>59.42</v>
      </c>
      <c r="D65" s="55">
        <v>0.0129</v>
      </c>
      <c r="E65" s="52"/>
      <c r="F65" s="56">
        <f t="shared" si="0"/>
        <v>0.0129</v>
      </c>
      <c r="G65" s="56">
        <f>O$5/12</f>
        <v>0.002057875</v>
      </c>
      <c r="H65" s="56">
        <f t="shared" si="1"/>
        <v>0.010842125</v>
      </c>
      <c r="J65" s="56" t="str">
        <f t="shared" si="2"/>
        <v/>
      </c>
      <c r="T65">
        <v>57</v>
      </c>
      <c r="U65" s="56">
        <f t="shared" si="3"/>
        <v>4.79094694444445e-5</v>
      </c>
      <c r="Y65" s="56" t="str">
        <f t="shared" si="4"/>
        <v/>
      </c>
    </row>
    <row r="66" spans="1:25">
      <c r="A66">
        <v>58</v>
      </c>
      <c r="B66" s="53">
        <v>43525</v>
      </c>
      <c r="C66" s="54">
        <v>58.67</v>
      </c>
      <c r="D66" s="55">
        <v>0.0477</v>
      </c>
      <c r="E66" s="52"/>
      <c r="F66" s="56">
        <f t="shared" si="0"/>
        <v>0.0477</v>
      </c>
      <c r="G66" s="56">
        <f>O$5/12</f>
        <v>0.002057875</v>
      </c>
      <c r="H66" s="56">
        <f t="shared" si="1"/>
        <v>0.045642125</v>
      </c>
      <c r="J66" s="56" t="str">
        <f t="shared" si="2"/>
        <v/>
      </c>
      <c r="T66">
        <v>58</v>
      </c>
      <c r="U66" s="56">
        <f t="shared" si="3"/>
        <v>0.000777201469444444</v>
      </c>
      <c r="Y66" s="56" t="str">
        <f t="shared" si="4"/>
        <v/>
      </c>
    </row>
    <row r="67" spans="1:25">
      <c r="A67">
        <v>59</v>
      </c>
      <c r="B67" s="53">
        <v>43497</v>
      </c>
      <c r="C67" s="54">
        <v>56</v>
      </c>
      <c r="D67" s="55">
        <v>0.0032</v>
      </c>
      <c r="E67" s="52"/>
      <c r="F67" s="56">
        <f t="shared" si="0"/>
        <v>0.0032</v>
      </c>
      <c r="G67" s="56">
        <f>O$5/12</f>
        <v>0.002057875</v>
      </c>
      <c r="H67" s="56">
        <f t="shared" si="1"/>
        <v>0.001142125</v>
      </c>
      <c r="J67" s="56" t="str">
        <f t="shared" si="2"/>
        <v/>
      </c>
      <c r="T67">
        <v>59</v>
      </c>
      <c r="U67" s="56">
        <f t="shared" si="3"/>
        <v>0.000276279802777778</v>
      </c>
      <c r="Y67" s="56" t="str">
        <f t="shared" si="4"/>
        <v/>
      </c>
    </row>
    <row r="68" spans="1:25">
      <c r="A68">
        <v>60</v>
      </c>
      <c r="B68" s="53">
        <v>43466</v>
      </c>
      <c r="C68" s="54">
        <v>55.82</v>
      </c>
      <c r="D68" s="55">
        <v>0.078</v>
      </c>
      <c r="E68" s="52"/>
      <c r="F68" s="56">
        <f t="shared" si="0"/>
        <v>0.078</v>
      </c>
      <c r="G68" s="56">
        <f>O$5/12</f>
        <v>0.002057875</v>
      </c>
      <c r="H68" s="56">
        <f t="shared" si="1"/>
        <v>0.075942125</v>
      </c>
      <c r="J68" s="56" t="str">
        <f t="shared" si="2"/>
        <v/>
      </c>
      <c r="T68">
        <v>60</v>
      </c>
      <c r="U68" s="56">
        <f t="shared" si="3"/>
        <v>0.00338471846944444</v>
      </c>
      <c r="Y68" s="56" t="str">
        <f t="shared" si="4"/>
        <v/>
      </c>
    </row>
    <row r="69" spans="5:7">
      <c r="E69" s="52"/>
      <c r="F69" s="52"/>
      <c r="G69" s="56"/>
    </row>
    <row r="70" spans="5:25">
      <c r="E70" s="52"/>
      <c r="F70" s="52"/>
      <c r="G70" s="56"/>
      <c r="U70" s="67">
        <f>SUM(U9:U69)</f>
        <v>0.358678641833333</v>
      </c>
      <c r="Y70" s="67">
        <f>SUM(Y9:Y69)</f>
        <v>0.0526108095833333</v>
      </c>
    </row>
    <row r="71" spans="2:10">
      <c r="B71" s="64"/>
      <c r="C71" s="65"/>
      <c r="D71" s="66"/>
      <c r="E71" s="52"/>
      <c r="F71" s="52"/>
      <c r="G71" s="52"/>
      <c r="J71" s="56"/>
    </row>
    <row r="72" spans="2:7">
      <c r="B72" s="64"/>
      <c r="C72" s="65"/>
      <c r="D72" s="66"/>
      <c r="E72" s="52"/>
      <c r="F72" s="52"/>
      <c r="G72" s="52"/>
    </row>
    <row r="73" spans="2:7">
      <c r="B73" s="64"/>
      <c r="C73" s="65"/>
      <c r="D73" s="66"/>
      <c r="E73" s="52"/>
      <c r="F73" s="52"/>
      <c r="G73" s="52"/>
    </row>
    <row r="74" spans="2:7">
      <c r="B74" s="64"/>
      <c r="C74" s="65"/>
      <c r="D74" s="66"/>
      <c r="E74" s="52"/>
      <c r="F74" s="52"/>
      <c r="G74" s="52"/>
    </row>
    <row r="75" spans="2:7">
      <c r="B75" s="64"/>
      <c r="C75" s="65"/>
      <c r="D75" s="66"/>
      <c r="E75" s="52"/>
      <c r="F75" s="52"/>
      <c r="G75" s="52"/>
    </row>
    <row r="76" spans="2:7">
      <c r="B76" s="64"/>
      <c r="C76" s="65"/>
      <c r="D76" s="66"/>
      <c r="E76" s="52"/>
      <c r="F76" s="52"/>
      <c r="G76" s="52"/>
    </row>
    <row r="77" spans="2:7">
      <c r="B77" s="64"/>
      <c r="C77" s="65"/>
      <c r="D77" s="66"/>
      <c r="E77" s="52"/>
      <c r="F77" s="52"/>
      <c r="G77" s="52"/>
    </row>
    <row r="78" spans="2:7">
      <c r="B78" s="64"/>
      <c r="C78" s="65"/>
      <c r="D78" s="66"/>
      <c r="E78" s="52"/>
      <c r="F78" s="52"/>
      <c r="G78" s="52"/>
    </row>
    <row r="79" spans="2:7">
      <c r="B79" s="64"/>
      <c r="C79" s="65"/>
      <c r="D79" s="66"/>
      <c r="E79" s="52"/>
      <c r="F79" s="52"/>
      <c r="G79" s="52"/>
    </row>
    <row r="80" spans="2:7">
      <c r="B80" s="64"/>
      <c r="C80" s="65"/>
      <c r="D80" s="66"/>
      <c r="E80" s="52"/>
      <c r="F80" s="52"/>
      <c r="G80" s="52"/>
    </row>
    <row r="81" spans="2:7">
      <c r="B81" s="64"/>
      <c r="C81" s="65"/>
      <c r="D81" s="66"/>
      <c r="E81" s="52"/>
      <c r="F81" s="52"/>
      <c r="G81" s="52"/>
    </row>
    <row r="82" spans="2:7">
      <c r="B82" s="64"/>
      <c r="C82" s="65"/>
      <c r="D82" s="66"/>
      <c r="E82" s="52"/>
      <c r="F82" s="52"/>
      <c r="G82" s="52"/>
    </row>
    <row r="83" spans="2:7">
      <c r="B83" s="64"/>
      <c r="C83" s="65"/>
      <c r="D83" s="66"/>
      <c r="E83" s="52"/>
      <c r="F83" s="52"/>
      <c r="G83" s="52"/>
    </row>
    <row r="84" spans="2:7">
      <c r="B84" s="64"/>
      <c r="C84" s="65"/>
      <c r="D84" s="66"/>
      <c r="E84" s="52"/>
      <c r="F84" s="52"/>
      <c r="G84" s="52"/>
    </row>
    <row r="85" spans="2:7">
      <c r="B85" s="64"/>
      <c r="C85" s="65"/>
      <c r="D85" s="66"/>
      <c r="E85" s="52"/>
      <c r="F85" s="52"/>
      <c r="G85" s="52"/>
    </row>
    <row r="86" spans="2:7">
      <c r="B86" s="64"/>
      <c r="C86" s="65"/>
      <c r="D86" s="66"/>
      <c r="E86" s="52"/>
      <c r="F86" s="52"/>
      <c r="G86" s="52"/>
    </row>
    <row r="87" spans="2:7">
      <c r="B87" s="64"/>
      <c r="C87" s="65"/>
      <c r="D87" s="66"/>
      <c r="E87" s="52"/>
      <c r="F87" s="52"/>
      <c r="G87" s="52"/>
    </row>
    <row r="88" spans="2:7">
      <c r="B88" s="64"/>
      <c r="C88" s="65"/>
      <c r="D88" s="66"/>
      <c r="E88" s="52"/>
      <c r="F88" s="52"/>
      <c r="G88" s="52"/>
    </row>
    <row r="89" spans="2:7">
      <c r="B89" s="64"/>
      <c r="C89" s="65"/>
      <c r="D89" s="66"/>
      <c r="E89" s="52"/>
      <c r="F89" s="52"/>
      <c r="G89" s="52"/>
    </row>
    <row r="90" spans="2:7">
      <c r="B90" s="64"/>
      <c r="C90" s="65"/>
      <c r="D90" s="66"/>
      <c r="E90" s="52"/>
      <c r="F90" s="52"/>
      <c r="G90" s="52"/>
    </row>
    <row r="91" spans="2:7">
      <c r="B91" s="64"/>
      <c r="C91" s="65"/>
      <c r="D91" s="66"/>
      <c r="E91" s="52"/>
      <c r="F91" s="52"/>
      <c r="G91" s="52"/>
    </row>
    <row r="92" spans="2:7">
      <c r="B92" s="64"/>
      <c r="C92" s="65"/>
      <c r="D92" s="66"/>
      <c r="E92" s="52"/>
      <c r="F92" s="52"/>
      <c r="G92" s="52"/>
    </row>
    <row r="93" spans="2:7">
      <c r="B93" s="64"/>
      <c r="C93" s="65"/>
      <c r="D93" s="66"/>
      <c r="E93" s="52"/>
      <c r="F93" s="52"/>
      <c r="G93" s="52"/>
    </row>
    <row r="94" spans="2:7">
      <c r="B94" s="64"/>
      <c r="C94" s="65"/>
      <c r="D94" s="66"/>
      <c r="E94" s="52"/>
      <c r="F94" s="52"/>
      <c r="G94" s="52"/>
    </row>
    <row r="95" spans="2:7">
      <c r="B95" s="64"/>
      <c r="C95" s="65"/>
      <c r="D95" s="66"/>
      <c r="E95" s="52"/>
      <c r="F95" s="52"/>
      <c r="G95" s="52"/>
    </row>
    <row r="96" spans="2:7">
      <c r="B96" s="64"/>
      <c r="C96" s="65"/>
      <c r="D96" s="66"/>
      <c r="E96" s="52"/>
      <c r="F96" s="52"/>
      <c r="G96" s="52"/>
    </row>
    <row r="97" spans="2:7">
      <c r="B97" s="64"/>
      <c r="C97" s="65"/>
      <c r="D97" s="66"/>
      <c r="E97" s="52"/>
      <c r="F97" s="52"/>
      <c r="G97" s="52"/>
    </row>
    <row r="98" spans="2:7">
      <c r="B98" s="64"/>
      <c r="C98" s="65"/>
      <c r="D98" s="66"/>
      <c r="E98" s="52"/>
      <c r="F98" s="52"/>
      <c r="G98" s="52"/>
    </row>
    <row r="99" spans="2:7">
      <c r="B99" s="64"/>
      <c r="C99" s="65"/>
      <c r="D99" s="66"/>
      <c r="E99" s="52"/>
      <c r="F99" s="52"/>
      <c r="G99" s="52"/>
    </row>
    <row r="100" spans="2:7">
      <c r="B100" s="64"/>
      <c r="C100" s="65"/>
      <c r="D100" s="66"/>
      <c r="E100" s="52"/>
      <c r="F100" s="52"/>
      <c r="G100" s="52"/>
    </row>
    <row r="101" spans="2:7">
      <c r="B101" s="64"/>
      <c r="C101" s="65"/>
      <c r="D101" s="66"/>
      <c r="E101" s="52"/>
      <c r="F101" s="52"/>
      <c r="G101" s="52"/>
    </row>
    <row r="102" spans="2:7">
      <c r="B102" s="64"/>
      <c r="C102" s="65"/>
      <c r="D102" s="66"/>
      <c r="E102" s="52"/>
      <c r="F102" s="52"/>
      <c r="G102" s="52"/>
    </row>
    <row r="103" spans="2:7">
      <c r="B103" s="64"/>
      <c r="C103" s="65"/>
      <c r="D103" s="66"/>
      <c r="E103" s="52"/>
      <c r="F103" s="52"/>
      <c r="G103" s="52"/>
    </row>
    <row r="104" spans="2:7">
      <c r="B104" s="64"/>
      <c r="C104" s="65"/>
      <c r="D104" s="66"/>
      <c r="E104" s="52"/>
      <c r="F104" s="52"/>
      <c r="G104" s="52"/>
    </row>
    <row r="105" spans="2:7">
      <c r="B105" s="64"/>
      <c r="C105" s="65"/>
      <c r="D105" s="66"/>
      <c r="E105" s="52"/>
      <c r="F105" s="52"/>
      <c r="G105" s="52"/>
    </row>
    <row r="106" spans="2:7">
      <c r="B106" s="64"/>
      <c r="C106" s="65"/>
      <c r="D106" s="66"/>
      <c r="E106" s="52"/>
      <c r="F106" s="52"/>
      <c r="G106" s="52"/>
    </row>
    <row r="107" spans="2:7">
      <c r="B107" s="64"/>
      <c r="C107" s="65"/>
      <c r="D107" s="66"/>
      <c r="E107" s="52"/>
      <c r="F107" s="52"/>
      <c r="G107" s="52"/>
    </row>
    <row r="108" spans="2:7">
      <c r="B108" s="64"/>
      <c r="C108" s="65"/>
      <c r="D108" s="66"/>
      <c r="E108" s="52"/>
      <c r="F108" s="52"/>
      <c r="G108" s="52"/>
    </row>
    <row r="109" spans="2:7">
      <c r="B109" s="64"/>
      <c r="C109" s="65"/>
      <c r="D109" s="66"/>
      <c r="E109" s="52"/>
      <c r="F109" s="52"/>
      <c r="G109" s="52"/>
    </row>
    <row r="110" spans="2:7">
      <c r="B110" s="64"/>
      <c r="C110" s="65"/>
      <c r="D110" s="66"/>
      <c r="E110" s="52"/>
      <c r="F110" s="52"/>
      <c r="G110" s="52"/>
    </row>
    <row r="111" spans="2:7">
      <c r="B111" s="64"/>
      <c r="C111" s="65"/>
      <c r="D111" s="66"/>
      <c r="E111" s="52"/>
      <c r="F111" s="52"/>
      <c r="G111" s="52"/>
    </row>
    <row r="112" spans="2:7">
      <c r="B112" s="64"/>
      <c r="C112" s="65"/>
      <c r="D112" s="66"/>
      <c r="E112" s="52"/>
      <c r="F112" s="52"/>
      <c r="G112" s="52"/>
    </row>
    <row r="113" spans="2:7">
      <c r="B113" s="64"/>
      <c r="C113" s="65"/>
      <c r="D113" s="66"/>
      <c r="E113" s="52"/>
      <c r="F113" s="52"/>
      <c r="G113" s="52"/>
    </row>
    <row r="114" spans="2:7">
      <c r="B114" s="64"/>
      <c r="C114" s="65"/>
      <c r="D114" s="66"/>
      <c r="E114" s="52"/>
      <c r="F114" s="52"/>
      <c r="G114" s="52"/>
    </row>
    <row r="115" spans="2:7">
      <c r="B115" s="64"/>
      <c r="C115" s="65"/>
      <c r="D115" s="66"/>
      <c r="E115" s="52"/>
      <c r="F115" s="52"/>
      <c r="G115" s="52"/>
    </row>
    <row r="116" spans="2:7">
      <c r="B116" s="64"/>
      <c r="C116" s="65"/>
      <c r="D116" s="66"/>
      <c r="E116" s="52"/>
      <c r="F116" s="52"/>
      <c r="G116" s="52"/>
    </row>
    <row r="117" spans="2:7">
      <c r="B117" s="64"/>
      <c r="C117" s="65"/>
      <c r="D117" s="66"/>
      <c r="E117" s="52"/>
      <c r="F117" s="52"/>
      <c r="G117" s="52"/>
    </row>
    <row r="118" spans="2:7">
      <c r="B118" s="64"/>
      <c r="C118" s="65"/>
      <c r="D118" s="66"/>
      <c r="E118" s="52"/>
      <c r="F118" s="52"/>
      <c r="G118" s="52"/>
    </row>
    <row r="119" spans="2:7">
      <c r="B119" s="64"/>
      <c r="C119" s="65"/>
      <c r="D119" s="66"/>
      <c r="E119" s="52"/>
      <c r="F119" s="52"/>
      <c r="G119" s="52"/>
    </row>
    <row r="120" spans="2:7">
      <c r="B120" s="64"/>
      <c r="C120" s="65"/>
      <c r="D120" s="66"/>
      <c r="E120" s="52"/>
      <c r="F120" s="52"/>
      <c r="G120" s="52"/>
    </row>
    <row r="121" spans="2:7">
      <c r="B121" s="64"/>
      <c r="C121" s="65"/>
      <c r="D121" s="66"/>
      <c r="E121" s="52"/>
      <c r="F121" s="52"/>
      <c r="G121" s="52"/>
    </row>
    <row r="122" spans="2:7">
      <c r="B122" s="64"/>
      <c r="C122" s="65"/>
      <c r="D122" s="66"/>
      <c r="E122" s="52"/>
      <c r="F122" s="52"/>
      <c r="G122" s="52"/>
    </row>
    <row r="123" spans="2:7">
      <c r="B123" s="64"/>
      <c r="C123" s="65"/>
      <c r="D123" s="66"/>
      <c r="E123" s="52"/>
      <c r="F123" s="52"/>
      <c r="G123" s="52"/>
    </row>
    <row r="124" spans="2:7">
      <c r="B124" s="64"/>
      <c r="C124" s="65"/>
      <c r="D124" s="66"/>
      <c r="E124" s="52"/>
      <c r="F124" s="52"/>
      <c r="G124" s="52"/>
    </row>
    <row r="125" spans="2:7">
      <c r="B125" s="64"/>
      <c r="C125" s="65"/>
      <c r="D125" s="66"/>
      <c r="E125" s="52"/>
      <c r="F125" s="52"/>
      <c r="G125" s="52"/>
    </row>
    <row r="126" spans="2:7">
      <c r="B126" s="64"/>
      <c r="C126" s="65"/>
      <c r="D126" s="66"/>
      <c r="E126" s="52"/>
      <c r="F126" s="52"/>
      <c r="G126" s="52"/>
    </row>
    <row r="127" spans="2:7">
      <c r="B127" s="64"/>
      <c r="C127" s="65"/>
      <c r="D127" s="66"/>
      <c r="E127" s="52"/>
      <c r="F127" s="52"/>
      <c r="G127" s="52"/>
    </row>
    <row r="128" spans="2:7">
      <c r="B128" s="64"/>
      <c r="C128" s="65"/>
      <c r="D128" s="66"/>
      <c r="E128" s="52"/>
      <c r="F128" s="52"/>
      <c r="G128" s="52"/>
    </row>
    <row r="129" spans="2:7">
      <c r="B129" s="64"/>
      <c r="C129" s="65"/>
      <c r="D129" s="66"/>
      <c r="E129" s="52"/>
      <c r="F129" s="52"/>
      <c r="G129" s="52"/>
    </row>
    <row r="130" spans="2:7">
      <c r="B130" s="64"/>
      <c r="C130" s="65"/>
      <c r="D130" s="66"/>
      <c r="E130" s="52"/>
      <c r="F130" s="52"/>
      <c r="G130" s="52"/>
    </row>
    <row r="131" spans="2:7">
      <c r="B131" s="64"/>
      <c r="C131" s="65"/>
      <c r="D131" s="66"/>
      <c r="E131" s="52"/>
      <c r="F131" s="52"/>
      <c r="G131" s="52"/>
    </row>
    <row r="132" spans="2:7">
      <c r="B132" s="64"/>
      <c r="C132" s="65"/>
      <c r="D132" s="66"/>
      <c r="E132" s="52"/>
      <c r="F132" s="52"/>
      <c r="G132" s="52"/>
    </row>
    <row r="133" spans="2:7">
      <c r="B133" s="64"/>
      <c r="C133" s="65"/>
      <c r="D133" s="66"/>
      <c r="E133" s="52"/>
      <c r="F133" s="52"/>
      <c r="G133" s="52"/>
    </row>
    <row r="134" spans="2:7">
      <c r="B134" s="64"/>
      <c r="C134" s="65"/>
      <c r="D134" s="66"/>
      <c r="E134" s="52"/>
      <c r="F134" s="52"/>
      <c r="G134" s="52"/>
    </row>
    <row r="135" spans="2:7">
      <c r="B135" s="64"/>
      <c r="C135" s="65"/>
      <c r="D135" s="66"/>
      <c r="E135" s="52"/>
      <c r="F135" s="52"/>
      <c r="G135" s="52"/>
    </row>
    <row r="136" spans="2:7">
      <c r="B136" s="64"/>
      <c r="C136" s="65"/>
      <c r="D136" s="66"/>
      <c r="E136" s="52"/>
      <c r="F136" s="52"/>
      <c r="G136" s="52"/>
    </row>
    <row r="137" spans="2:7">
      <c r="B137" s="64"/>
      <c r="C137" s="65"/>
      <c r="D137" s="66"/>
      <c r="E137" s="52"/>
      <c r="F137" s="52"/>
      <c r="G137" s="52"/>
    </row>
    <row r="138" spans="2:7">
      <c r="B138" s="64"/>
      <c r="C138" s="65"/>
      <c r="D138" s="66"/>
      <c r="E138" s="52"/>
      <c r="F138" s="52"/>
      <c r="G138" s="52"/>
    </row>
    <row r="139" spans="2:7">
      <c r="B139" s="64"/>
      <c r="C139" s="65"/>
      <c r="D139" s="66"/>
      <c r="E139" s="52"/>
      <c r="F139" s="52"/>
      <c r="G139" s="52"/>
    </row>
    <row r="140" spans="2:7">
      <c r="B140" s="64"/>
      <c r="C140" s="65"/>
      <c r="D140" s="66"/>
      <c r="E140" s="52"/>
      <c r="F140" s="52"/>
      <c r="G140" s="52"/>
    </row>
    <row r="141" spans="2:7">
      <c r="B141" s="64"/>
      <c r="C141" s="65"/>
      <c r="D141" s="66"/>
      <c r="E141" s="52"/>
      <c r="F141" s="52"/>
      <c r="G141" s="52"/>
    </row>
    <row r="142" spans="2:7">
      <c r="B142" s="64"/>
      <c r="C142" s="65"/>
      <c r="D142" s="66"/>
      <c r="E142" s="52"/>
      <c r="F142" s="52"/>
      <c r="G142" s="52"/>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C37"/>
  <sheetViews>
    <sheetView workbookViewId="0">
      <pane xSplit="4" ySplit="4" topLeftCell="J5" activePane="bottomRight" state="frozen"/>
      <selection/>
      <selection pane="topRight"/>
      <selection pane="bottomLeft"/>
      <selection pane="bottomRight" activeCell="AC35" sqref="AC35"/>
    </sheetView>
    <sheetView workbookViewId="1">
      <selection activeCell="R16" sqref="R16"/>
    </sheetView>
  </sheetViews>
  <sheetFormatPr defaultColWidth="9.14285714285714" defaultRowHeight="15"/>
  <cols>
    <col min="2" max="3" width="6.28571428571429" customWidth="1"/>
    <col min="4" max="4" width="39.7142857142857" customWidth="1"/>
    <col min="5" max="5" width="9.14285714285714" style="11"/>
    <col min="6" max="6" width="11.7142857142857" style="12"/>
    <col min="7" max="15" width="10.5714285714286" style="12"/>
    <col min="16" max="16" width="10.5714285714286" style="13"/>
    <col min="17" max="17" width="10.5714285714286" style="11"/>
    <col min="18" max="23" width="10.5714285714286"/>
    <col min="24" max="26" width="10.2857142857143" customWidth="1"/>
    <col min="27" max="27" width="11.7142857142857"/>
  </cols>
  <sheetData>
    <row r="1" spans="6:16">
      <c r="F1" s="14" t="s">
        <v>31</v>
      </c>
      <c r="G1" s="11"/>
      <c r="H1" s="11"/>
      <c r="I1" s="11"/>
      <c r="J1" s="11"/>
      <c r="K1" s="11"/>
      <c r="L1" s="11"/>
      <c r="M1" s="11"/>
      <c r="N1" s="11"/>
      <c r="O1" s="11"/>
      <c r="P1" s="35"/>
    </row>
    <row r="2" s="4" customFormat="1" spans="5:17">
      <c r="E2" s="15"/>
      <c r="F2" s="15" t="s">
        <v>32</v>
      </c>
      <c r="G2" s="15"/>
      <c r="H2" s="15"/>
      <c r="I2" s="15"/>
      <c r="J2" s="15"/>
      <c r="K2" s="15"/>
      <c r="L2" s="15"/>
      <c r="M2" s="15"/>
      <c r="N2" s="15"/>
      <c r="O2" s="15"/>
      <c r="P2" s="36"/>
      <c r="Q2" s="15"/>
    </row>
    <row r="3" s="4" customFormat="1" spans="5:29">
      <c r="E3" s="15"/>
      <c r="F3" s="15">
        <v>2013</v>
      </c>
      <c r="G3" s="15">
        <v>2014</v>
      </c>
      <c r="H3" s="15">
        <v>2015</v>
      </c>
      <c r="I3" s="15">
        <v>2016</v>
      </c>
      <c r="J3" s="15">
        <v>2017</v>
      </c>
      <c r="K3" s="15">
        <v>2018</v>
      </c>
      <c r="L3" s="15">
        <v>2019</v>
      </c>
      <c r="M3" s="15">
        <v>2020</v>
      </c>
      <c r="N3" s="15">
        <v>2021</v>
      </c>
      <c r="O3" s="15">
        <v>2022</v>
      </c>
      <c r="P3" s="36">
        <v>2023</v>
      </c>
      <c r="Q3" s="15">
        <v>2024</v>
      </c>
      <c r="R3" s="15">
        <v>2025</v>
      </c>
      <c r="S3" s="15">
        <v>2026</v>
      </c>
      <c r="T3" s="15">
        <v>2027</v>
      </c>
      <c r="U3" s="15">
        <v>2028</v>
      </c>
      <c r="V3" s="15">
        <v>2029</v>
      </c>
      <c r="W3" s="15">
        <v>2030</v>
      </c>
      <c r="X3" s="15">
        <v>2031</v>
      </c>
      <c r="Y3" s="15">
        <v>2032</v>
      </c>
      <c r="Z3" s="15">
        <v>2033</v>
      </c>
      <c r="AA3" s="15">
        <v>2034</v>
      </c>
      <c r="AC3" s="4" t="s">
        <v>7</v>
      </c>
    </row>
    <row r="6" spans="20:22">
      <c r="T6" s="43" t="s">
        <v>237</v>
      </c>
      <c r="U6" s="44">
        <f>FS!R66</f>
        <v>18.9785281994807</v>
      </c>
      <c r="V6" t="s">
        <v>238</v>
      </c>
    </row>
    <row r="7" ht="15.75" spans="2:2">
      <c r="B7" s="16" t="s">
        <v>97</v>
      </c>
    </row>
    <row r="8" spans="2:27">
      <c r="B8" t="s">
        <v>98</v>
      </c>
      <c r="F8" s="12">
        <v>55519</v>
      </c>
      <c r="G8" s="12">
        <v>66001</v>
      </c>
      <c r="H8" s="12">
        <v>74989</v>
      </c>
      <c r="I8" s="12">
        <v>90272</v>
      </c>
      <c r="J8" s="12">
        <v>110855</v>
      </c>
      <c r="K8" s="12">
        <v>136819</v>
      </c>
      <c r="L8" s="12">
        <v>161857</v>
      </c>
      <c r="M8" s="12">
        <v>182527</v>
      </c>
      <c r="N8" s="12">
        <v>257637</v>
      </c>
      <c r="O8" s="12">
        <v>282836</v>
      </c>
      <c r="P8" s="13">
        <v>307394</v>
      </c>
      <c r="Q8" s="12">
        <f>P8*(1+$U6/100)</f>
        <v>365732.856973512</v>
      </c>
      <c r="R8" s="12">
        <f t="shared" ref="R8:AA8" si="0">Q8*(1+$U6/100)</f>
        <v>435143.570368996</v>
      </c>
      <c r="S8" s="12">
        <f t="shared" si="0"/>
        <v>517727.415579703</v>
      </c>
      <c r="T8" s="12">
        <f t="shared" si="0"/>
        <v>615984.45914194</v>
      </c>
      <c r="U8" s="12">
        <f t="shared" si="0"/>
        <v>732889.243424611</v>
      </c>
      <c r="V8" s="12">
        <f t="shared" si="0"/>
        <v>871980.835158912</v>
      </c>
      <c r="W8" s="12">
        <f t="shared" si="0"/>
        <v>1037469.96385361</v>
      </c>
      <c r="X8" s="12">
        <f t="shared" si="0"/>
        <v>1234366.49350471</v>
      </c>
      <c r="Y8" s="12">
        <f t="shared" si="0"/>
        <v>1468631.08655945</v>
      </c>
      <c r="Z8" s="12">
        <f t="shared" si="0"/>
        <v>1747355.65146847</v>
      </c>
      <c r="AA8" s="12">
        <f t="shared" si="0"/>
        <v>2078978.03652763</v>
      </c>
    </row>
    <row r="9" spans="2:27">
      <c r="B9" t="s">
        <v>99</v>
      </c>
      <c r="D9"/>
      <c r="F9" s="12">
        <v>21993</v>
      </c>
      <c r="G9" s="12">
        <v>25691</v>
      </c>
      <c r="H9" s="12">
        <v>28164</v>
      </c>
      <c r="I9" s="12">
        <v>35138</v>
      </c>
      <c r="J9" s="12">
        <v>45583</v>
      </c>
      <c r="K9" s="12">
        <v>59549</v>
      </c>
      <c r="L9" s="12">
        <v>71896</v>
      </c>
      <c r="M9" s="12">
        <v>84732</v>
      </c>
      <c r="N9" s="12">
        <v>110939</v>
      </c>
      <c r="O9" s="12">
        <v>126203</v>
      </c>
      <c r="P9" s="13">
        <v>133332</v>
      </c>
      <c r="Q9" s="12">
        <f>Q8-Q10</f>
        <v>212271.044256788</v>
      </c>
      <c r="R9" s="12">
        <f t="shared" ref="R9:AA9" si="1">R8-R10</f>
        <v>252556.964250394</v>
      </c>
      <c r="S9" s="12">
        <f t="shared" si="1"/>
        <v>300488.558930408</v>
      </c>
      <c r="T9" s="12">
        <f t="shared" si="1"/>
        <v>357516.864823228</v>
      </c>
      <c r="U9" s="12">
        <f t="shared" si="1"/>
        <v>425368.303831604</v>
      </c>
      <c r="V9" s="12">
        <f t="shared" si="1"/>
        <v>506096.947325937</v>
      </c>
      <c r="W9" s="12">
        <f t="shared" si="1"/>
        <v>602146.699190901</v>
      </c>
      <c r="X9" s="12">
        <f t="shared" si="1"/>
        <v>716425.280299089</v>
      </c>
      <c r="Y9" s="12">
        <f t="shared" si="1"/>
        <v>852392.25414886</v>
      </c>
      <c r="Z9" s="12">
        <f t="shared" si="1"/>
        <v>1014163.75847269</v>
      </c>
      <c r="AA9" s="12">
        <f t="shared" si="1"/>
        <v>1206637.11336334</v>
      </c>
    </row>
    <row r="10" spans="2:27">
      <c r="B10" t="s">
        <v>100</v>
      </c>
      <c r="F10" s="17">
        <f t="shared" ref="F10:P10" si="2">F8-F9</f>
        <v>33526</v>
      </c>
      <c r="G10" s="17">
        <f t="shared" si="2"/>
        <v>40310</v>
      </c>
      <c r="H10" s="17">
        <f t="shared" si="2"/>
        <v>46825</v>
      </c>
      <c r="I10" s="17">
        <f t="shared" si="2"/>
        <v>55134</v>
      </c>
      <c r="J10" s="17">
        <f t="shared" si="2"/>
        <v>65272</v>
      </c>
      <c r="K10" s="17">
        <f t="shared" si="2"/>
        <v>77270</v>
      </c>
      <c r="L10" s="17">
        <f t="shared" si="2"/>
        <v>89961</v>
      </c>
      <c r="M10" s="17">
        <f t="shared" si="2"/>
        <v>97795</v>
      </c>
      <c r="N10" s="17">
        <f t="shared" si="2"/>
        <v>146698</v>
      </c>
      <c r="O10" s="17">
        <f t="shared" si="2"/>
        <v>156633</v>
      </c>
      <c r="P10" s="37">
        <f t="shared" si="2"/>
        <v>174062</v>
      </c>
      <c r="Q10" s="17">
        <f>Q8*($Q11/100)</f>
        <v>153461.812716724</v>
      </c>
      <c r="R10" s="17">
        <f t="shared" ref="R10:AA10" si="3">R8*($Q11/100)</f>
        <v>182586.606118602</v>
      </c>
      <c r="S10" s="17">
        <f t="shared" si="3"/>
        <v>217238.856649295</v>
      </c>
      <c r="T10" s="17">
        <f t="shared" si="3"/>
        <v>258467.594318711</v>
      </c>
      <c r="U10" s="17">
        <f t="shared" si="3"/>
        <v>307520.939593007</v>
      </c>
      <c r="V10" s="17">
        <f t="shared" si="3"/>
        <v>365883.887832974</v>
      </c>
      <c r="W10" s="17">
        <f t="shared" si="3"/>
        <v>435323.264662712</v>
      </c>
      <c r="X10" s="17">
        <f t="shared" si="3"/>
        <v>517941.213205624</v>
      </c>
      <c r="Y10" s="17">
        <f t="shared" si="3"/>
        <v>616238.832410586</v>
      </c>
      <c r="Z10" s="17">
        <f t="shared" si="3"/>
        <v>733191.89299578</v>
      </c>
      <c r="AA10" s="17">
        <f t="shared" si="3"/>
        <v>872340.92316429</v>
      </c>
    </row>
    <row r="11" s="5" customFormat="1" ht="15.75" spans="3:26">
      <c r="C11" s="18" t="s">
        <v>101</v>
      </c>
      <c r="D11" s="19"/>
      <c r="E11" s="20"/>
      <c r="F11" s="21">
        <f t="shared" ref="F11:P11" si="4">IFERROR(F9/F8*100,0)</f>
        <v>39.6134656604045</v>
      </c>
      <c r="G11" s="21">
        <f t="shared" si="4"/>
        <v>38.9251678004879</v>
      </c>
      <c r="H11" s="21">
        <f t="shared" si="4"/>
        <v>37.5575084345704</v>
      </c>
      <c r="I11" s="21">
        <f t="shared" si="4"/>
        <v>38.9245834810351</v>
      </c>
      <c r="J11" s="21">
        <f t="shared" si="4"/>
        <v>41.1194804023274</v>
      </c>
      <c r="K11" s="21">
        <f t="shared" si="4"/>
        <v>43.5239257705436</v>
      </c>
      <c r="L11" s="21">
        <f t="shared" si="4"/>
        <v>44.4194566808973</v>
      </c>
      <c r="M11" s="21">
        <f t="shared" si="4"/>
        <v>46.4216252937922</v>
      </c>
      <c r="N11" s="21">
        <f t="shared" si="4"/>
        <v>43.0601970990192</v>
      </c>
      <c r="O11" s="21">
        <f t="shared" si="4"/>
        <v>44.6205574962169</v>
      </c>
      <c r="P11" s="38">
        <f t="shared" si="4"/>
        <v>43.3749520159795</v>
      </c>
      <c r="Q11" s="45">
        <f>AVERAGE(E11:P11)</f>
        <v>41.9600836486613</v>
      </c>
      <c r="R11" s="46"/>
      <c r="S11" s="46"/>
      <c r="T11" s="46"/>
      <c r="U11" s="46"/>
      <c r="V11" s="46"/>
      <c r="W11" s="46"/>
      <c r="X11" s="46"/>
      <c r="Y11" s="46"/>
      <c r="Z11" s="46"/>
    </row>
    <row r="13" spans="2:16">
      <c r="B13" t="s">
        <v>102</v>
      </c>
      <c r="F13" s="12">
        <v>7137</v>
      </c>
      <c r="G13" s="12">
        <v>9832</v>
      </c>
      <c r="H13" s="12">
        <v>12282</v>
      </c>
      <c r="I13" s="12">
        <v>13948</v>
      </c>
      <c r="J13" s="12">
        <v>16625</v>
      </c>
      <c r="K13" s="12">
        <v>21419</v>
      </c>
      <c r="L13" s="12">
        <v>26018</v>
      </c>
      <c r="M13" s="12">
        <v>27573</v>
      </c>
      <c r="N13" s="12">
        <v>31562</v>
      </c>
      <c r="O13" s="12">
        <v>39500</v>
      </c>
      <c r="P13" s="13">
        <v>45427</v>
      </c>
    </row>
    <row r="14" spans="2:16">
      <c r="B14" t="s">
        <v>103</v>
      </c>
      <c r="F14" s="12">
        <v>6554</v>
      </c>
      <c r="G14" s="12">
        <v>8131</v>
      </c>
      <c r="H14" s="12">
        <v>9047</v>
      </c>
      <c r="I14" s="12">
        <v>10485</v>
      </c>
      <c r="J14" s="12">
        <v>12893</v>
      </c>
      <c r="K14" s="12">
        <v>16333</v>
      </c>
      <c r="L14" s="12">
        <v>18464</v>
      </c>
      <c r="M14" s="12">
        <v>17946</v>
      </c>
      <c r="N14" s="12">
        <v>22912</v>
      </c>
      <c r="O14" s="12">
        <v>26567</v>
      </c>
      <c r="P14" s="13">
        <v>27917</v>
      </c>
    </row>
    <row r="15" spans="2:16">
      <c r="B15" t="s">
        <v>104</v>
      </c>
      <c r="F15" s="12">
        <v>4432</v>
      </c>
      <c r="G15" s="12">
        <v>5851</v>
      </c>
      <c r="H15" s="12">
        <v>6136</v>
      </c>
      <c r="I15" s="12">
        <v>6985</v>
      </c>
      <c r="J15" s="12">
        <v>6840</v>
      </c>
      <c r="K15" s="12">
        <v>6923</v>
      </c>
      <c r="L15" s="12">
        <v>9551</v>
      </c>
      <c r="M15" s="12">
        <v>11052</v>
      </c>
      <c r="N15" s="12">
        <v>13510</v>
      </c>
      <c r="O15" s="12">
        <v>15724</v>
      </c>
      <c r="P15" s="13">
        <v>16425</v>
      </c>
    </row>
    <row r="16" spans="2:16">
      <c r="B16" t="s">
        <v>105</v>
      </c>
      <c r="F16" s="12">
        <v>0</v>
      </c>
      <c r="G16" s="12">
        <v>0</v>
      </c>
      <c r="H16" s="12">
        <v>0</v>
      </c>
      <c r="I16" s="12">
        <v>0</v>
      </c>
      <c r="J16" s="12">
        <v>2736</v>
      </c>
      <c r="K16" s="12">
        <v>5071</v>
      </c>
      <c r="L16" s="12">
        <v>1697</v>
      </c>
      <c r="M16" s="12">
        <v>0</v>
      </c>
      <c r="N16" s="12">
        <v>0</v>
      </c>
      <c r="O16" s="12">
        <v>0</v>
      </c>
      <c r="P16" s="13">
        <v>0</v>
      </c>
    </row>
    <row r="17" spans="2:27">
      <c r="B17" t="s">
        <v>106</v>
      </c>
      <c r="F17" s="17">
        <f t="shared" ref="F17:P17" si="5">SUM(F13:F16)</f>
        <v>18123</v>
      </c>
      <c r="G17" s="17">
        <f t="shared" si="5"/>
        <v>23814</v>
      </c>
      <c r="H17" s="17">
        <f t="shared" si="5"/>
        <v>27465</v>
      </c>
      <c r="I17" s="17">
        <f t="shared" si="5"/>
        <v>31418</v>
      </c>
      <c r="J17" s="17">
        <f t="shared" si="5"/>
        <v>39094</v>
      </c>
      <c r="K17" s="17">
        <f t="shared" si="5"/>
        <v>49746</v>
      </c>
      <c r="L17" s="17">
        <f t="shared" si="5"/>
        <v>55730</v>
      </c>
      <c r="M17" s="17">
        <f t="shared" si="5"/>
        <v>56571</v>
      </c>
      <c r="N17" s="17">
        <f t="shared" si="5"/>
        <v>67984</v>
      </c>
      <c r="O17" s="17">
        <f t="shared" si="5"/>
        <v>81791</v>
      </c>
      <c r="P17" s="37">
        <f t="shared" si="5"/>
        <v>89769</v>
      </c>
      <c r="Q17" s="17">
        <f>Q10-Q19</f>
        <v>61454.3294233256</v>
      </c>
      <c r="R17" s="17">
        <f t="shared" ref="R17:AA17" si="6">R10-R19</f>
        <v>73117.4566627333</v>
      </c>
      <c r="S17" s="17">
        <f t="shared" si="6"/>
        <v>86994.0737942132</v>
      </c>
      <c r="T17" s="17">
        <f t="shared" si="6"/>
        <v>103504.268621125</v>
      </c>
      <c r="U17" s="17">
        <f t="shared" si="6"/>
        <v>123147.855429051</v>
      </c>
      <c r="V17" s="17">
        <f t="shared" si="6"/>
        <v>146519.50589871</v>
      </c>
      <c r="W17" s="17">
        <f t="shared" si="6"/>
        <v>174326.751643436</v>
      </c>
      <c r="X17" s="17">
        <f t="shared" si="6"/>
        <v>207411.403363324</v>
      </c>
      <c r="Y17" s="17">
        <f t="shared" si="6"/>
        <v>246775.035039571</v>
      </c>
      <c r="Z17" s="17">
        <f t="shared" si="6"/>
        <v>293609.304653835</v>
      </c>
      <c r="AA17" s="17">
        <f t="shared" si="6"/>
        <v>349332.029333862</v>
      </c>
    </row>
    <row r="19" spans="2:27">
      <c r="B19" t="s">
        <v>107</v>
      </c>
      <c r="F19" s="17">
        <f t="shared" ref="F19:P19" si="7">F10-F17</f>
        <v>15403</v>
      </c>
      <c r="G19" s="17">
        <f t="shared" si="7"/>
        <v>16496</v>
      </c>
      <c r="H19" s="17">
        <f t="shared" si="7"/>
        <v>19360</v>
      </c>
      <c r="I19" s="17">
        <f t="shared" si="7"/>
        <v>23716</v>
      </c>
      <c r="J19" s="17">
        <f t="shared" si="7"/>
        <v>26178</v>
      </c>
      <c r="K19" s="17">
        <f t="shared" si="7"/>
        <v>27524</v>
      </c>
      <c r="L19" s="17">
        <f t="shared" si="7"/>
        <v>34231</v>
      </c>
      <c r="M19" s="17">
        <f t="shared" si="7"/>
        <v>41224</v>
      </c>
      <c r="N19" s="17">
        <f t="shared" si="7"/>
        <v>78714</v>
      </c>
      <c r="O19" s="17">
        <f t="shared" si="7"/>
        <v>74842</v>
      </c>
      <c r="P19" s="37">
        <f t="shared" si="7"/>
        <v>84293</v>
      </c>
      <c r="Q19" s="17">
        <f>Q8*($Q20/100)</f>
        <v>92007.4832933985</v>
      </c>
      <c r="R19" s="17">
        <f t="shared" ref="R19:AA19" si="8">R8*($Q20/100)</f>
        <v>109469.149455869</v>
      </c>
      <c r="S19" s="17">
        <f t="shared" si="8"/>
        <v>130244.782855082</v>
      </c>
      <c r="T19" s="17">
        <f t="shared" si="8"/>
        <v>154963.325697587</v>
      </c>
      <c r="U19" s="17">
        <f t="shared" si="8"/>
        <v>184373.084163956</v>
      </c>
      <c r="V19" s="17">
        <f t="shared" si="8"/>
        <v>219364.381934265</v>
      </c>
      <c r="W19" s="17">
        <f t="shared" si="8"/>
        <v>260996.513019276</v>
      </c>
      <c r="X19" s="17">
        <f t="shared" si="8"/>
        <v>310529.8098423</v>
      </c>
      <c r="Y19" s="17">
        <f t="shared" si="8"/>
        <v>369463.797371015</v>
      </c>
      <c r="Z19" s="17">
        <f t="shared" si="8"/>
        <v>439582.588341945</v>
      </c>
      <c r="AA19" s="17">
        <f t="shared" si="8"/>
        <v>523008.893830428</v>
      </c>
    </row>
    <row r="20" s="5" customFormat="1" ht="15.75" spans="3:17">
      <c r="C20" s="18" t="s">
        <v>108</v>
      </c>
      <c r="D20" s="19"/>
      <c r="E20" s="20"/>
      <c r="F20" s="21">
        <f t="shared" ref="F20:P20" si="9">IFERROR(F19/F8*100,0)</f>
        <v>27.743655325204</v>
      </c>
      <c r="G20" s="21">
        <f t="shared" si="9"/>
        <v>24.9935607036257</v>
      </c>
      <c r="H20" s="21">
        <f t="shared" si="9"/>
        <v>25.8171198442438</v>
      </c>
      <c r="I20" s="21">
        <f t="shared" si="9"/>
        <v>26.2717121588089</v>
      </c>
      <c r="J20" s="21">
        <f t="shared" si="9"/>
        <v>23.6146317261287</v>
      </c>
      <c r="K20" s="21">
        <f t="shared" si="9"/>
        <v>20.1170890007967</v>
      </c>
      <c r="L20" s="21">
        <f t="shared" si="9"/>
        <v>21.1489154006314</v>
      </c>
      <c r="M20" s="21">
        <f t="shared" si="9"/>
        <v>22.5851517857632</v>
      </c>
      <c r="N20" s="21">
        <f t="shared" si="9"/>
        <v>30.5522886852432</v>
      </c>
      <c r="O20" s="21">
        <f t="shared" si="9"/>
        <v>26.461270842467</v>
      </c>
      <c r="P20" s="38">
        <f t="shared" si="9"/>
        <v>27.4218104452266</v>
      </c>
      <c r="Q20" s="45">
        <f>AVERAGE(E20:P20)</f>
        <v>25.1570187198308</v>
      </c>
    </row>
    <row r="22" spans="2:27">
      <c r="B22" t="s">
        <v>109</v>
      </c>
      <c r="D22"/>
      <c r="F22" s="12">
        <f>496-427</f>
        <v>69</v>
      </c>
      <c r="G22" s="12">
        <f>763+516</f>
        <v>1279</v>
      </c>
      <c r="H22" s="12">
        <v>291</v>
      </c>
      <c r="I22" s="12">
        <v>434</v>
      </c>
      <c r="J22" s="12">
        <v>1015</v>
      </c>
      <c r="K22" s="12">
        <v>7389</v>
      </c>
      <c r="L22" s="12">
        <v>5394</v>
      </c>
      <c r="M22" s="12">
        <v>6858</v>
      </c>
      <c r="N22" s="12">
        <v>12020</v>
      </c>
      <c r="O22" s="12">
        <v>-3514</v>
      </c>
      <c r="P22" s="13">
        <v>1424</v>
      </c>
      <c r="Q22" s="12">
        <f>Q8*(FS!$R$93/100)</f>
        <v>6917.48877683747</v>
      </c>
      <c r="R22" s="12">
        <f>R8*(FS!$R$93/100)</f>
        <v>8230.32633504548</v>
      </c>
      <c r="S22" s="12">
        <f>S8*(FS!$R$93/100)</f>
        <v>9792.32113945137</v>
      </c>
      <c r="T22" s="12">
        <f>T8*(FS!$R$93/100)</f>
        <v>11650.7595682859</v>
      </c>
      <c r="U22" s="12">
        <f>U8*(FS!$R$93/100)</f>
        <v>13861.9022584067</v>
      </c>
      <c r="V22" s="12">
        <f>V8*(FS!$R$93/100)</f>
        <v>16492.6872875029</v>
      </c>
      <c r="W22" s="12">
        <f>W8*(FS!$R$93/100)</f>
        <v>19622.7565952138</v>
      </c>
      <c r="X22" s="12">
        <f>X8*(FS!$R$93/100)</f>
        <v>23346.8669891518</v>
      </c>
      <c r="Y22" s="12">
        <f>Y8*(FS!$R$93/100)</f>
        <v>27777.7587243833</v>
      </c>
      <c r="Z22" s="12">
        <f>Z8*(FS!$R$93/100)</f>
        <v>33049.5684970741</v>
      </c>
      <c r="AA22" s="12">
        <f>AA8*(FS!$R$93/100)</f>
        <v>39321.890174098</v>
      </c>
    </row>
    <row r="24" spans="2:27">
      <c r="B24" t="s">
        <v>110</v>
      </c>
      <c r="F24" s="17">
        <f t="shared" ref="F24:Q24" si="10">F19+F22</f>
        <v>15472</v>
      </c>
      <c r="G24" s="17">
        <f t="shared" si="10"/>
        <v>17775</v>
      </c>
      <c r="H24" s="17">
        <f t="shared" si="10"/>
        <v>19651</v>
      </c>
      <c r="I24" s="17">
        <f t="shared" si="10"/>
        <v>24150</v>
      </c>
      <c r="J24" s="17">
        <f t="shared" si="10"/>
        <v>27193</v>
      </c>
      <c r="K24" s="17">
        <f t="shared" si="10"/>
        <v>34913</v>
      </c>
      <c r="L24" s="17">
        <f t="shared" si="10"/>
        <v>39625</v>
      </c>
      <c r="M24" s="17">
        <f t="shared" si="10"/>
        <v>48082</v>
      </c>
      <c r="N24" s="17">
        <f t="shared" si="10"/>
        <v>90734</v>
      </c>
      <c r="O24" s="17">
        <f t="shared" si="10"/>
        <v>71328</v>
      </c>
      <c r="P24" s="37">
        <f t="shared" si="10"/>
        <v>85717</v>
      </c>
      <c r="Q24" s="17">
        <f t="shared" si="10"/>
        <v>98924.972070236</v>
      </c>
      <c r="R24" s="17">
        <f t="shared" ref="R24:AA24" si="11">R19+R22</f>
        <v>117699.475790914</v>
      </c>
      <c r="S24" s="17">
        <f t="shared" si="11"/>
        <v>140037.103994534</v>
      </c>
      <c r="T24" s="17">
        <f t="shared" si="11"/>
        <v>166614.085265872</v>
      </c>
      <c r="U24" s="17">
        <f t="shared" si="11"/>
        <v>198234.986422363</v>
      </c>
      <c r="V24" s="17">
        <f t="shared" si="11"/>
        <v>235857.069221768</v>
      </c>
      <c r="W24" s="17">
        <f t="shared" si="11"/>
        <v>280619.26961449</v>
      </c>
      <c r="X24" s="17">
        <f t="shared" si="11"/>
        <v>333876.676831452</v>
      </c>
      <c r="Y24" s="17">
        <f t="shared" si="11"/>
        <v>397241.556095398</v>
      </c>
      <c r="Z24" s="17">
        <f t="shared" si="11"/>
        <v>472632.156839019</v>
      </c>
      <c r="AA24" s="17">
        <f t="shared" si="11"/>
        <v>562330.784004526</v>
      </c>
    </row>
    <row r="26" spans="2:27">
      <c r="B26" t="s">
        <v>111</v>
      </c>
      <c r="F26" s="12">
        <v>2739</v>
      </c>
      <c r="G26" s="12">
        <v>3639</v>
      </c>
      <c r="H26" s="12">
        <v>3303</v>
      </c>
      <c r="I26" s="12">
        <v>4672</v>
      </c>
      <c r="J26" s="12">
        <v>14531</v>
      </c>
      <c r="K26" s="12">
        <v>4177</v>
      </c>
      <c r="L26" s="12">
        <v>5282</v>
      </c>
      <c r="M26" s="12">
        <v>7813</v>
      </c>
      <c r="N26" s="12">
        <v>14701</v>
      </c>
      <c r="O26" s="12">
        <v>11356</v>
      </c>
      <c r="P26" s="13">
        <v>11922</v>
      </c>
      <c r="Q26" s="12">
        <f>Q24-Q28</f>
        <v>19255.4146990249</v>
      </c>
      <c r="R26" s="12">
        <f>R24*(FS!$R$97/100)</f>
        <v>20863.4868440683</v>
      </c>
      <c r="S26" s="12">
        <f>S24*(FS!$R$97/100)</f>
        <v>24823.0695781647</v>
      </c>
      <c r="T26" s="12">
        <f>T24*(FS!$R$97/100)</f>
        <v>29534.1228380334</v>
      </c>
      <c r="U26" s="12">
        <f>U24*(FS!$R$97/100)</f>
        <v>35139.2646693188</v>
      </c>
      <c r="V26" s="12">
        <f>V24*(FS!$R$97/100)</f>
        <v>41808.1799236757</v>
      </c>
      <c r="W26" s="12">
        <f>W24*(FS!$R$97/100)</f>
        <v>49742.7571401801</v>
      </c>
      <c r="X26" s="12">
        <f>X24*(FS!$R$97/100)</f>
        <v>59183.2003312284</v>
      </c>
      <c r="Y26" s="12">
        <f>Y24*(FS!$R$97/100)</f>
        <v>70415.3006954457</v>
      </c>
      <c r="Z26" s="12">
        <f>Z24*(FS!$R$97/100)</f>
        <v>83779.0883946799</v>
      </c>
      <c r="AA26" s="12">
        <f>AA24*(FS!$R$97/100)</f>
        <v>99679.1263109321</v>
      </c>
    </row>
    <row r="28" spans="2:27">
      <c r="B28" t="s">
        <v>112</v>
      </c>
      <c r="F28" s="17">
        <f t="shared" ref="F28:P28" si="12">F24-F26</f>
        <v>12733</v>
      </c>
      <c r="G28" s="17">
        <f t="shared" si="12"/>
        <v>14136</v>
      </c>
      <c r="H28" s="17">
        <f t="shared" si="12"/>
        <v>16348</v>
      </c>
      <c r="I28" s="17">
        <f t="shared" si="12"/>
        <v>19478</v>
      </c>
      <c r="J28" s="17">
        <f t="shared" si="12"/>
        <v>12662</v>
      </c>
      <c r="K28" s="17">
        <f t="shared" si="12"/>
        <v>30736</v>
      </c>
      <c r="L28" s="17">
        <f t="shared" si="12"/>
        <v>34343</v>
      </c>
      <c r="M28" s="17">
        <f t="shared" si="12"/>
        <v>40269</v>
      </c>
      <c r="N28" s="17">
        <f t="shared" si="12"/>
        <v>76033</v>
      </c>
      <c r="O28" s="17">
        <f t="shared" si="12"/>
        <v>59972</v>
      </c>
      <c r="P28" s="37">
        <f t="shared" si="12"/>
        <v>73795</v>
      </c>
      <c r="Q28" s="17">
        <f>Q8*($Q29/100)</f>
        <v>79669.557371211</v>
      </c>
      <c r="R28" s="17">
        <f t="shared" ref="R28:AA28" si="13">R8*($Q29/100)</f>
        <v>94789.6667833078</v>
      </c>
      <c r="S28" s="17">
        <f t="shared" si="13"/>
        <v>112779.350423972</v>
      </c>
      <c r="T28" s="17">
        <f t="shared" si="13"/>
        <v>134183.211247376</v>
      </c>
      <c r="U28" s="17">
        <f t="shared" si="13"/>
        <v>159649.209832928</v>
      </c>
      <c r="V28" s="17">
        <f t="shared" si="13"/>
        <v>189948.280141319</v>
      </c>
      <c r="W28" s="17">
        <f t="shared" si="13"/>
        <v>225997.668052367</v>
      </c>
      <c r="X28" s="17">
        <f t="shared" si="13"/>
        <v>268888.699213855</v>
      </c>
      <c r="Y28" s="17">
        <f t="shared" si="13"/>
        <v>319919.816819373</v>
      </c>
      <c r="Z28" s="17">
        <f t="shared" si="13"/>
        <v>380635.889470165</v>
      </c>
      <c r="AA28" s="17">
        <f t="shared" si="13"/>
        <v>452874.979090604</v>
      </c>
    </row>
    <row r="29" ht="15.75" spans="3:17">
      <c r="C29" s="18" t="s">
        <v>113</v>
      </c>
      <c r="D29" s="22"/>
      <c r="F29" s="21">
        <f t="shared" ref="F29:P29" si="14">IFERROR(F28/F8*100,0)</f>
        <v>22.9344908950089</v>
      </c>
      <c r="G29" s="21">
        <f t="shared" si="14"/>
        <v>21.4178573051923</v>
      </c>
      <c r="H29" s="21">
        <f t="shared" si="14"/>
        <v>21.8005307445092</v>
      </c>
      <c r="I29" s="21">
        <f t="shared" si="14"/>
        <v>21.5770116979794</v>
      </c>
      <c r="J29" s="21">
        <f t="shared" si="14"/>
        <v>11.4221280050516</v>
      </c>
      <c r="K29" s="21">
        <f t="shared" si="14"/>
        <v>22.4647161578436</v>
      </c>
      <c r="L29" s="21">
        <f t="shared" si="14"/>
        <v>21.2181122843003</v>
      </c>
      <c r="M29" s="21">
        <f t="shared" si="14"/>
        <v>22.0619415209805</v>
      </c>
      <c r="N29" s="21">
        <f t="shared" si="14"/>
        <v>29.5116772823779</v>
      </c>
      <c r="O29" s="21">
        <f t="shared" si="14"/>
        <v>21.203807153262</v>
      </c>
      <c r="P29" s="38">
        <f t="shared" si="14"/>
        <v>24.0066494466385</v>
      </c>
      <c r="Q29" s="45">
        <f>AVERAGE(E29:P29)</f>
        <v>21.7835384084677</v>
      </c>
    </row>
    <row r="30" customFormat="1" spans="5:17">
      <c r="E30" s="11"/>
      <c r="F30" s="12"/>
      <c r="G30" s="12"/>
      <c r="H30" s="12"/>
      <c r="I30" s="12"/>
      <c r="J30" s="12"/>
      <c r="K30" s="12"/>
      <c r="L30" s="12"/>
      <c r="M30" s="12"/>
      <c r="N30" s="12"/>
      <c r="O30" s="12"/>
      <c r="P30" s="13"/>
      <c r="Q30" s="11"/>
    </row>
    <row r="31" s="6" customFormat="1" spans="2:16">
      <c r="B31"/>
      <c r="C31"/>
      <c r="D31"/>
      <c r="E31" s="11"/>
      <c r="F31" s="12"/>
      <c r="G31" s="12"/>
      <c r="H31" s="12"/>
      <c r="I31" s="12"/>
      <c r="J31" s="12"/>
      <c r="K31" s="12"/>
      <c r="L31" s="12"/>
      <c r="M31" s="12"/>
      <c r="N31" s="12"/>
      <c r="O31" s="12"/>
      <c r="P31" s="13"/>
    </row>
    <row r="32" s="7" customFormat="1" spans="2:16">
      <c r="B32"/>
      <c r="C32"/>
      <c r="D32"/>
      <c r="E32" s="11"/>
      <c r="F32" s="12"/>
      <c r="G32" s="12"/>
      <c r="H32" s="12"/>
      <c r="I32" s="12"/>
      <c r="J32" s="12"/>
      <c r="K32" s="12"/>
      <c r="L32" s="12"/>
      <c r="M32" s="12"/>
      <c r="N32" s="12"/>
      <c r="O32" s="12"/>
      <c r="P32" s="13"/>
    </row>
    <row r="33" s="8" customFormat="1" ht="15.75" spans="2:16">
      <c r="B33"/>
      <c r="C33" s="23" t="s">
        <v>114</v>
      </c>
      <c r="D33" s="22"/>
      <c r="E33" s="11"/>
      <c r="F33" s="12"/>
      <c r="G33" s="12"/>
      <c r="H33" s="12"/>
      <c r="I33" s="12"/>
      <c r="J33" s="12"/>
      <c r="K33" s="12"/>
      <c r="L33" s="12"/>
      <c r="M33" s="12"/>
      <c r="N33" s="12"/>
      <c r="O33" s="12"/>
      <c r="P33" s="13"/>
    </row>
    <row r="34" s="9" customFormat="1" spans="2:29">
      <c r="B34" s="24"/>
      <c r="C34" s="25" t="s">
        <v>239</v>
      </c>
      <c r="D34" s="25"/>
      <c r="E34" s="26"/>
      <c r="F34" s="27">
        <v>671.664</v>
      </c>
      <c r="G34" s="27">
        <v>680.172</v>
      </c>
      <c r="H34" s="27">
        <v>687.348</v>
      </c>
      <c r="I34" s="27">
        <v>691.293</v>
      </c>
      <c r="J34" s="27">
        <v>694.783</v>
      </c>
      <c r="K34" s="27">
        <v>695.556</v>
      </c>
      <c r="L34" s="27">
        <v>688.335</v>
      </c>
      <c r="M34" s="27">
        <v>675.222</v>
      </c>
      <c r="N34" s="27">
        <f>6006+909+6438</f>
        <v>13353</v>
      </c>
      <c r="O34" s="27">
        <f>5994+887+6182</f>
        <v>13063</v>
      </c>
      <c r="P34" s="39">
        <f>5922+877+5831</f>
        <v>12630</v>
      </c>
      <c r="Q34" s="27">
        <v>12630</v>
      </c>
      <c r="R34" s="6">
        <v>12630</v>
      </c>
      <c r="S34" s="27">
        <v>12630</v>
      </c>
      <c r="T34" s="6">
        <v>12630</v>
      </c>
      <c r="U34" s="27">
        <v>12630</v>
      </c>
      <c r="V34" s="6">
        <v>12630</v>
      </c>
      <c r="W34" s="27">
        <v>12630</v>
      </c>
      <c r="X34" s="6">
        <v>12630</v>
      </c>
      <c r="Y34" s="27">
        <v>12630</v>
      </c>
      <c r="Z34" s="6">
        <v>12630</v>
      </c>
      <c r="AA34" s="6">
        <v>12631</v>
      </c>
      <c r="AB34" s="6"/>
      <c r="AC34" s="6"/>
    </row>
    <row r="35" s="10" customFormat="1" spans="2:29">
      <c r="B35" s="7"/>
      <c r="C35" s="28" t="s">
        <v>117</v>
      </c>
      <c r="D35" s="29"/>
      <c r="E35" s="30"/>
      <c r="F35" s="30">
        <v>27.91</v>
      </c>
      <c r="G35" s="30">
        <v>26.25</v>
      </c>
      <c r="H35" s="30">
        <v>37.94</v>
      </c>
      <c r="I35" s="30">
        <v>38.59</v>
      </c>
      <c r="J35" s="30">
        <v>52.32</v>
      </c>
      <c r="K35" s="30">
        <v>51.78</v>
      </c>
      <c r="L35" s="30">
        <v>66.851</v>
      </c>
      <c r="M35" s="30">
        <v>87.594</v>
      </c>
      <c r="N35" s="30">
        <v>146</v>
      </c>
      <c r="O35" s="30">
        <v>88.73</v>
      </c>
      <c r="P35" s="40">
        <v>140.93</v>
      </c>
      <c r="Q35" s="30">
        <f>Q36*$Q37</f>
        <v>183.570594782667</v>
      </c>
      <c r="R35" s="30">
        <f t="shared" ref="R35:AA35" si="15">R36*$Q37</f>
        <v>218.409591879449</v>
      </c>
      <c r="S35" s="30">
        <f t="shared" si="15"/>
        <v>259.860517864662</v>
      </c>
      <c r="T35" s="30">
        <f t="shared" si="15"/>
        <v>309.178219526923</v>
      </c>
      <c r="U35" s="30">
        <f t="shared" si="15"/>
        <v>367.855695106492</v>
      </c>
      <c r="V35" s="30">
        <f t="shared" si="15"/>
        <v>437.669291935674</v>
      </c>
      <c r="W35" s="30">
        <f t="shared" si="15"/>
        <v>520.732481926153</v>
      </c>
      <c r="X35" s="30">
        <f t="shared" si="15"/>
        <v>619.559842852364</v>
      </c>
      <c r="Y35" s="30">
        <f t="shared" si="15"/>
        <v>737.143182340758</v>
      </c>
      <c r="Z35" s="30">
        <f t="shared" si="15"/>
        <v>877.042109071848</v>
      </c>
      <c r="AA35" s="30">
        <f t="shared" si="15"/>
        <v>1043.40917950996</v>
      </c>
      <c r="AB35" s="7"/>
      <c r="AC35" s="7">
        <f>((AA35/P35)^(1/($AA$3-$P$3))-1)*100</f>
        <v>19.9612598943298</v>
      </c>
    </row>
    <row r="36" spans="2:29">
      <c r="B36" s="8"/>
      <c r="C36" s="28" t="s">
        <v>12</v>
      </c>
      <c r="D36" s="28"/>
      <c r="E36" s="31"/>
      <c r="F36" s="31">
        <f t="shared" ref="F36:M36" si="16">IFERROR(F28/(F34*20),0)</f>
        <v>0.947869768217442</v>
      </c>
      <c r="G36" s="31">
        <f t="shared" si="16"/>
        <v>1.03914892115524</v>
      </c>
      <c r="H36" s="31">
        <f t="shared" si="16"/>
        <v>1.18920837770678</v>
      </c>
      <c r="I36" s="31">
        <f t="shared" si="16"/>
        <v>1.4088092892594</v>
      </c>
      <c r="J36" s="31">
        <f t="shared" si="16"/>
        <v>0.911219762141561</v>
      </c>
      <c r="K36" s="31">
        <f t="shared" si="16"/>
        <v>2.20945545721696</v>
      </c>
      <c r="L36" s="31">
        <f t="shared" si="16"/>
        <v>2.49464287011412</v>
      </c>
      <c r="M36" s="31">
        <f t="shared" si="16"/>
        <v>2.98190817242329</v>
      </c>
      <c r="N36" s="31">
        <f t="shared" ref="N36:Q36" si="17">IFERROR(N28/N34,0)</f>
        <v>5.69407623754961</v>
      </c>
      <c r="O36" s="31">
        <f t="shared" si="17"/>
        <v>4.59098216336217</v>
      </c>
      <c r="P36" s="41">
        <f t="shared" si="17"/>
        <v>5.84283452098179</v>
      </c>
      <c r="Q36" s="47">
        <f t="shared" si="17"/>
        <v>6.30796178711093</v>
      </c>
      <c r="R36" s="47">
        <f t="shared" ref="R36:AA36" si="18">IFERROR(R28/R34,0)</f>
        <v>7.50512009369024</v>
      </c>
      <c r="S36" s="47">
        <f t="shared" si="18"/>
        <v>8.92948142707614</v>
      </c>
      <c r="T36" s="47">
        <f t="shared" si="18"/>
        <v>10.6241655777812</v>
      </c>
      <c r="U36" s="47">
        <f t="shared" si="18"/>
        <v>12.6404758379199</v>
      </c>
      <c r="V36" s="47">
        <f t="shared" si="18"/>
        <v>15.0394521093681</v>
      </c>
      <c r="W36" s="47">
        <f t="shared" si="18"/>
        <v>17.8937187689919</v>
      </c>
      <c r="X36" s="47">
        <f t="shared" si="18"/>
        <v>21.2896832315008</v>
      </c>
      <c r="Y36" s="47">
        <f t="shared" si="18"/>
        <v>25.3301517671713</v>
      </c>
      <c r="Z36" s="47">
        <f t="shared" si="18"/>
        <v>30.1374417632751</v>
      </c>
      <c r="AA36" s="47">
        <f t="shared" si="18"/>
        <v>35.8542458309401</v>
      </c>
      <c r="AB36" s="8"/>
      <c r="AC36" s="8"/>
    </row>
    <row r="37" spans="2:29">
      <c r="B37" s="9"/>
      <c r="C37" s="32" t="s">
        <v>118</v>
      </c>
      <c r="D37" s="33"/>
      <c r="E37" s="34"/>
      <c r="F37" s="34">
        <f t="shared" ref="F37:P37" si="19">F35/F36</f>
        <v>29.4449732820231</v>
      </c>
      <c r="G37" s="34">
        <f t="shared" si="19"/>
        <v>25.2610568760611</v>
      </c>
      <c r="H37" s="34">
        <f t="shared" si="19"/>
        <v>31.903576119403</v>
      </c>
      <c r="I37" s="34">
        <f t="shared" si="19"/>
        <v>27.3919261423144</v>
      </c>
      <c r="J37" s="34">
        <f t="shared" si="19"/>
        <v>57.4175431369452</v>
      </c>
      <c r="K37" s="34">
        <f t="shared" si="19"/>
        <v>23.4356387818844</v>
      </c>
      <c r="L37" s="34">
        <f t="shared" si="19"/>
        <v>26.7978237690359</v>
      </c>
      <c r="M37" s="34">
        <f t="shared" si="19"/>
        <v>29.3751500499143</v>
      </c>
      <c r="N37" s="34">
        <f t="shared" si="19"/>
        <v>25.6406823353018</v>
      </c>
      <c r="O37" s="34">
        <f t="shared" si="19"/>
        <v>19.3270191089175</v>
      </c>
      <c r="P37" s="42">
        <f t="shared" si="19"/>
        <v>24.1201422860627</v>
      </c>
      <c r="Q37" s="48">
        <f>AVERAGE(E37:P37)</f>
        <v>29.1014119898058</v>
      </c>
      <c r="R37" s="9"/>
      <c r="S37" s="9"/>
      <c r="T37" s="9"/>
      <c r="U37" s="9"/>
      <c r="V37" s="9"/>
      <c r="W37" s="9"/>
      <c r="X37" s="9"/>
      <c r="Y37" s="9"/>
      <c r="Z37" s="9"/>
      <c r="AA37" s="9"/>
      <c r="AB37" s="9"/>
      <c r="AC37" s="9"/>
    </row>
  </sheetData>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O47"/>
  <sheetViews>
    <sheetView topLeftCell="A16" workbookViewId="0">
      <selection activeCell="O39" sqref="O39"/>
    </sheetView>
    <sheetView workbookViewId="1">
      <selection activeCell="A1" sqref="A1"/>
    </sheetView>
  </sheetViews>
  <sheetFormatPr defaultColWidth="9.14285714285714" defaultRowHeight="15.75"/>
  <cols>
    <col min="2" max="2" width="6" style="1" customWidth="1"/>
    <col min="3" max="3" width="7.85714285714286" customWidth="1"/>
  </cols>
  <sheetData>
    <row r="2" spans="15:15">
      <c r="O2" t="s">
        <v>240</v>
      </c>
    </row>
    <row r="3" spans="2:2">
      <c r="B3" s="1" t="s">
        <v>241</v>
      </c>
    </row>
    <row r="4" spans="3:3">
      <c r="C4" t="s">
        <v>84</v>
      </c>
    </row>
    <row r="5" spans="4:15">
      <c r="D5" t="s">
        <v>242</v>
      </c>
      <c r="O5" t="s">
        <v>243</v>
      </c>
    </row>
    <row r="6" spans="4:15">
      <c r="D6" t="s">
        <v>244</v>
      </c>
      <c r="O6" t="s">
        <v>245</v>
      </c>
    </row>
    <row r="8" spans="3:15">
      <c r="C8" t="s">
        <v>79</v>
      </c>
      <c r="O8" s="2" t="s">
        <v>246</v>
      </c>
    </row>
    <row r="12" spans="2:2">
      <c r="B12" s="1" t="s">
        <v>247</v>
      </c>
    </row>
    <row r="20" spans="2:2">
      <c r="B20" s="1" t="s">
        <v>248</v>
      </c>
    </row>
    <row r="21" spans="3:15">
      <c r="C21" t="s">
        <v>80</v>
      </c>
      <c r="O21" t="s">
        <v>249</v>
      </c>
    </row>
    <row r="23" spans="3:3">
      <c r="C23" t="s">
        <v>250</v>
      </c>
    </row>
    <row r="24" spans="4:15">
      <c r="D24" t="s">
        <v>251</v>
      </c>
      <c r="O24" s="108" t="s">
        <v>252</v>
      </c>
    </row>
    <row r="25" spans="15:15">
      <c r="O25" s="108" t="s">
        <v>253</v>
      </c>
    </row>
    <row r="27" spans="4:15">
      <c r="D27" t="s">
        <v>254</v>
      </c>
      <c r="O27" s="108" t="s">
        <v>255</v>
      </c>
    </row>
    <row r="29" spans="3:15">
      <c r="C29" t="s">
        <v>79</v>
      </c>
      <c r="O29" s="108" t="s">
        <v>256</v>
      </c>
    </row>
    <row r="31" spans="3:15">
      <c r="C31" t="s">
        <v>257</v>
      </c>
      <c r="O31" s="108" t="s">
        <v>258</v>
      </c>
    </row>
    <row r="32" spans="15:15">
      <c r="O32" s="108" t="s">
        <v>259</v>
      </c>
    </row>
    <row r="33" spans="15:15">
      <c r="O33" s="108" t="s">
        <v>260</v>
      </c>
    </row>
    <row r="35" spans="3:15">
      <c r="C35" t="s">
        <v>261</v>
      </c>
      <c r="O35" s="108" t="s">
        <v>262</v>
      </c>
    </row>
    <row r="36" spans="15:15">
      <c r="O36" s="108" t="s">
        <v>263</v>
      </c>
    </row>
    <row r="37" spans="15:15">
      <c r="O37" s="108" t="s">
        <v>264</v>
      </c>
    </row>
    <row r="39" spans="3:15">
      <c r="C39" t="s">
        <v>265</v>
      </c>
      <c r="O39" s="109" t="s">
        <v>266</v>
      </c>
    </row>
    <row r="40" spans="15:15">
      <c r="O40" s="108" t="s">
        <v>267</v>
      </c>
    </row>
    <row r="47" spans="2:2">
      <c r="B47" s="1" t="s">
        <v>268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Overall</vt:lpstr>
      <vt:lpstr>FS</vt:lpstr>
      <vt:lpstr>Sharpe, Sortino</vt:lpstr>
      <vt:lpstr>Projections</vt:lpstr>
      <vt:lpstr>SWOT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core2quad</dc:creator>
  <cp:lastModifiedBy>core2quad</cp:lastModifiedBy>
  <dcterms:created xsi:type="dcterms:W3CDTF">2024-08-28T13:58:00Z</dcterms:created>
  <dcterms:modified xsi:type="dcterms:W3CDTF">2025-01-10T20:17:47Z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FC00C39987CC494C9BFD9134ABC94A73_11</vt:lpwstr>
  </property>
  <property fmtid="{D5CDD505-2E9C-101B-9397-08002B2CF9AE}" pid="3" name="KSOProductBuildVer">
    <vt:lpwstr>1033-12.2.0.19307</vt:lpwstr>
  </property>
  <property fmtid="{D5CDD505-2E9C-101B-9397-08002B2CF9AE}" pid="4" name="KSOReadingLayout">
    <vt:bool>true</vt:bool>
  </property>
</Properties>
</file>